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viles\Downloads\"/>
    </mc:Choice>
  </mc:AlternateContent>
  <xr:revisionPtr revIDLastSave="0" documentId="8_{C8A5A5B6-6D0F-4B9A-8344-FFFA6213F038}" xr6:coauthVersionLast="47" xr6:coauthVersionMax="47" xr10:uidLastSave="{00000000-0000-0000-0000-000000000000}"/>
  <bookViews>
    <workbookView xWindow="-120" yWindow="-120" windowWidth="29040" windowHeight="15720" activeTab="9" xr2:uid="{D376B021-D53B-46D6-9DB6-AF0651E48AE1}"/>
  </bookViews>
  <sheets>
    <sheet name="Sheet1" sheetId="1" r:id="rId1"/>
    <sheet name="Sheet2" sheetId="2" r:id="rId2"/>
    <sheet name="ACTA1 " sheetId="3" r:id="rId3"/>
    <sheet name="MAP2 " sheetId="4" r:id="rId4"/>
    <sheet name="SB100" sheetId="5" r:id="rId5"/>
    <sheet name="PAX6" sheetId="6" r:id="rId6"/>
    <sheet name="COL1A" sheetId="7" r:id="rId7"/>
    <sheet name="SCN1A" sheetId="8" r:id="rId8"/>
    <sheet name="TUBB3" sheetId="9" r:id="rId9"/>
    <sheet name="GAD65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" i="6" l="1"/>
  <c r="AH6" i="6"/>
  <c r="AJ6" i="6"/>
  <c r="AK6" i="6"/>
  <c r="AM6" i="6"/>
  <c r="AN6" i="6"/>
  <c r="AG7" i="6"/>
  <c r="AH7" i="6"/>
  <c r="AJ7" i="6"/>
  <c r="AK7" i="6"/>
  <c r="AM7" i="6"/>
  <c r="AN7" i="6"/>
  <c r="AG8" i="6"/>
  <c r="AH8" i="6"/>
  <c r="AJ8" i="6"/>
  <c r="AK8" i="6"/>
  <c r="AM8" i="6"/>
  <c r="AN8" i="6"/>
  <c r="AN8" i="10"/>
  <c r="AM8" i="10"/>
  <c r="AK8" i="10"/>
  <c r="AJ8" i="10"/>
  <c r="AH8" i="10"/>
  <c r="AG8" i="10"/>
  <c r="AN7" i="10"/>
  <c r="AM7" i="10"/>
  <c r="AK7" i="10"/>
  <c r="AJ7" i="10"/>
  <c r="AH7" i="10"/>
  <c r="AG7" i="10"/>
  <c r="AN6" i="10"/>
  <c r="AM6" i="10"/>
  <c r="AK6" i="10"/>
  <c r="AJ6" i="10"/>
  <c r="AH6" i="10"/>
  <c r="AG6" i="10"/>
  <c r="AN8" i="9"/>
  <c r="AM8" i="9"/>
  <c r="AK8" i="9"/>
  <c r="AJ8" i="9"/>
  <c r="AH8" i="9"/>
  <c r="AG8" i="9"/>
  <c r="AN7" i="9"/>
  <c r="AM7" i="9"/>
  <c r="AK7" i="9"/>
  <c r="AJ7" i="9"/>
  <c r="AH7" i="9"/>
  <c r="AG7" i="9"/>
  <c r="AN6" i="9"/>
  <c r="AM6" i="9"/>
  <c r="AK6" i="9"/>
  <c r="AJ6" i="9"/>
  <c r="AH6" i="9"/>
  <c r="AG6" i="9"/>
  <c r="AN8" i="8"/>
  <c r="AM8" i="8"/>
  <c r="AK8" i="8"/>
  <c r="AJ8" i="8"/>
  <c r="AH8" i="8"/>
  <c r="AG8" i="8"/>
  <c r="AN7" i="8"/>
  <c r="AM7" i="8"/>
  <c r="AK7" i="8"/>
  <c r="AJ7" i="8"/>
  <c r="AH7" i="8"/>
  <c r="AG7" i="8"/>
  <c r="AN6" i="8"/>
  <c r="AM6" i="8"/>
  <c r="AK6" i="8"/>
  <c r="AJ6" i="8"/>
  <c r="AH6" i="8"/>
  <c r="AG6" i="8"/>
  <c r="AN8" i="7"/>
  <c r="AM8" i="7"/>
  <c r="AK8" i="7"/>
  <c r="AJ8" i="7"/>
  <c r="AH8" i="7"/>
  <c r="AG8" i="7"/>
  <c r="AN7" i="7"/>
  <c r="AM7" i="7"/>
  <c r="AK7" i="7"/>
  <c r="AJ7" i="7"/>
  <c r="AH7" i="7"/>
  <c r="AG7" i="7"/>
  <c r="AN6" i="7"/>
  <c r="AM6" i="7"/>
  <c r="AK6" i="7"/>
  <c r="AJ6" i="7"/>
  <c r="AH6" i="7"/>
  <c r="AG6" i="7"/>
  <c r="AN8" i="5"/>
  <c r="AM8" i="5"/>
  <c r="AK8" i="5"/>
  <c r="AJ8" i="5"/>
  <c r="AH8" i="5"/>
  <c r="AG8" i="5"/>
  <c r="AN7" i="5"/>
  <c r="AM7" i="5"/>
  <c r="AK7" i="5"/>
  <c r="AJ7" i="5"/>
  <c r="AH7" i="5"/>
  <c r="AG7" i="5"/>
  <c r="AN6" i="5"/>
  <c r="AM6" i="5"/>
  <c r="AK6" i="5"/>
  <c r="AJ6" i="5"/>
  <c r="AH6" i="5"/>
  <c r="AG6" i="5"/>
  <c r="AN7" i="4"/>
  <c r="AN8" i="4"/>
  <c r="AN6" i="4"/>
  <c r="AM7" i="4"/>
  <c r="AM8" i="4"/>
  <c r="AM6" i="4"/>
  <c r="AK7" i="4"/>
  <c r="AK8" i="4"/>
  <c r="AK6" i="4"/>
  <c r="AJ7" i="4"/>
  <c r="AJ8" i="4"/>
  <c r="AJ6" i="4"/>
  <c r="AH7" i="4"/>
  <c r="AH8" i="4"/>
  <c r="AH6" i="4"/>
  <c r="AG7" i="4"/>
  <c r="AG8" i="4"/>
  <c r="AG6" i="4"/>
  <c r="AN4" i="10"/>
  <c r="AM4" i="10"/>
  <c r="AK4" i="10"/>
  <c r="AJ4" i="10"/>
  <c r="AH4" i="10"/>
  <c r="AG4" i="10"/>
  <c r="AN3" i="10"/>
  <c r="AM3" i="10"/>
  <c r="AK3" i="10"/>
  <c r="AJ3" i="10"/>
  <c r="AH3" i="10"/>
  <c r="AG3" i="10"/>
  <c r="AN2" i="10"/>
  <c r="AM2" i="10"/>
  <c r="AK2" i="10"/>
  <c r="AJ2" i="10"/>
  <c r="AH2" i="10"/>
  <c r="AG2" i="10"/>
  <c r="AN4" i="9"/>
  <c r="AM4" i="9"/>
  <c r="AK4" i="9"/>
  <c r="AJ4" i="9"/>
  <c r="AH4" i="9"/>
  <c r="AG4" i="9"/>
  <c r="AN3" i="9"/>
  <c r="AM3" i="9"/>
  <c r="AK3" i="9"/>
  <c r="AJ3" i="9"/>
  <c r="AH3" i="9"/>
  <c r="AG3" i="9"/>
  <c r="AN2" i="9"/>
  <c r="AM2" i="9"/>
  <c r="AK2" i="9"/>
  <c r="AJ2" i="9"/>
  <c r="AH2" i="9"/>
  <c r="AG2" i="9"/>
  <c r="AN4" i="8"/>
  <c r="AM4" i="8"/>
  <c r="AK4" i="8"/>
  <c r="AJ4" i="8"/>
  <c r="AH4" i="8"/>
  <c r="AG4" i="8"/>
  <c r="AN3" i="8"/>
  <c r="AM3" i="8"/>
  <c r="AK3" i="8"/>
  <c r="AJ3" i="8"/>
  <c r="AH3" i="8"/>
  <c r="AG3" i="8"/>
  <c r="AN2" i="8"/>
  <c r="AM2" i="8"/>
  <c r="AK2" i="8"/>
  <c r="AJ2" i="8"/>
  <c r="AH2" i="8"/>
  <c r="AG2" i="8"/>
  <c r="AN4" i="7"/>
  <c r="AM4" i="7"/>
  <c r="AK4" i="7"/>
  <c r="AJ4" i="7"/>
  <c r="AH4" i="7"/>
  <c r="AG4" i="7"/>
  <c r="AN3" i="7"/>
  <c r="AM3" i="7"/>
  <c r="AK3" i="7"/>
  <c r="AJ3" i="7"/>
  <c r="AH3" i="7"/>
  <c r="AG3" i="7"/>
  <c r="AN2" i="7"/>
  <c r="AM2" i="7"/>
  <c r="AK2" i="7"/>
  <c r="AJ2" i="7"/>
  <c r="AH2" i="7"/>
  <c r="AG2" i="7"/>
  <c r="AN4" i="6"/>
  <c r="AM4" i="6"/>
  <c r="AK4" i="6"/>
  <c r="AJ4" i="6"/>
  <c r="AH4" i="6"/>
  <c r="AG4" i="6"/>
  <c r="AN3" i="6"/>
  <c r="AM3" i="6"/>
  <c r="AK3" i="6"/>
  <c r="AJ3" i="6"/>
  <c r="AH3" i="6"/>
  <c r="AG3" i="6"/>
  <c r="AN2" i="6"/>
  <c r="AM2" i="6"/>
  <c r="AK2" i="6"/>
  <c r="AJ2" i="6"/>
  <c r="AH2" i="6"/>
  <c r="AG2" i="6"/>
  <c r="AN4" i="5"/>
  <c r="AM4" i="5"/>
  <c r="AK4" i="5"/>
  <c r="AJ4" i="5"/>
  <c r="AH4" i="5"/>
  <c r="AG4" i="5"/>
  <c r="AN3" i="5"/>
  <c r="AM3" i="5"/>
  <c r="AK3" i="5"/>
  <c r="AJ3" i="5"/>
  <c r="AH3" i="5"/>
  <c r="AG3" i="5"/>
  <c r="AN2" i="5"/>
  <c r="AM2" i="5"/>
  <c r="AK2" i="5"/>
  <c r="AJ2" i="5"/>
  <c r="AH2" i="5"/>
  <c r="AG2" i="5"/>
  <c r="AN4" i="4"/>
  <c r="AM4" i="4"/>
  <c r="AK4" i="4"/>
  <c r="AJ4" i="4"/>
  <c r="AH4" i="4"/>
  <c r="AG4" i="4"/>
  <c r="AN3" i="4"/>
  <c r="AM3" i="4"/>
  <c r="AK3" i="4"/>
  <c r="AJ3" i="4"/>
  <c r="AH3" i="4"/>
  <c r="AG3" i="4"/>
  <c r="AN2" i="4"/>
  <c r="AM2" i="4"/>
  <c r="AK2" i="4"/>
  <c r="AJ2" i="4"/>
  <c r="AH2" i="4"/>
  <c r="AG2" i="4"/>
  <c r="AN4" i="3"/>
  <c r="AM4" i="3"/>
  <c r="AN3" i="3"/>
  <c r="AM3" i="3"/>
  <c r="AN2" i="3"/>
  <c r="AM2" i="3"/>
  <c r="AK4" i="3"/>
  <c r="AJ4" i="3"/>
  <c r="AK3" i="3"/>
  <c r="AJ3" i="3"/>
  <c r="AK2" i="3"/>
  <c r="AJ2" i="3"/>
  <c r="AH4" i="3"/>
  <c r="AG4" i="3"/>
  <c r="AH3" i="3"/>
  <c r="AG3" i="3"/>
  <c r="AH2" i="3"/>
  <c r="AG2" i="3"/>
  <c r="I73" i="10"/>
  <c r="H73" i="10"/>
  <c r="X70" i="10"/>
  <c r="W70" i="10"/>
  <c r="N70" i="10"/>
  <c r="M70" i="10"/>
  <c r="P70" i="10" s="1"/>
  <c r="I69" i="10"/>
  <c r="H69" i="10"/>
  <c r="X66" i="10"/>
  <c r="W66" i="10"/>
  <c r="N66" i="10"/>
  <c r="M66" i="10"/>
  <c r="P66" i="10" s="1"/>
  <c r="I65" i="10"/>
  <c r="H65" i="10"/>
  <c r="X62" i="10"/>
  <c r="W62" i="10"/>
  <c r="N62" i="10"/>
  <c r="M62" i="10"/>
  <c r="P62" i="10" s="1"/>
  <c r="I61" i="10"/>
  <c r="H61" i="10"/>
  <c r="X58" i="10"/>
  <c r="W58" i="10"/>
  <c r="N58" i="10"/>
  <c r="M58" i="10"/>
  <c r="P58" i="10" s="1"/>
  <c r="I57" i="10"/>
  <c r="H57" i="10"/>
  <c r="X54" i="10"/>
  <c r="W54" i="10"/>
  <c r="N54" i="10"/>
  <c r="M54" i="10"/>
  <c r="P54" i="10" s="1"/>
  <c r="Y54" i="10" s="1"/>
  <c r="I53" i="10"/>
  <c r="H53" i="10"/>
  <c r="X50" i="10"/>
  <c r="W50" i="10"/>
  <c r="N50" i="10"/>
  <c r="M50" i="10"/>
  <c r="P50" i="10" s="1"/>
  <c r="I49" i="10"/>
  <c r="H49" i="10"/>
  <c r="X46" i="10"/>
  <c r="W46" i="10"/>
  <c r="N46" i="10"/>
  <c r="M46" i="10"/>
  <c r="P46" i="10" s="1"/>
  <c r="Y46" i="10" s="1"/>
  <c r="I45" i="10"/>
  <c r="H45" i="10"/>
  <c r="X42" i="10"/>
  <c r="W42" i="10"/>
  <c r="N42" i="10"/>
  <c r="M42" i="10"/>
  <c r="P42" i="10" s="1"/>
  <c r="I41" i="10"/>
  <c r="H41" i="10"/>
  <c r="X38" i="10"/>
  <c r="W38" i="10"/>
  <c r="N38" i="10"/>
  <c r="M38" i="10"/>
  <c r="P38" i="10" s="1"/>
  <c r="I37" i="10"/>
  <c r="H37" i="10"/>
  <c r="X34" i="10"/>
  <c r="Y34" i="10" s="1"/>
  <c r="W34" i="10"/>
  <c r="P34" i="10"/>
  <c r="N34" i="10"/>
  <c r="M34" i="10"/>
  <c r="I33" i="10"/>
  <c r="H33" i="10"/>
  <c r="X30" i="10"/>
  <c r="W30" i="10"/>
  <c r="N30" i="10"/>
  <c r="P30" i="10" s="1"/>
  <c r="M30" i="10"/>
  <c r="I29" i="10"/>
  <c r="H29" i="10"/>
  <c r="X26" i="10"/>
  <c r="Y26" i="10" s="1"/>
  <c r="W26" i="10"/>
  <c r="N26" i="10"/>
  <c r="M26" i="10"/>
  <c r="P26" i="10" s="1"/>
  <c r="I25" i="10"/>
  <c r="H25" i="10"/>
  <c r="X22" i="10"/>
  <c r="W22" i="10"/>
  <c r="N22" i="10"/>
  <c r="M22" i="10"/>
  <c r="P22" i="10" s="1"/>
  <c r="I21" i="10"/>
  <c r="H21" i="10"/>
  <c r="X18" i="10"/>
  <c r="Y18" i="10" s="1"/>
  <c r="W18" i="10"/>
  <c r="N18" i="10"/>
  <c r="M18" i="10"/>
  <c r="P18" i="10" s="1"/>
  <c r="I17" i="10"/>
  <c r="H17" i="10"/>
  <c r="X14" i="10"/>
  <c r="W14" i="10"/>
  <c r="N14" i="10"/>
  <c r="M14" i="10"/>
  <c r="P14" i="10" s="1"/>
  <c r="I13" i="10"/>
  <c r="H13" i="10"/>
  <c r="X10" i="10"/>
  <c r="Y10" i="10" s="1"/>
  <c r="W10" i="10"/>
  <c r="N10" i="10"/>
  <c r="M10" i="10"/>
  <c r="P10" i="10" s="1"/>
  <c r="I9" i="10"/>
  <c r="H9" i="10"/>
  <c r="X6" i="10"/>
  <c r="W6" i="10"/>
  <c r="N6" i="10"/>
  <c r="M6" i="10"/>
  <c r="P6" i="10" s="1"/>
  <c r="I5" i="10"/>
  <c r="H5" i="10"/>
  <c r="X2" i="10"/>
  <c r="Y2" i="10" s="1"/>
  <c r="W2" i="10"/>
  <c r="N2" i="10"/>
  <c r="M2" i="10"/>
  <c r="P2" i="10" s="1"/>
  <c r="I73" i="9"/>
  <c r="H73" i="9"/>
  <c r="X70" i="9"/>
  <c r="Y70" i="9" s="1"/>
  <c r="W70" i="9"/>
  <c r="N70" i="9"/>
  <c r="M70" i="9"/>
  <c r="P70" i="9" s="1"/>
  <c r="I69" i="9"/>
  <c r="H69" i="9"/>
  <c r="X66" i="9"/>
  <c r="W66" i="9"/>
  <c r="N66" i="9"/>
  <c r="M66" i="9"/>
  <c r="P66" i="9" s="1"/>
  <c r="I65" i="9"/>
  <c r="H65" i="9"/>
  <c r="X62" i="9"/>
  <c r="Y62" i="9" s="1"/>
  <c r="W62" i="9"/>
  <c r="N62" i="9"/>
  <c r="M62" i="9"/>
  <c r="P62" i="9" s="1"/>
  <c r="I61" i="9"/>
  <c r="H61" i="9"/>
  <c r="X58" i="9"/>
  <c r="W58" i="9"/>
  <c r="N58" i="9"/>
  <c r="M58" i="9"/>
  <c r="P58" i="9" s="1"/>
  <c r="Y58" i="9" s="1"/>
  <c r="I57" i="9"/>
  <c r="H57" i="9"/>
  <c r="X54" i="9"/>
  <c r="Y54" i="9" s="1"/>
  <c r="W54" i="9"/>
  <c r="N54" i="9"/>
  <c r="M54" i="9"/>
  <c r="P54" i="9" s="1"/>
  <c r="I53" i="9"/>
  <c r="H53" i="9"/>
  <c r="X50" i="9"/>
  <c r="W50" i="9"/>
  <c r="N50" i="9"/>
  <c r="M50" i="9"/>
  <c r="P50" i="9" s="1"/>
  <c r="I49" i="9"/>
  <c r="H49" i="9"/>
  <c r="X46" i="9"/>
  <c r="W46" i="9"/>
  <c r="N46" i="9"/>
  <c r="M46" i="9"/>
  <c r="P46" i="9" s="1"/>
  <c r="Y46" i="9" s="1"/>
  <c r="I45" i="9"/>
  <c r="H45" i="9"/>
  <c r="X42" i="9"/>
  <c r="W42" i="9"/>
  <c r="N42" i="9"/>
  <c r="P42" i="9" s="1"/>
  <c r="M42" i="9"/>
  <c r="I41" i="9"/>
  <c r="H41" i="9"/>
  <c r="X38" i="9"/>
  <c r="Y38" i="9" s="1"/>
  <c r="W38" i="9"/>
  <c r="N38" i="9"/>
  <c r="M38" i="9"/>
  <c r="P38" i="9" s="1"/>
  <c r="I37" i="9"/>
  <c r="H37" i="9"/>
  <c r="X34" i="9"/>
  <c r="Y34" i="9" s="1"/>
  <c r="W34" i="9"/>
  <c r="P34" i="9"/>
  <c r="N34" i="9"/>
  <c r="M34" i="9"/>
  <c r="I33" i="9"/>
  <c r="H33" i="9"/>
  <c r="X30" i="9"/>
  <c r="W30" i="9"/>
  <c r="N30" i="9"/>
  <c r="P30" i="9" s="1"/>
  <c r="M30" i="9"/>
  <c r="I29" i="9"/>
  <c r="H29" i="9"/>
  <c r="X26" i="9"/>
  <c r="Y26" i="9" s="1"/>
  <c r="W26" i="9"/>
  <c r="N26" i="9"/>
  <c r="M26" i="9"/>
  <c r="P26" i="9" s="1"/>
  <c r="I25" i="9"/>
  <c r="H25" i="9"/>
  <c r="X22" i="9"/>
  <c r="W22" i="9"/>
  <c r="N22" i="9"/>
  <c r="M22" i="9"/>
  <c r="P22" i="9" s="1"/>
  <c r="I21" i="9"/>
  <c r="H21" i="9"/>
  <c r="X18" i="9"/>
  <c r="Y18" i="9" s="1"/>
  <c r="W18" i="9"/>
  <c r="N18" i="9"/>
  <c r="M18" i="9"/>
  <c r="P18" i="9" s="1"/>
  <c r="I17" i="9"/>
  <c r="H17" i="9"/>
  <c r="X14" i="9"/>
  <c r="W14" i="9"/>
  <c r="N14" i="9"/>
  <c r="M14" i="9"/>
  <c r="P14" i="9" s="1"/>
  <c r="I13" i="9"/>
  <c r="H13" i="9"/>
  <c r="X10" i="9"/>
  <c r="W10" i="9"/>
  <c r="N10" i="9"/>
  <c r="M10" i="9"/>
  <c r="P10" i="9" s="1"/>
  <c r="I9" i="9"/>
  <c r="H9" i="9"/>
  <c r="X6" i="9"/>
  <c r="W6" i="9"/>
  <c r="N6" i="9"/>
  <c r="M6" i="9"/>
  <c r="P6" i="9" s="1"/>
  <c r="Y6" i="9" s="1"/>
  <c r="I5" i="9"/>
  <c r="H5" i="9"/>
  <c r="X2" i="9"/>
  <c r="Y2" i="9" s="1"/>
  <c r="W2" i="9"/>
  <c r="N2" i="9"/>
  <c r="M2" i="9"/>
  <c r="P2" i="9" s="1"/>
  <c r="I73" i="8"/>
  <c r="H73" i="8"/>
  <c r="X70" i="8"/>
  <c r="W70" i="8"/>
  <c r="N70" i="8"/>
  <c r="M70" i="8"/>
  <c r="P70" i="8" s="1"/>
  <c r="I69" i="8"/>
  <c r="H69" i="8"/>
  <c r="X66" i="8"/>
  <c r="W66" i="8"/>
  <c r="N66" i="8"/>
  <c r="M66" i="8"/>
  <c r="P66" i="8" s="1"/>
  <c r="I65" i="8"/>
  <c r="H65" i="8"/>
  <c r="X62" i="8"/>
  <c r="W62" i="8"/>
  <c r="N62" i="8"/>
  <c r="M62" i="8"/>
  <c r="P62" i="8" s="1"/>
  <c r="I61" i="8"/>
  <c r="H61" i="8"/>
  <c r="X58" i="8"/>
  <c r="W58" i="8"/>
  <c r="N58" i="8"/>
  <c r="P58" i="8" s="1"/>
  <c r="M58" i="8"/>
  <c r="I57" i="8"/>
  <c r="H57" i="8"/>
  <c r="X54" i="8"/>
  <c r="W54" i="8"/>
  <c r="N54" i="8"/>
  <c r="M54" i="8"/>
  <c r="P54" i="8" s="1"/>
  <c r="I53" i="8"/>
  <c r="H53" i="8"/>
  <c r="X50" i="8"/>
  <c r="W50" i="8"/>
  <c r="N50" i="8"/>
  <c r="M50" i="8"/>
  <c r="P50" i="8" s="1"/>
  <c r="I49" i="8"/>
  <c r="H49" i="8"/>
  <c r="X46" i="8"/>
  <c r="W46" i="8"/>
  <c r="N46" i="8"/>
  <c r="M46" i="8"/>
  <c r="P46" i="8" s="1"/>
  <c r="Y46" i="8" s="1"/>
  <c r="I45" i="8"/>
  <c r="H45" i="8"/>
  <c r="X42" i="8"/>
  <c r="W42" i="8"/>
  <c r="N42" i="8"/>
  <c r="M42" i="8"/>
  <c r="P42" i="8" s="1"/>
  <c r="I41" i="8"/>
  <c r="H41" i="8"/>
  <c r="X38" i="8"/>
  <c r="W38" i="8"/>
  <c r="N38" i="8"/>
  <c r="M38" i="8"/>
  <c r="P38" i="8" s="1"/>
  <c r="I37" i="8"/>
  <c r="H37" i="8"/>
  <c r="X34" i="8"/>
  <c r="Y34" i="8" s="1"/>
  <c r="W34" i="8"/>
  <c r="P34" i="8"/>
  <c r="N34" i="8"/>
  <c r="M34" i="8"/>
  <c r="I33" i="8"/>
  <c r="H33" i="8"/>
  <c r="X30" i="8"/>
  <c r="W30" i="8"/>
  <c r="N30" i="8"/>
  <c r="P30" i="8" s="1"/>
  <c r="M30" i="8"/>
  <c r="I29" i="8"/>
  <c r="H29" i="8"/>
  <c r="X26" i="8"/>
  <c r="W26" i="8"/>
  <c r="N26" i="8"/>
  <c r="M26" i="8"/>
  <c r="P26" i="8" s="1"/>
  <c r="I25" i="8"/>
  <c r="H25" i="8"/>
  <c r="X22" i="8"/>
  <c r="W22" i="8"/>
  <c r="N22" i="8"/>
  <c r="M22" i="8"/>
  <c r="P22" i="8" s="1"/>
  <c r="I21" i="8"/>
  <c r="H21" i="8"/>
  <c r="X18" i="8"/>
  <c r="Y18" i="8" s="1"/>
  <c r="W18" i="8"/>
  <c r="N18" i="8"/>
  <c r="M18" i="8"/>
  <c r="P18" i="8" s="1"/>
  <c r="I17" i="8"/>
  <c r="H17" i="8"/>
  <c r="X14" i="8"/>
  <c r="W14" i="8"/>
  <c r="N14" i="8"/>
  <c r="M14" i="8"/>
  <c r="P14" i="8" s="1"/>
  <c r="I13" i="8"/>
  <c r="H13" i="8"/>
  <c r="X10" i="8"/>
  <c r="W10" i="8"/>
  <c r="N10" i="8"/>
  <c r="P10" i="8" s="1"/>
  <c r="M10" i="8"/>
  <c r="I9" i="8"/>
  <c r="H9" i="8"/>
  <c r="X6" i="8"/>
  <c r="W6" i="8"/>
  <c r="N6" i="8"/>
  <c r="P6" i="8" s="1"/>
  <c r="Y6" i="8" s="1"/>
  <c r="M6" i="8"/>
  <c r="I5" i="8"/>
  <c r="H5" i="8"/>
  <c r="X2" i="8"/>
  <c r="Y2" i="8" s="1"/>
  <c r="W2" i="8"/>
  <c r="N2" i="8"/>
  <c r="M2" i="8"/>
  <c r="P2" i="8" s="1"/>
  <c r="I73" i="7"/>
  <c r="H73" i="7"/>
  <c r="X70" i="7"/>
  <c r="W70" i="7"/>
  <c r="N70" i="7"/>
  <c r="M70" i="7"/>
  <c r="P70" i="7" s="1"/>
  <c r="I69" i="7"/>
  <c r="H69" i="7"/>
  <c r="X66" i="7"/>
  <c r="W66" i="7"/>
  <c r="N66" i="7"/>
  <c r="M66" i="7"/>
  <c r="P66" i="7" s="1"/>
  <c r="I65" i="7"/>
  <c r="H65" i="7"/>
  <c r="X62" i="7"/>
  <c r="W62" i="7"/>
  <c r="N62" i="7"/>
  <c r="M62" i="7"/>
  <c r="P62" i="7" s="1"/>
  <c r="I61" i="7"/>
  <c r="H61" i="7"/>
  <c r="X58" i="7"/>
  <c r="W58" i="7"/>
  <c r="N58" i="7"/>
  <c r="M58" i="7"/>
  <c r="P58" i="7" s="1"/>
  <c r="I57" i="7"/>
  <c r="H57" i="7"/>
  <c r="X54" i="7"/>
  <c r="W54" i="7"/>
  <c r="N54" i="7"/>
  <c r="M54" i="7"/>
  <c r="P54" i="7" s="1"/>
  <c r="Y54" i="7" s="1"/>
  <c r="I53" i="7"/>
  <c r="H53" i="7"/>
  <c r="X50" i="7"/>
  <c r="W50" i="7"/>
  <c r="N50" i="7"/>
  <c r="M50" i="7"/>
  <c r="P50" i="7" s="1"/>
  <c r="I49" i="7"/>
  <c r="H49" i="7"/>
  <c r="X46" i="7"/>
  <c r="W46" i="7"/>
  <c r="N46" i="7"/>
  <c r="M46" i="7"/>
  <c r="P46" i="7" s="1"/>
  <c r="Y46" i="7" s="1"/>
  <c r="I45" i="7"/>
  <c r="H45" i="7"/>
  <c r="X42" i="7"/>
  <c r="Y42" i="7" s="1"/>
  <c r="W42" i="7"/>
  <c r="P42" i="7"/>
  <c r="N42" i="7"/>
  <c r="M42" i="7"/>
  <c r="I41" i="7"/>
  <c r="H41" i="7"/>
  <c r="X38" i="7"/>
  <c r="W38" i="7"/>
  <c r="N38" i="7"/>
  <c r="M38" i="7"/>
  <c r="P38" i="7" s="1"/>
  <c r="I37" i="7"/>
  <c r="H37" i="7"/>
  <c r="X34" i="7"/>
  <c r="Y34" i="7" s="1"/>
  <c r="W34" i="7"/>
  <c r="P34" i="7"/>
  <c r="N34" i="7"/>
  <c r="M34" i="7"/>
  <c r="I33" i="7"/>
  <c r="H33" i="7"/>
  <c r="X30" i="7"/>
  <c r="W30" i="7"/>
  <c r="N30" i="7"/>
  <c r="P30" i="7" s="1"/>
  <c r="M30" i="7"/>
  <c r="I29" i="7"/>
  <c r="H29" i="7"/>
  <c r="X26" i="7"/>
  <c r="Y26" i="7" s="1"/>
  <c r="W26" i="7"/>
  <c r="N26" i="7"/>
  <c r="M26" i="7"/>
  <c r="P26" i="7" s="1"/>
  <c r="I25" i="7"/>
  <c r="H25" i="7"/>
  <c r="X22" i="7"/>
  <c r="W22" i="7"/>
  <c r="N22" i="7"/>
  <c r="M22" i="7"/>
  <c r="P22" i="7" s="1"/>
  <c r="I21" i="7"/>
  <c r="H21" i="7"/>
  <c r="X18" i="7"/>
  <c r="Y18" i="7" s="1"/>
  <c r="W18" i="7"/>
  <c r="N18" i="7"/>
  <c r="M18" i="7"/>
  <c r="P18" i="7" s="1"/>
  <c r="I17" i="7"/>
  <c r="H17" i="7"/>
  <c r="X14" i="7"/>
  <c r="W14" i="7"/>
  <c r="N14" i="7"/>
  <c r="M14" i="7"/>
  <c r="P14" i="7" s="1"/>
  <c r="I13" i="7"/>
  <c r="H13" i="7"/>
  <c r="X10" i="7"/>
  <c r="Y10" i="7" s="1"/>
  <c r="W10" i="7"/>
  <c r="N10" i="7"/>
  <c r="M10" i="7"/>
  <c r="P10" i="7" s="1"/>
  <c r="I9" i="7"/>
  <c r="H9" i="7"/>
  <c r="X6" i="7"/>
  <c r="W6" i="7"/>
  <c r="N6" i="7"/>
  <c r="M6" i="7"/>
  <c r="P6" i="7" s="1"/>
  <c r="I5" i="7"/>
  <c r="H5" i="7"/>
  <c r="X2" i="7"/>
  <c r="Y2" i="7" s="1"/>
  <c r="W2" i="7"/>
  <c r="N2" i="7"/>
  <c r="M2" i="7"/>
  <c r="P2" i="7" s="1"/>
  <c r="I73" i="6"/>
  <c r="H73" i="6"/>
  <c r="X70" i="6"/>
  <c r="Y70" i="6" s="1"/>
  <c r="W70" i="6"/>
  <c r="N70" i="6"/>
  <c r="M70" i="6"/>
  <c r="P70" i="6" s="1"/>
  <c r="I69" i="6"/>
  <c r="H69" i="6"/>
  <c r="X66" i="6"/>
  <c r="W66" i="6"/>
  <c r="N66" i="6"/>
  <c r="M66" i="6"/>
  <c r="P66" i="6" s="1"/>
  <c r="I65" i="6"/>
  <c r="H65" i="6"/>
  <c r="X62" i="6"/>
  <c r="Y62" i="6" s="1"/>
  <c r="W62" i="6"/>
  <c r="N62" i="6"/>
  <c r="M62" i="6"/>
  <c r="P62" i="6" s="1"/>
  <c r="I61" i="6"/>
  <c r="H61" i="6"/>
  <c r="X58" i="6"/>
  <c r="W58" i="6"/>
  <c r="N58" i="6"/>
  <c r="M58" i="6"/>
  <c r="P58" i="6" s="1"/>
  <c r="Y58" i="6" s="1"/>
  <c r="I57" i="6"/>
  <c r="H57" i="6"/>
  <c r="X54" i="6"/>
  <c r="Y54" i="6" s="1"/>
  <c r="W54" i="6"/>
  <c r="N54" i="6"/>
  <c r="M54" i="6"/>
  <c r="P54" i="6" s="1"/>
  <c r="I53" i="6"/>
  <c r="H53" i="6"/>
  <c r="X50" i="6"/>
  <c r="W50" i="6"/>
  <c r="N50" i="6"/>
  <c r="M50" i="6"/>
  <c r="P50" i="6" s="1"/>
  <c r="I49" i="6"/>
  <c r="H49" i="6"/>
  <c r="X46" i="6"/>
  <c r="W46" i="6"/>
  <c r="N46" i="6"/>
  <c r="M46" i="6"/>
  <c r="P46" i="6" s="1"/>
  <c r="Y46" i="6" s="1"/>
  <c r="I45" i="6"/>
  <c r="H45" i="6"/>
  <c r="X42" i="6"/>
  <c r="W42" i="6"/>
  <c r="N42" i="6"/>
  <c r="M42" i="6"/>
  <c r="P42" i="6" s="1"/>
  <c r="I41" i="6"/>
  <c r="H41" i="6"/>
  <c r="X38" i="6"/>
  <c r="Y38" i="6" s="1"/>
  <c r="W38" i="6"/>
  <c r="N38" i="6"/>
  <c r="M38" i="6"/>
  <c r="P38" i="6" s="1"/>
  <c r="I37" i="6"/>
  <c r="H37" i="6"/>
  <c r="X34" i="6"/>
  <c r="Y34" i="6" s="1"/>
  <c r="W34" i="6"/>
  <c r="P34" i="6"/>
  <c r="N34" i="6"/>
  <c r="M34" i="6"/>
  <c r="I33" i="6"/>
  <c r="H33" i="6"/>
  <c r="X30" i="6"/>
  <c r="W30" i="6"/>
  <c r="N30" i="6"/>
  <c r="P30" i="6" s="1"/>
  <c r="M30" i="6"/>
  <c r="I29" i="6"/>
  <c r="H29" i="6"/>
  <c r="X26" i="6"/>
  <c r="Y26" i="6" s="1"/>
  <c r="W26" i="6"/>
  <c r="N26" i="6"/>
  <c r="M26" i="6"/>
  <c r="P26" i="6" s="1"/>
  <c r="I25" i="6"/>
  <c r="H25" i="6"/>
  <c r="X22" i="6"/>
  <c r="W22" i="6"/>
  <c r="N22" i="6"/>
  <c r="M22" i="6"/>
  <c r="P22" i="6" s="1"/>
  <c r="I21" i="6"/>
  <c r="H21" i="6"/>
  <c r="X18" i="6"/>
  <c r="Y18" i="6" s="1"/>
  <c r="W18" i="6"/>
  <c r="N18" i="6"/>
  <c r="M18" i="6"/>
  <c r="P18" i="6" s="1"/>
  <c r="I17" i="6"/>
  <c r="H17" i="6"/>
  <c r="X14" i="6"/>
  <c r="W14" i="6"/>
  <c r="N14" i="6"/>
  <c r="M14" i="6"/>
  <c r="P14" i="6" s="1"/>
  <c r="I13" i="6"/>
  <c r="H13" i="6"/>
  <c r="X10" i="6"/>
  <c r="W10" i="6"/>
  <c r="N10" i="6"/>
  <c r="M10" i="6"/>
  <c r="P10" i="6" s="1"/>
  <c r="I9" i="6"/>
  <c r="H9" i="6"/>
  <c r="X6" i="6"/>
  <c r="W6" i="6"/>
  <c r="N6" i="6"/>
  <c r="M6" i="6"/>
  <c r="P6" i="6" s="1"/>
  <c r="Y6" i="6" s="1"/>
  <c r="I5" i="6"/>
  <c r="H5" i="6"/>
  <c r="X2" i="6"/>
  <c r="Y2" i="6" s="1"/>
  <c r="W2" i="6"/>
  <c r="N2" i="6"/>
  <c r="M2" i="6"/>
  <c r="P2" i="6" s="1"/>
  <c r="I73" i="5"/>
  <c r="H73" i="5"/>
  <c r="X70" i="5"/>
  <c r="W70" i="5"/>
  <c r="N70" i="5"/>
  <c r="M70" i="5"/>
  <c r="P70" i="5" s="1"/>
  <c r="I69" i="5"/>
  <c r="H69" i="5"/>
  <c r="X66" i="5"/>
  <c r="W66" i="5"/>
  <c r="N66" i="5"/>
  <c r="M66" i="5"/>
  <c r="P66" i="5" s="1"/>
  <c r="I65" i="5"/>
  <c r="H65" i="5"/>
  <c r="X62" i="5"/>
  <c r="W62" i="5"/>
  <c r="N62" i="5"/>
  <c r="M62" i="5"/>
  <c r="P62" i="5" s="1"/>
  <c r="I61" i="5"/>
  <c r="H61" i="5"/>
  <c r="X58" i="5"/>
  <c r="W58" i="5"/>
  <c r="N58" i="5"/>
  <c r="M58" i="5"/>
  <c r="P58" i="5" s="1"/>
  <c r="Y58" i="5" s="1"/>
  <c r="I57" i="5"/>
  <c r="H57" i="5"/>
  <c r="X54" i="5"/>
  <c r="W54" i="5"/>
  <c r="N54" i="5"/>
  <c r="M54" i="5"/>
  <c r="P54" i="5" s="1"/>
  <c r="I53" i="5"/>
  <c r="H53" i="5"/>
  <c r="X50" i="5"/>
  <c r="W50" i="5"/>
  <c r="N50" i="5"/>
  <c r="M50" i="5"/>
  <c r="P50" i="5" s="1"/>
  <c r="I49" i="5"/>
  <c r="H49" i="5"/>
  <c r="X46" i="5"/>
  <c r="W46" i="5"/>
  <c r="N46" i="5"/>
  <c r="M46" i="5"/>
  <c r="P46" i="5" s="1"/>
  <c r="Y46" i="5" s="1"/>
  <c r="I45" i="5"/>
  <c r="H45" i="5"/>
  <c r="X42" i="5"/>
  <c r="W42" i="5"/>
  <c r="N42" i="5"/>
  <c r="M42" i="5"/>
  <c r="P42" i="5" s="1"/>
  <c r="I41" i="5"/>
  <c r="H41" i="5"/>
  <c r="X38" i="5"/>
  <c r="W38" i="5"/>
  <c r="N38" i="5"/>
  <c r="M38" i="5"/>
  <c r="P38" i="5" s="1"/>
  <c r="I37" i="5"/>
  <c r="H37" i="5"/>
  <c r="X34" i="5"/>
  <c r="Y34" i="5" s="1"/>
  <c r="W34" i="5"/>
  <c r="P34" i="5"/>
  <c r="N34" i="5"/>
  <c r="M34" i="5"/>
  <c r="I33" i="5"/>
  <c r="H33" i="5"/>
  <c r="X30" i="5"/>
  <c r="W30" i="5"/>
  <c r="N30" i="5"/>
  <c r="P30" i="5" s="1"/>
  <c r="M30" i="5"/>
  <c r="I29" i="5"/>
  <c r="H29" i="5"/>
  <c r="X26" i="5"/>
  <c r="Y26" i="5" s="1"/>
  <c r="W26" i="5"/>
  <c r="N26" i="5"/>
  <c r="M26" i="5"/>
  <c r="P26" i="5" s="1"/>
  <c r="I25" i="5"/>
  <c r="H25" i="5"/>
  <c r="X22" i="5"/>
  <c r="W22" i="5"/>
  <c r="N22" i="5"/>
  <c r="M22" i="5"/>
  <c r="P22" i="5" s="1"/>
  <c r="I21" i="5"/>
  <c r="H21" i="5"/>
  <c r="X18" i="5"/>
  <c r="Y18" i="5" s="1"/>
  <c r="W18" i="5"/>
  <c r="N18" i="5"/>
  <c r="M18" i="5"/>
  <c r="P18" i="5" s="1"/>
  <c r="I17" i="5"/>
  <c r="H17" i="5"/>
  <c r="X14" i="5"/>
  <c r="W14" i="5"/>
  <c r="N14" i="5"/>
  <c r="M14" i="5"/>
  <c r="P14" i="5" s="1"/>
  <c r="I13" i="5"/>
  <c r="H13" i="5"/>
  <c r="X10" i="5"/>
  <c r="W10" i="5"/>
  <c r="N10" i="5"/>
  <c r="M10" i="5"/>
  <c r="P10" i="5" s="1"/>
  <c r="I9" i="5"/>
  <c r="H9" i="5"/>
  <c r="X6" i="5"/>
  <c r="W6" i="5"/>
  <c r="N6" i="5"/>
  <c r="M6" i="5"/>
  <c r="P6" i="5" s="1"/>
  <c r="Y6" i="5" s="1"/>
  <c r="I5" i="5"/>
  <c r="H5" i="5"/>
  <c r="X2" i="5"/>
  <c r="Y2" i="5" s="1"/>
  <c r="W2" i="5"/>
  <c r="N2" i="5"/>
  <c r="M2" i="5"/>
  <c r="P2" i="5" s="1"/>
  <c r="I73" i="4"/>
  <c r="H73" i="4"/>
  <c r="X70" i="4"/>
  <c r="W70" i="4"/>
  <c r="N70" i="4"/>
  <c r="M70" i="4"/>
  <c r="P70" i="4" s="1"/>
  <c r="Y70" i="4" s="1"/>
  <c r="I69" i="4"/>
  <c r="H69" i="4"/>
  <c r="X66" i="4"/>
  <c r="W66" i="4"/>
  <c r="N66" i="4"/>
  <c r="M66" i="4"/>
  <c r="P66" i="4" s="1"/>
  <c r="I65" i="4"/>
  <c r="H65" i="4"/>
  <c r="X62" i="4"/>
  <c r="Y62" i="4" s="1"/>
  <c r="W62" i="4"/>
  <c r="N62" i="4"/>
  <c r="M62" i="4"/>
  <c r="P62" i="4" s="1"/>
  <c r="I61" i="4"/>
  <c r="H61" i="4"/>
  <c r="X58" i="4"/>
  <c r="Y58" i="4" s="1"/>
  <c r="W58" i="4"/>
  <c r="P58" i="4"/>
  <c r="N58" i="4"/>
  <c r="M58" i="4"/>
  <c r="I57" i="4"/>
  <c r="H57" i="4"/>
  <c r="X54" i="4"/>
  <c r="W54" i="4"/>
  <c r="N54" i="4"/>
  <c r="P54" i="4" s="1"/>
  <c r="M54" i="4"/>
  <c r="I53" i="4"/>
  <c r="H53" i="4"/>
  <c r="X50" i="4"/>
  <c r="W50" i="4"/>
  <c r="N50" i="4"/>
  <c r="M50" i="4"/>
  <c r="P50" i="4" s="1"/>
  <c r="I49" i="4"/>
  <c r="H49" i="4"/>
  <c r="X46" i="4"/>
  <c r="W46" i="4"/>
  <c r="N46" i="4"/>
  <c r="M46" i="4"/>
  <c r="P46" i="4" s="1"/>
  <c r="I45" i="4"/>
  <c r="H45" i="4"/>
  <c r="X42" i="4"/>
  <c r="W42" i="4"/>
  <c r="N42" i="4"/>
  <c r="M42" i="4"/>
  <c r="P42" i="4" s="1"/>
  <c r="I41" i="4"/>
  <c r="H41" i="4"/>
  <c r="X38" i="4"/>
  <c r="Y38" i="4" s="1"/>
  <c r="W38" i="4"/>
  <c r="P38" i="4"/>
  <c r="N38" i="4"/>
  <c r="M38" i="4"/>
  <c r="I37" i="4"/>
  <c r="H37" i="4"/>
  <c r="X34" i="4"/>
  <c r="W34" i="4"/>
  <c r="N34" i="4"/>
  <c r="P34" i="4" s="1"/>
  <c r="M34" i="4"/>
  <c r="I33" i="4"/>
  <c r="H33" i="4"/>
  <c r="X30" i="4"/>
  <c r="Y30" i="4" s="1"/>
  <c r="W30" i="4"/>
  <c r="P30" i="4"/>
  <c r="N30" i="4"/>
  <c r="M30" i="4"/>
  <c r="I29" i="4"/>
  <c r="H29" i="4"/>
  <c r="X26" i="4"/>
  <c r="Y26" i="4" s="1"/>
  <c r="W26" i="4"/>
  <c r="N26" i="4"/>
  <c r="P26" i="4" s="1"/>
  <c r="M26" i="4"/>
  <c r="I25" i="4"/>
  <c r="H25" i="4"/>
  <c r="X22" i="4"/>
  <c r="W22" i="4"/>
  <c r="N22" i="4"/>
  <c r="M22" i="4"/>
  <c r="P22" i="4" s="1"/>
  <c r="I21" i="4"/>
  <c r="H21" i="4"/>
  <c r="X18" i="4"/>
  <c r="Y18" i="4" s="1"/>
  <c r="W18" i="4"/>
  <c r="N18" i="4"/>
  <c r="M18" i="4"/>
  <c r="P18" i="4" s="1"/>
  <c r="I17" i="4"/>
  <c r="H17" i="4"/>
  <c r="X14" i="4"/>
  <c r="W14" i="4"/>
  <c r="N14" i="4"/>
  <c r="M14" i="4"/>
  <c r="P14" i="4" s="1"/>
  <c r="I13" i="4"/>
  <c r="H13" i="4"/>
  <c r="X10" i="4"/>
  <c r="Y10" i="4" s="1"/>
  <c r="W10" i="4"/>
  <c r="N10" i="4"/>
  <c r="M10" i="4"/>
  <c r="P10" i="4" s="1"/>
  <c r="I9" i="4"/>
  <c r="H9" i="4"/>
  <c r="X6" i="4"/>
  <c r="W6" i="4"/>
  <c r="N6" i="4"/>
  <c r="M6" i="4"/>
  <c r="P6" i="4" s="1"/>
  <c r="I5" i="4"/>
  <c r="H5" i="4"/>
  <c r="X2" i="4"/>
  <c r="Y2" i="4" s="1"/>
  <c r="W2" i="4"/>
  <c r="N2" i="4"/>
  <c r="M2" i="4"/>
  <c r="P2" i="4" s="1"/>
  <c r="AC70" i="3"/>
  <c r="AC66" i="3"/>
  <c r="AC62" i="3"/>
  <c r="AC58" i="3"/>
  <c r="AC54" i="3"/>
  <c r="AC50" i="3"/>
  <c r="AC46" i="3"/>
  <c r="AC42" i="3"/>
  <c r="AC38" i="3"/>
  <c r="AC34" i="3"/>
  <c r="AC30" i="3"/>
  <c r="AC26" i="3"/>
  <c r="AC22" i="3"/>
  <c r="AC18" i="3"/>
  <c r="AC14" i="3"/>
  <c r="AC10" i="3"/>
  <c r="AC6" i="3"/>
  <c r="AC2" i="3"/>
  <c r="AA70" i="3"/>
  <c r="AA66" i="3"/>
  <c r="AA62" i="3"/>
  <c r="AA58" i="3"/>
  <c r="AA54" i="3"/>
  <c r="AA50" i="3"/>
  <c r="AA46" i="3"/>
  <c r="AA42" i="3"/>
  <c r="AA38" i="3"/>
  <c r="AA34" i="3"/>
  <c r="AA30" i="3"/>
  <c r="AA26" i="3"/>
  <c r="AA22" i="3"/>
  <c r="AA18" i="3"/>
  <c r="AA14" i="3"/>
  <c r="AA10" i="3"/>
  <c r="AA6" i="3"/>
  <c r="AA2" i="3"/>
  <c r="Z70" i="3"/>
  <c r="Z66" i="3"/>
  <c r="Z62" i="3"/>
  <c r="Z58" i="3"/>
  <c r="Z54" i="3"/>
  <c r="AE4" i="3"/>
  <c r="Z50" i="3"/>
  <c r="Z46" i="3"/>
  <c r="Z42" i="3"/>
  <c r="Z38" i="3"/>
  <c r="Z34" i="3"/>
  <c r="Z30" i="3"/>
  <c r="Z26" i="3"/>
  <c r="Z22" i="3"/>
  <c r="Z18" i="3"/>
  <c r="Z14" i="3"/>
  <c r="Z10" i="3"/>
  <c r="Z6" i="3"/>
  <c r="AE6" i="3"/>
  <c r="AE2" i="3"/>
  <c r="Z2" i="3"/>
  <c r="Y2" i="3"/>
  <c r="Y70" i="3"/>
  <c r="Y66" i="3"/>
  <c r="Y62" i="3"/>
  <c r="Y58" i="3"/>
  <c r="Y54" i="3"/>
  <c r="Y50" i="3"/>
  <c r="Y46" i="3"/>
  <c r="Y42" i="3"/>
  <c r="Y38" i="3"/>
  <c r="Y34" i="3"/>
  <c r="Y30" i="3"/>
  <c r="Y26" i="3"/>
  <c r="Y22" i="3"/>
  <c r="Y18" i="3"/>
  <c r="Y14" i="3"/>
  <c r="Y10" i="3"/>
  <c r="Y6" i="3"/>
  <c r="X70" i="3"/>
  <c r="X66" i="3"/>
  <c r="X62" i="3"/>
  <c r="X58" i="3"/>
  <c r="X54" i="3"/>
  <c r="X50" i="3"/>
  <c r="X46" i="3"/>
  <c r="X42" i="3"/>
  <c r="X38" i="3"/>
  <c r="X34" i="3"/>
  <c r="X30" i="3"/>
  <c r="X26" i="3"/>
  <c r="X22" i="3"/>
  <c r="X18" i="3"/>
  <c r="X14" i="3"/>
  <c r="X10" i="3"/>
  <c r="X6" i="3"/>
  <c r="X2" i="3"/>
  <c r="W70" i="3"/>
  <c r="W66" i="3"/>
  <c r="W62" i="3"/>
  <c r="W58" i="3"/>
  <c r="W54" i="3"/>
  <c r="W50" i="3"/>
  <c r="W46" i="3"/>
  <c r="W42" i="3"/>
  <c r="W38" i="3"/>
  <c r="W34" i="3"/>
  <c r="W30" i="3"/>
  <c r="W26" i="3"/>
  <c r="W22" i="3"/>
  <c r="W18" i="3"/>
  <c r="W14" i="3"/>
  <c r="W10" i="3"/>
  <c r="W6" i="3"/>
  <c r="W2" i="3"/>
  <c r="P46" i="3"/>
  <c r="P42" i="3"/>
  <c r="P38" i="3"/>
  <c r="P34" i="3"/>
  <c r="P26" i="3"/>
  <c r="P2" i="3"/>
  <c r="N70" i="3"/>
  <c r="N66" i="3"/>
  <c r="N62" i="3"/>
  <c r="N58" i="3"/>
  <c r="P58" i="3" s="1"/>
  <c r="N54" i="3"/>
  <c r="P54" i="3" s="1"/>
  <c r="N50" i="3"/>
  <c r="P50" i="3" s="1"/>
  <c r="N46" i="3"/>
  <c r="N42" i="3"/>
  <c r="N38" i="3"/>
  <c r="N34" i="3"/>
  <c r="N30" i="3"/>
  <c r="P30" i="3" s="1"/>
  <c r="N26" i="3"/>
  <c r="N22" i="3"/>
  <c r="N18" i="3"/>
  <c r="N14" i="3"/>
  <c r="N10" i="3"/>
  <c r="P10" i="3" s="1"/>
  <c r="N6" i="3"/>
  <c r="P6" i="3" s="1"/>
  <c r="M70" i="3"/>
  <c r="P70" i="3" s="1"/>
  <c r="M66" i="3"/>
  <c r="P66" i="3" s="1"/>
  <c r="M62" i="3"/>
  <c r="P62" i="3" s="1"/>
  <c r="M58" i="3"/>
  <c r="M54" i="3"/>
  <c r="M50" i="3"/>
  <c r="M46" i="3"/>
  <c r="M42" i="3"/>
  <c r="M38" i="3"/>
  <c r="M34" i="3"/>
  <c r="M30" i="3"/>
  <c r="M26" i="3"/>
  <c r="M22" i="3"/>
  <c r="P22" i="3" s="1"/>
  <c r="M18" i="3"/>
  <c r="P18" i="3" s="1"/>
  <c r="M14" i="3"/>
  <c r="P14" i="3" s="1"/>
  <c r="M10" i="3"/>
  <c r="M6" i="3"/>
  <c r="N2" i="3"/>
  <c r="M2" i="3"/>
  <c r="H73" i="3"/>
  <c r="H69" i="3"/>
  <c r="H65" i="3"/>
  <c r="H61" i="3"/>
  <c r="H57" i="3"/>
  <c r="H53" i="3"/>
  <c r="H49" i="3"/>
  <c r="H45" i="3"/>
  <c r="H41" i="3"/>
  <c r="H37" i="3"/>
  <c r="H33" i="3"/>
  <c r="H29" i="3"/>
  <c r="H25" i="3"/>
  <c r="H21" i="3"/>
  <c r="H17" i="3"/>
  <c r="H13" i="3"/>
  <c r="H9" i="3"/>
  <c r="H5" i="3"/>
  <c r="I73" i="3"/>
  <c r="I69" i="3"/>
  <c r="I65" i="3"/>
  <c r="I61" i="3"/>
  <c r="I57" i="3"/>
  <c r="I53" i="3"/>
  <c r="I49" i="3"/>
  <c r="I45" i="3"/>
  <c r="I41" i="3"/>
  <c r="I37" i="3"/>
  <c r="I33" i="3"/>
  <c r="I29" i="3"/>
  <c r="I25" i="3"/>
  <c r="I21" i="3"/>
  <c r="I17" i="3"/>
  <c r="I13" i="3"/>
  <c r="I9" i="3"/>
  <c r="I5" i="3"/>
  <c r="Y10" i="8" l="1"/>
  <c r="Y58" i="8"/>
  <c r="Y58" i="10"/>
  <c r="Y42" i="10"/>
  <c r="Y66" i="10"/>
  <c r="Y14" i="10"/>
  <c r="Y30" i="10"/>
  <c r="Y62" i="10"/>
  <c r="Y50" i="10"/>
  <c r="Y6" i="10"/>
  <c r="Y22" i="10"/>
  <c r="Y38" i="10"/>
  <c r="Y70" i="10"/>
  <c r="Y10" i="9"/>
  <c r="Y42" i="9"/>
  <c r="Y66" i="9"/>
  <c r="Y14" i="9"/>
  <c r="Y22" i="9"/>
  <c r="Y30" i="9"/>
  <c r="AE2" i="9"/>
  <c r="Z18" i="9" s="1"/>
  <c r="AA18" i="9" s="1"/>
  <c r="AC18" i="9" s="1"/>
  <c r="Y50" i="9"/>
  <c r="Y26" i="8"/>
  <c r="AE4" i="8" s="1"/>
  <c r="AE2" i="8"/>
  <c r="Z6" i="8" s="1"/>
  <c r="AA6" i="8" s="1"/>
  <c r="AC6" i="8" s="1"/>
  <c r="Y66" i="8"/>
  <c r="Y14" i="8"/>
  <c r="Y30" i="8"/>
  <c r="Y22" i="8"/>
  <c r="Y38" i="8"/>
  <c r="Y54" i="8"/>
  <c r="Y62" i="8"/>
  <c r="Y70" i="8"/>
  <c r="Y42" i="8"/>
  <c r="Y50" i="8"/>
  <c r="Y58" i="7"/>
  <c r="Y30" i="7"/>
  <c r="Y70" i="7"/>
  <c r="AE4" i="7"/>
  <c r="Z34" i="7" s="1"/>
  <c r="AA34" i="7" s="1"/>
  <c r="AC34" i="7" s="1"/>
  <c r="Y50" i="7"/>
  <c r="Y66" i="7"/>
  <c r="Y14" i="7"/>
  <c r="Y38" i="7"/>
  <c r="Y6" i="7"/>
  <c r="AE2" i="7" s="1"/>
  <c r="Z18" i="7" s="1"/>
  <c r="AA18" i="7" s="1"/>
  <c r="AC18" i="7" s="1"/>
  <c r="Y22" i="7"/>
  <c r="Y62" i="7"/>
  <c r="Y10" i="6"/>
  <c r="Y50" i="6"/>
  <c r="Y66" i="6"/>
  <c r="Y14" i="6"/>
  <c r="Y22" i="6"/>
  <c r="Y30" i="6"/>
  <c r="AE2" i="6"/>
  <c r="Z6" i="6" s="1"/>
  <c r="AA6" i="6" s="1"/>
  <c r="AC6" i="6" s="1"/>
  <c r="AE4" i="6"/>
  <c r="Z26" i="6" s="1"/>
  <c r="AA26" i="6" s="1"/>
  <c r="AC26" i="6" s="1"/>
  <c r="Y42" i="6"/>
  <c r="Z42" i="6" s="1"/>
  <c r="AA42" i="6" s="1"/>
  <c r="AC42" i="6" s="1"/>
  <c r="Y10" i="5"/>
  <c r="Y42" i="5"/>
  <c r="Y50" i="5"/>
  <c r="Y66" i="5"/>
  <c r="Y14" i="5"/>
  <c r="Y62" i="5"/>
  <c r="AE2" i="5"/>
  <c r="Z10" i="5" s="1"/>
  <c r="AA10" i="5" s="1"/>
  <c r="AC10" i="5" s="1"/>
  <c r="Y30" i="5"/>
  <c r="Y38" i="5"/>
  <c r="Y54" i="5"/>
  <c r="Y70" i="5"/>
  <c r="Y22" i="5"/>
  <c r="Y42" i="4"/>
  <c r="Y50" i="4"/>
  <c r="AE4" i="4"/>
  <c r="Z26" i="4" s="1"/>
  <c r="AA26" i="4" s="1"/>
  <c r="AC26" i="4" s="1"/>
  <c r="Y34" i="4"/>
  <c r="Y66" i="4"/>
  <c r="Y6" i="4"/>
  <c r="Y14" i="4"/>
  <c r="Y22" i="4"/>
  <c r="Z30" i="4"/>
  <c r="AA30" i="4" s="1"/>
  <c r="AC30" i="4" s="1"/>
  <c r="Z38" i="4"/>
  <c r="AA38" i="4" s="1"/>
  <c r="AC38" i="4" s="1"/>
  <c r="Y46" i="4"/>
  <c r="Z46" i="4" s="1"/>
  <c r="AA46" i="4" s="1"/>
  <c r="AC46" i="4" s="1"/>
  <c r="Y54" i="4"/>
  <c r="AE6" i="4" s="1"/>
  <c r="Z26" i="8" l="1"/>
  <c r="AA26" i="8" s="1"/>
  <c r="AC26" i="8" s="1"/>
  <c r="Z46" i="8"/>
  <c r="AA46" i="8" s="1"/>
  <c r="AC46" i="8" s="1"/>
  <c r="Z10" i="8"/>
  <c r="AA10" i="8" s="1"/>
  <c r="AC10" i="8" s="1"/>
  <c r="Z2" i="8"/>
  <c r="AA2" i="8" s="1"/>
  <c r="AC2" i="8" s="1"/>
  <c r="Z22" i="8"/>
  <c r="AA22" i="8" s="1"/>
  <c r="AC22" i="8" s="1"/>
  <c r="Z18" i="8"/>
  <c r="AA18" i="8" s="1"/>
  <c r="AC18" i="8" s="1"/>
  <c r="Z14" i="8"/>
  <c r="AA14" i="8" s="1"/>
  <c r="AC14" i="8" s="1"/>
  <c r="Z14" i="10"/>
  <c r="AA14" i="10" s="1"/>
  <c r="AC14" i="10" s="1"/>
  <c r="AE4" i="10"/>
  <c r="Z38" i="10"/>
  <c r="AA38" i="10" s="1"/>
  <c r="AC38" i="10" s="1"/>
  <c r="Z22" i="10"/>
  <c r="AA22" i="10" s="1"/>
  <c r="AC22" i="10" s="1"/>
  <c r="Z6" i="10"/>
  <c r="AA6" i="10" s="1"/>
  <c r="AC6" i="10" s="1"/>
  <c r="AE6" i="10"/>
  <c r="Z54" i="10" s="1"/>
  <c r="AA54" i="10" s="1"/>
  <c r="AC54" i="10" s="1"/>
  <c r="AE2" i="10"/>
  <c r="Z2" i="9"/>
  <c r="AA2" i="9" s="1"/>
  <c r="AC2" i="9" s="1"/>
  <c r="Z10" i="9"/>
  <c r="AA10" i="9" s="1"/>
  <c r="AC10" i="9" s="1"/>
  <c r="Z22" i="9"/>
  <c r="AA22" i="9" s="1"/>
  <c r="AC22" i="9" s="1"/>
  <c r="Z14" i="9"/>
  <c r="AA14" i="9" s="1"/>
  <c r="AC14" i="9" s="1"/>
  <c r="Z6" i="9"/>
  <c r="AA6" i="9" s="1"/>
  <c r="AC6" i="9" s="1"/>
  <c r="AE6" i="9"/>
  <c r="Z66" i="9"/>
  <c r="AA66" i="9" s="1"/>
  <c r="AC66" i="9" s="1"/>
  <c r="AE4" i="9"/>
  <c r="Z30" i="9" s="1"/>
  <c r="AA30" i="9" s="1"/>
  <c r="AC30" i="9" s="1"/>
  <c r="Z34" i="8"/>
  <c r="AA34" i="8" s="1"/>
  <c r="AC34" i="8" s="1"/>
  <c r="AE6" i="8"/>
  <c r="Z58" i="8" s="1"/>
  <c r="AA58" i="8" s="1"/>
  <c r="AC58" i="8" s="1"/>
  <c r="Z50" i="8"/>
  <c r="AA50" i="8" s="1"/>
  <c r="AC50" i="8" s="1"/>
  <c r="Z66" i="8"/>
  <c r="AA66" i="8" s="1"/>
  <c r="AC66" i="8" s="1"/>
  <c r="Z42" i="8"/>
  <c r="AA42" i="8" s="1"/>
  <c r="AC42" i="8" s="1"/>
  <c r="Z30" i="8"/>
  <c r="AA30" i="8" s="1"/>
  <c r="AC30" i="8" s="1"/>
  <c r="Z62" i="8"/>
  <c r="AA62" i="8" s="1"/>
  <c r="AC62" i="8" s="1"/>
  <c r="Z38" i="8"/>
  <c r="AA38" i="8" s="1"/>
  <c r="AC38" i="8" s="1"/>
  <c r="AE6" i="7"/>
  <c r="Z54" i="7" s="1"/>
  <c r="AA54" i="7" s="1"/>
  <c r="AC54" i="7" s="1"/>
  <c r="Z42" i="7"/>
  <c r="AA42" i="7" s="1"/>
  <c r="AC42" i="7" s="1"/>
  <c r="Z26" i="7"/>
  <c r="AA26" i="7" s="1"/>
  <c r="AC26" i="7" s="1"/>
  <c r="Z10" i="7"/>
  <c r="AA10" i="7" s="1"/>
  <c r="AC10" i="7" s="1"/>
  <c r="Z22" i="7"/>
  <c r="AA22" i="7" s="1"/>
  <c r="AC22" i="7" s="1"/>
  <c r="Z6" i="7"/>
  <c r="AA6" i="7" s="1"/>
  <c r="AC6" i="7" s="1"/>
  <c r="Z2" i="7"/>
  <c r="AA2" i="7" s="1"/>
  <c r="AC2" i="7" s="1"/>
  <c r="Z70" i="7"/>
  <c r="AA70" i="7" s="1"/>
  <c r="AC70" i="7" s="1"/>
  <c r="Z38" i="7"/>
  <c r="AA38" i="7" s="1"/>
  <c r="AC38" i="7" s="1"/>
  <c r="Z30" i="7"/>
  <c r="AA30" i="7" s="1"/>
  <c r="AC30" i="7" s="1"/>
  <c r="Z14" i="7"/>
  <c r="AA14" i="7" s="1"/>
  <c r="AC14" i="7" s="1"/>
  <c r="Z46" i="7"/>
  <c r="AA46" i="7" s="1"/>
  <c r="AC46" i="7" s="1"/>
  <c r="Z66" i="7"/>
  <c r="AA66" i="7" s="1"/>
  <c r="AC66" i="7" s="1"/>
  <c r="Z34" i="6"/>
  <c r="AA34" i="6" s="1"/>
  <c r="AC34" i="6" s="1"/>
  <c r="Z18" i="6"/>
  <c r="AA18" i="6" s="1"/>
  <c r="AC18" i="6" s="1"/>
  <c r="Z2" i="6"/>
  <c r="AA2" i="6" s="1"/>
  <c r="AC2" i="6" s="1"/>
  <c r="Z30" i="6"/>
  <c r="AA30" i="6" s="1"/>
  <c r="AC30" i="6" s="1"/>
  <c r="Z22" i="6"/>
  <c r="AA22" i="6" s="1"/>
  <c r="AC22" i="6" s="1"/>
  <c r="Z10" i="6"/>
  <c r="AA10" i="6" s="1"/>
  <c r="AC10" i="6" s="1"/>
  <c r="Z14" i="6"/>
  <c r="AA14" i="6" s="1"/>
  <c r="AC14" i="6" s="1"/>
  <c r="Z46" i="6"/>
  <c r="AA46" i="6" s="1"/>
  <c r="AC46" i="6" s="1"/>
  <c r="Z38" i="6"/>
  <c r="AA38" i="6" s="1"/>
  <c r="AC38" i="6" s="1"/>
  <c r="AE6" i="6"/>
  <c r="Z14" i="5"/>
  <c r="AA14" i="5" s="1"/>
  <c r="AC14" i="5" s="1"/>
  <c r="Z2" i="5"/>
  <c r="AA2" i="5" s="1"/>
  <c r="AC2" i="5" s="1"/>
  <c r="Z6" i="5"/>
  <c r="AA6" i="5" s="1"/>
  <c r="AC6" i="5" s="1"/>
  <c r="Z18" i="5"/>
  <c r="AA18" i="5" s="1"/>
  <c r="AC18" i="5" s="1"/>
  <c r="Z22" i="5"/>
  <c r="AA22" i="5" s="1"/>
  <c r="AC22" i="5" s="1"/>
  <c r="AE4" i="5"/>
  <c r="Z30" i="5" s="1"/>
  <c r="AA30" i="5" s="1"/>
  <c r="AC30" i="5" s="1"/>
  <c r="AE6" i="5"/>
  <c r="Z58" i="5" s="1"/>
  <c r="AA58" i="5" s="1"/>
  <c r="AC58" i="5" s="1"/>
  <c r="Z50" i="5"/>
  <c r="AA50" i="5" s="1"/>
  <c r="AC50" i="5" s="1"/>
  <c r="Z34" i="4"/>
  <c r="AA34" i="4" s="1"/>
  <c r="AC34" i="4" s="1"/>
  <c r="Z42" i="4"/>
  <c r="AA42" i="4" s="1"/>
  <c r="AC42" i="4" s="1"/>
  <c r="Z58" i="4"/>
  <c r="AA58" i="4" s="1"/>
  <c r="AC58" i="4" s="1"/>
  <c r="Z62" i="4"/>
  <c r="AA62" i="4" s="1"/>
  <c r="AC62" i="4" s="1"/>
  <c r="Z50" i="4"/>
  <c r="AA50" i="4" s="1"/>
  <c r="AC50" i="4" s="1"/>
  <c r="Z70" i="4"/>
  <c r="AA70" i="4" s="1"/>
  <c r="AC70" i="4" s="1"/>
  <c r="Z66" i="4"/>
  <c r="AA66" i="4" s="1"/>
  <c r="AC66" i="4" s="1"/>
  <c r="Z54" i="4"/>
  <c r="AA54" i="4" s="1"/>
  <c r="AC54" i="4" s="1"/>
  <c r="AE2" i="4"/>
  <c r="Z14" i="4" s="1"/>
  <c r="AA14" i="4" s="1"/>
  <c r="AC14" i="4" s="1"/>
  <c r="Z50" i="10" l="1"/>
  <c r="AA50" i="10" s="1"/>
  <c r="AC50" i="10" s="1"/>
  <c r="Z54" i="8"/>
  <c r="AA54" i="8" s="1"/>
  <c r="AC54" i="8" s="1"/>
  <c r="Z70" i="8"/>
  <c r="AA70" i="8" s="1"/>
  <c r="AC70" i="8" s="1"/>
  <c r="Z70" i="10"/>
  <c r="AA70" i="10" s="1"/>
  <c r="AC70" i="10" s="1"/>
  <c r="Z34" i="10"/>
  <c r="AA34" i="10" s="1"/>
  <c r="AC34" i="10" s="1"/>
  <c r="Z26" i="10"/>
  <c r="AA26" i="10" s="1"/>
  <c r="AC26" i="10" s="1"/>
  <c r="Z46" i="10"/>
  <c r="AA46" i="10" s="1"/>
  <c r="AC46" i="10" s="1"/>
  <c r="Z42" i="10"/>
  <c r="AA42" i="10" s="1"/>
  <c r="AC42" i="10" s="1"/>
  <c r="Z30" i="10"/>
  <c r="AA30" i="10" s="1"/>
  <c r="AC30" i="10" s="1"/>
  <c r="Z58" i="10"/>
  <c r="AA58" i="10" s="1"/>
  <c r="AC58" i="10" s="1"/>
  <c r="Z66" i="10"/>
  <c r="AA66" i="10" s="1"/>
  <c r="AC66" i="10" s="1"/>
  <c r="Z18" i="10"/>
  <c r="AA18" i="10" s="1"/>
  <c r="AC18" i="10" s="1"/>
  <c r="Z2" i="10"/>
  <c r="AA2" i="10" s="1"/>
  <c r="AC2" i="10" s="1"/>
  <c r="Z10" i="10"/>
  <c r="AA10" i="10" s="1"/>
  <c r="AC10" i="10" s="1"/>
  <c r="Z62" i="10"/>
  <c r="AA62" i="10" s="1"/>
  <c r="AC62" i="10" s="1"/>
  <c r="Z54" i="9"/>
  <c r="AA54" i="9" s="1"/>
  <c r="AC54" i="9" s="1"/>
  <c r="Z62" i="9"/>
  <c r="AA62" i="9" s="1"/>
  <c r="AC62" i="9" s="1"/>
  <c r="Z58" i="9"/>
  <c r="AA58" i="9" s="1"/>
  <c r="AC58" i="9" s="1"/>
  <c r="Z70" i="9"/>
  <c r="AA70" i="9" s="1"/>
  <c r="AC70" i="9" s="1"/>
  <c r="Z34" i="9"/>
  <c r="AA34" i="9" s="1"/>
  <c r="AC34" i="9" s="1"/>
  <c r="Z38" i="9"/>
  <c r="AA38" i="9" s="1"/>
  <c r="AC38" i="9" s="1"/>
  <c r="Z46" i="9"/>
  <c r="AA46" i="9" s="1"/>
  <c r="AC46" i="9" s="1"/>
  <c r="Z26" i="9"/>
  <c r="AA26" i="9" s="1"/>
  <c r="AC26" i="9" s="1"/>
  <c r="Z42" i="9"/>
  <c r="AA42" i="9" s="1"/>
  <c r="AC42" i="9" s="1"/>
  <c r="Z50" i="9"/>
  <c r="AA50" i="9" s="1"/>
  <c r="AC50" i="9" s="1"/>
  <c r="Z62" i="7"/>
  <c r="AA62" i="7" s="1"/>
  <c r="AC62" i="7" s="1"/>
  <c r="Z58" i="7"/>
  <c r="AA58" i="7" s="1"/>
  <c r="AC58" i="7" s="1"/>
  <c r="Z50" i="7"/>
  <c r="AA50" i="7" s="1"/>
  <c r="AC50" i="7" s="1"/>
  <c r="Z58" i="6"/>
  <c r="AA58" i="6" s="1"/>
  <c r="AC58" i="6" s="1"/>
  <c r="Z54" i="6"/>
  <c r="AA54" i="6" s="1"/>
  <c r="AC54" i="6" s="1"/>
  <c r="Z62" i="6"/>
  <c r="AA62" i="6" s="1"/>
  <c r="AC62" i="6" s="1"/>
  <c r="Z70" i="6"/>
  <c r="AA70" i="6" s="1"/>
  <c r="AC70" i="6" s="1"/>
  <c r="Z50" i="6"/>
  <c r="AA50" i="6" s="1"/>
  <c r="AC50" i="6" s="1"/>
  <c r="Z66" i="6"/>
  <c r="AA66" i="6" s="1"/>
  <c r="AC66" i="6" s="1"/>
  <c r="Z70" i="5"/>
  <c r="AA70" i="5" s="1"/>
  <c r="AC70" i="5" s="1"/>
  <c r="Z62" i="5"/>
  <c r="AA62" i="5" s="1"/>
  <c r="AC62" i="5" s="1"/>
  <c r="Z38" i="5"/>
  <c r="AA38" i="5" s="1"/>
  <c r="AC38" i="5" s="1"/>
  <c r="Z66" i="5"/>
  <c r="AA66" i="5" s="1"/>
  <c r="AC66" i="5" s="1"/>
  <c r="Z34" i="5"/>
  <c r="AA34" i="5" s="1"/>
  <c r="AC34" i="5" s="1"/>
  <c r="Z26" i="5"/>
  <c r="AA26" i="5" s="1"/>
  <c r="AC26" i="5" s="1"/>
  <c r="Z46" i="5"/>
  <c r="AA46" i="5" s="1"/>
  <c r="AC46" i="5" s="1"/>
  <c r="Z42" i="5"/>
  <c r="AA42" i="5" s="1"/>
  <c r="AC42" i="5" s="1"/>
  <c r="Z54" i="5"/>
  <c r="AA54" i="5" s="1"/>
  <c r="AC54" i="5" s="1"/>
  <c r="Z2" i="4"/>
  <c r="AA2" i="4" s="1"/>
  <c r="AC2" i="4" s="1"/>
  <c r="Z10" i="4"/>
  <c r="AA10" i="4" s="1"/>
  <c r="AC10" i="4" s="1"/>
  <c r="Z18" i="4"/>
  <c r="AA18" i="4" s="1"/>
  <c r="AC18" i="4" s="1"/>
  <c r="Z6" i="4"/>
  <c r="AA6" i="4" s="1"/>
  <c r="AC6" i="4" s="1"/>
  <c r="Z22" i="4"/>
  <c r="AA22" i="4" s="1"/>
  <c r="AC22" i="4" s="1"/>
</calcChain>
</file>

<file path=xl/sharedStrings.xml><?xml version="1.0" encoding="utf-8"?>
<sst xmlns="http://schemas.openxmlformats.org/spreadsheetml/2006/main" count="26407" uniqueCount="445">
  <si>
    <t>Block Type</t>
  </si>
  <si>
    <t>384-Well Block</t>
  </si>
  <si>
    <t xml:space="preserve">Calibration Background is expired </t>
  </si>
  <si>
    <t>No</t>
  </si>
  <si>
    <t>Calibration Background performed on</t>
  </si>
  <si>
    <t>Calibration Pure Dye ABY is expired</t>
  </si>
  <si>
    <t>Calibration Pure Dye ABY performed on</t>
  </si>
  <si>
    <t>Calibration Pure Dye CY5 is expired</t>
  </si>
  <si>
    <t>Calibration Pure Dye CY5 performed on</t>
  </si>
  <si>
    <t>Calibration Pure Dye FAM is expired</t>
  </si>
  <si>
    <t>Calibration Pure Dye FAM performed on</t>
  </si>
  <si>
    <t>Calibration Pure Dye JUN is expired</t>
  </si>
  <si>
    <t>Calibration Pure Dye JUN performed on</t>
  </si>
  <si>
    <t>Calibration Pure Dye MUSTANG PURPLE is expired</t>
  </si>
  <si>
    <t>Calibration Pure Dye MUSTANG PURPLE performed on</t>
  </si>
  <si>
    <t>Calibration Pure Dye NED is expired</t>
  </si>
  <si>
    <t>Calibration Pure Dye NED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</si>
  <si>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</si>
  <si>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</si>
  <si>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</si>
  <si>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</si>
  <si>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TAMRA is expired</t>
  </si>
  <si>
    <t>Calibration Pure Dye TAMRA performed on</t>
  </si>
  <si>
    <t>Calibration Pure Dye VIC is expired</t>
  </si>
  <si>
    <t>Calibration Pure Dye VIC performed on</t>
  </si>
  <si>
    <t xml:space="preserve">Calibration ROI is expired </t>
  </si>
  <si>
    <t>Calibration ROI performed on</t>
  </si>
  <si>
    <t xml:space="preserve">Calibration Uniformity is expired </t>
  </si>
  <si>
    <t>Calibration Uniformity performed on</t>
  </si>
  <si>
    <t>Chemistry</t>
  </si>
  <si>
    <t>SYBR_GREEN</t>
  </si>
  <si>
    <t>Date Created</t>
  </si>
  <si>
    <t>2026-04-01 09:38:06 AM CEST</t>
  </si>
  <si>
    <t>Experiment Barcode</t>
  </si>
  <si>
    <t>Experiment Comment</t>
  </si>
  <si>
    <t>Experiment File Name</t>
  </si>
  <si>
    <t>D:\Users\INSTR-ADMIN\Desktop\User\Martijn Koetsier\2026-03-30_103321-LAD081_2.eds</t>
  </si>
  <si>
    <t>Experiment Name</t>
  </si>
  <si>
    <t>2026-03-30_103321-LAD081_2</t>
  </si>
  <si>
    <t>Experiment Run End Time</t>
  </si>
  <si>
    <t>2026-04-01 01:23:32 AM CEST</t>
  </si>
  <si>
    <t>Experiment Type</t>
  </si>
  <si>
    <t>Standard Curve</t>
  </si>
  <si>
    <t>Instrument Name</t>
  </si>
  <si>
    <t xml:space="preserve">      qPCR384_2</t>
  </si>
  <si>
    <t>Instrument Serial Number</t>
  </si>
  <si>
    <t>Instrument Type</t>
  </si>
  <si>
    <t>QuantStudio™ 5 System</t>
  </si>
  <si>
    <t>Passive Reference</t>
  </si>
  <si>
    <t>ROX</t>
  </si>
  <si>
    <t>Post-read Stage/Step</t>
  </si>
  <si>
    <t>Pre-read Stage/Step</t>
  </si>
  <si>
    <t>Quantification Cycle Method</t>
  </si>
  <si>
    <t>Ct</t>
  </si>
  <si>
    <t>Signal Smoothing On</t>
  </si>
  <si>
    <t>Stage where Melt Analysis is performed</t>
  </si>
  <si>
    <t>Stage3</t>
  </si>
  <si>
    <t>Stage/ Cycle where Ct Analysis is performed</t>
  </si>
  <si>
    <t>Stage2, Step2</t>
  </si>
  <si>
    <t>User Name</t>
  </si>
  <si>
    <t>Well</t>
  </si>
  <si>
    <t>Well Position</t>
  </si>
  <si>
    <t>Omit</t>
  </si>
  <si>
    <t>Sample Name</t>
  </si>
  <si>
    <t>Target Name</t>
  </si>
  <si>
    <t>Task</t>
  </si>
  <si>
    <t>Reporter</t>
  </si>
  <si>
    <t>Quencher</t>
  </si>
  <si>
    <t>CT</t>
  </si>
  <si>
    <t>Ct Mean</t>
  </si>
  <si>
    <t>Ct SD</t>
  </si>
  <si>
    <t>Quantity</t>
  </si>
  <si>
    <t>Quantity Mean</t>
  </si>
  <si>
    <t>Quantity SD</t>
  </si>
  <si>
    <t>Y-Intercept</t>
  </si>
  <si>
    <t>R(superscript 2)</t>
  </si>
  <si>
    <t>Slope</t>
  </si>
  <si>
    <t>Efficiency</t>
  </si>
  <si>
    <t>Automatic Ct Threshold</t>
  </si>
  <si>
    <t>Ct Threshold</t>
  </si>
  <si>
    <t>Automatic Baseline</t>
  </si>
  <si>
    <t>Baseline Start</t>
  </si>
  <si>
    <t>Baseline End</t>
  </si>
  <si>
    <t>Amp Status</t>
  </si>
  <si>
    <t>Comments</t>
  </si>
  <si>
    <t>Cq Conf</t>
  </si>
  <si>
    <t>CQCONF</t>
  </si>
  <si>
    <t>DRNMIN</t>
  </si>
  <si>
    <t>EXPFAIL</t>
  </si>
  <si>
    <t>HIGHSD</t>
  </si>
  <si>
    <t>PRFDROP</t>
  </si>
  <si>
    <t>CTFAIL</t>
  </si>
  <si>
    <t>OUTLIERRG</t>
  </si>
  <si>
    <t>MTP</t>
  </si>
  <si>
    <t>Tm1</t>
  </si>
  <si>
    <t>SPIKE</t>
  </si>
  <si>
    <t>Tm2</t>
  </si>
  <si>
    <t>NOAMP</t>
  </si>
  <si>
    <t>Tm3</t>
  </si>
  <si>
    <t>PRFLOW</t>
  </si>
  <si>
    <t>Tm4</t>
  </si>
  <si>
    <t>NOISE</t>
  </si>
  <si>
    <t>A1</t>
  </si>
  <si>
    <t>FALSO</t>
  </si>
  <si>
    <t>LAD081_HDFn_confluency_100% day 0.1</t>
  </si>
  <si>
    <t>ACTA1</t>
  </si>
  <si>
    <t>UNKNOWN</t>
  </si>
  <si>
    <t>SYBR</t>
  </si>
  <si>
    <t>None</t>
  </si>
  <si>
    <t>VERDADERO</t>
  </si>
  <si>
    <t>Amp</t>
  </si>
  <si>
    <t>N</t>
  </si>
  <si>
    <t>A2</t>
  </si>
  <si>
    <t>A3</t>
  </si>
  <si>
    <t>LAD081_HDFn_confluency_100% day 0.2</t>
  </si>
  <si>
    <t>A4</t>
  </si>
  <si>
    <t>A5</t>
  </si>
  <si>
    <t>LAD081_HDFn_confluency_100% day 21.1</t>
  </si>
  <si>
    <t>A6</t>
  </si>
  <si>
    <t>A7</t>
  </si>
  <si>
    <t>LAD081_HDFn_confluency_100% day 21.2</t>
  </si>
  <si>
    <t>A8</t>
  </si>
  <si>
    <t>A9</t>
  </si>
  <si>
    <t>LAD081_HDFn_confluency_100% day 28.1</t>
  </si>
  <si>
    <t>A10</t>
  </si>
  <si>
    <t>A11</t>
  </si>
  <si>
    <t>LAD081_HDFn_confluency_100% day 28.2</t>
  </si>
  <si>
    <t>A12</t>
  </si>
  <si>
    <t>A17</t>
  </si>
  <si>
    <t>GAPDH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</si>
  <si>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</si>
  <si>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</si>
  <si>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</si>
  <si>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</si>
  <si>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</si>
  <si>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</si>
  <si>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</si>
  <si>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</si>
  <si>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</si>
  <si>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</si>
  <si>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</si>
  <si>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</si>
  <si>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</si>
  <si>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</si>
  <si>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</si>
  <si>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</si>
  <si>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</si>
  <si>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</si>
  <si>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</si>
  <si>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</si>
  <si>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</si>
  <si>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</si>
  <si>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</si>
  <si>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</si>
  <si>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</si>
  <si>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</si>
  <si>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</si>
  <si>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</si>
  <si>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COL1A1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</si>
  <si>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</si>
  <si>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</si>
  <si>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</si>
  <si>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</si>
  <si>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</si>
  <si>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</si>
  <si>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</si>
  <si>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</si>
  <si>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</si>
  <si>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</si>
  <si>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</si>
  <si>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C17</t>
  </si>
  <si>
    <t>C18</t>
  </si>
  <si>
    <t>C19</t>
  </si>
  <si>
    <t>C20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</si>
  <si>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</si>
  <si>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</si>
  <si>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</si>
  <si>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</si>
  <si>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</si>
  <si>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</si>
  <si>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</si>
  <si>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</si>
  <si>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</si>
  <si>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</si>
  <si>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</si>
  <si>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</si>
  <si>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D17</t>
  </si>
  <si>
    <t>D18</t>
  </si>
  <si>
    <t>D19</t>
  </si>
  <si>
    <t>D20</t>
  </si>
  <si>
    <t>E1</t>
  </si>
  <si>
    <t>TUBB3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</si>
  <si>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</si>
  <si>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</si>
  <si>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</si>
  <si>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</si>
  <si>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</si>
  <si>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</si>
  <si>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</si>
  <si>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</si>
  <si>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</si>
  <si>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</si>
  <si>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</si>
  <si>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E17</t>
  </si>
  <si>
    <t>SCN1A</t>
  </si>
  <si>
    <t>Y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</si>
  <si>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</si>
  <si>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</si>
  <si>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</si>
  <si>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</si>
  <si>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</si>
  <si>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</si>
  <si>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</si>
  <si>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</si>
  <si>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</si>
  <si>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</si>
  <si>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</si>
  <si>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</si>
  <si>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</si>
  <si>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</si>
  <si>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</si>
  <si>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</si>
  <si>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</si>
  <si>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</si>
  <si>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</si>
  <si>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</si>
  <si>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</si>
  <si>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</si>
  <si>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</si>
  <si>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</si>
  <si>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</si>
  <si>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</si>
  <si>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</si>
  <si>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</si>
  <si>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PAX6</t>
  </si>
  <si>
    <t>Undetermined</t>
  </si>
  <si>
    <t>No Amp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</si>
  <si>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</si>
  <si>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</si>
  <si>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</si>
  <si>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</si>
  <si>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</si>
  <si>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</si>
  <si>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</si>
  <si>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</si>
  <si>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</si>
  <si>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</si>
  <si>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</si>
  <si>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G17</t>
  </si>
  <si>
    <t>G18</t>
  </si>
  <si>
    <t>G19</t>
  </si>
  <si>
    <t>G20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</si>
  <si>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</si>
  <si>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</si>
  <si>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</si>
  <si>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</si>
  <si>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</si>
  <si>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</si>
  <si>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</si>
  <si>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</si>
  <si>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</si>
  <si>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</si>
  <si>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</si>
  <si>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</si>
  <si>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H17</t>
  </si>
  <si>
    <t>H18</t>
  </si>
  <si>
    <t>H19</t>
  </si>
  <si>
    <t>H20</t>
  </si>
  <si>
    <t>I1</t>
  </si>
  <si>
    <t>MAP2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</si>
  <si>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</si>
  <si>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</si>
  <si>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</si>
  <si>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</si>
  <si>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</si>
  <si>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</si>
  <si>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</si>
  <si>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</si>
  <si>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</si>
  <si>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</si>
  <si>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</si>
  <si>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I17</t>
  </si>
  <si>
    <t>H2O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</si>
  <si>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</si>
  <si>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</si>
  <si>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</si>
  <si>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</si>
  <si>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</si>
  <si>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</si>
  <si>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</si>
  <si>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</si>
  <si>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</si>
  <si>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</si>
  <si>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</si>
  <si>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</si>
  <si>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</si>
  <si>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</si>
  <si>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</si>
  <si>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</si>
  <si>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</si>
  <si>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</si>
  <si>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</si>
  <si>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</si>
  <si>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</si>
  <si>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</si>
  <si>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</si>
  <si>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</si>
  <si>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</si>
  <si>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</si>
  <si>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</si>
  <si>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</si>
  <si>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S100B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</si>
  <si>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</si>
  <si>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</si>
  <si>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</si>
  <si>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</si>
  <si>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</si>
  <si>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</si>
  <si>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</si>
  <si>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</si>
  <si>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</si>
  <si>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</si>
  <si>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</si>
  <si>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K17</t>
  </si>
  <si>
    <t>K18</t>
  </si>
  <si>
    <t>K19</t>
  </si>
  <si>
    <t>K20</t>
  </si>
  <si>
    <t>K21</t>
  </si>
  <si>
    <t>GAD65</t>
  </si>
  <si>
    <t>K22</t>
  </si>
  <si>
    <t>Inconclusive</t>
  </si>
  <si>
    <t>K23</t>
  </si>
  <si>
    <t>c1orf43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</si>
  <si>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</si>
  <si>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</si>
  <si>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</si>
  <si>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</si>
  <si>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</si>
  <si>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</si>
  <si>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</si>
  <si>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</si>
  <si>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</si>
  <si>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</si>
  <si>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</si>
  <si>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</si>
  <si>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</si>
  <si>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</si>
  <si>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</si>
  <si>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</si>
  <si>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</si>
  <si>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</si>
  <si>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</si>
  <si>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</si>
  <si>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</si>
  <si>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</si>
  <si>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</si>
  <si>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</si>
  <si>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</si>
  <si>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</si>
  <si>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</si>
  <si>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</si>
  <si>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</si>
  <si>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</si>
  <si>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</si>
  <si>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</si>
  <si>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</si>
  <si>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M17</t>
  </si>
  <si>
    <t>M18</t>
  </si>
  <si>
    <t>M19</t>
  </si>
  <si>
    <t>M20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</si>
  <si>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</si>
  <si>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</si>
  <si>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</si>
  <si>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</si>
  <si>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</si>
  <si>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</si>
  <si>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</si>
  <si>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</si>
  <si>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</si>
  <si>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</si>
  <si>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</si>
  <si>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</si>
  <si>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N17</t>
  </si>
  <si>
    <t>N18</t>
  </si>
  <si>
    <t>N19</t>
  </si>
  <si>
    <t>N20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</si>
  <si>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</si>
  <si>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</si>
  <si>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</si>
  <si>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</si>
  <si>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</si>
  <si>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</si>
  <si>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</si>
  <si>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</si>
  <si>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</si>
  <si>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</si>
  <si>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</si>
  <si>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</si>
  <si>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</si>
  <si>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</si>
  <si>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</si>
  <si>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</si>
  <si>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</si>
  <si>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</si>
  <si>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</si>
  <si>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</si>
  <si>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</si>
  <si>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</si>
  <si>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</si>
  <si>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</si>
  <si>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2026-04-01 09:37:57 AM CEST</t>
  </si>
  <si>
    <t>D:\Applied Biosystems\QuantStudio Design &amp; Analysis Software\User Files\experiments\Koeleman\Dionne\2026-03-30_103321-LAD081_3.eds</t>
  </si>
  <si>
    <t>2026-03-30_103321-LAD081_3</t>
  </si>
  <si>
    <t>2026-03-31 19:15:24 PM CEST</t>
  </si>
  <si>
    <t xml:space="preserve">      qPCR384_1</t>
  </si>
  <si>
    <t>BADROX</t>
  </si>
  <si>
    <t>LAD081_HDFn_confluency_150% day 0.1</t>
  </si>
  <si>
    <t>LAD081_HDFn_confluency_150% day 0.2</t>
  </si>
  <si>
    <t>LAD081_HDFn_confluency_150% day 21.1</t>
  </si>
  <si>
    <t>LAD081_HDFn_confluency_150% day 21.2</t>
  </si>
  <si>
    <t>LAD081_HDFn_confluency_150% day 28.1</t>
  </si>
  <si>
    <t>LAD081_HDFn_confluency_150% day 28.2</t>
  </si>
  <si>
    <t>LAD081_HDFn_confluency_75% day 0.1</t>
  </si>
  <si>
    <t>LAD081_HDFn_confluency_75% day 21.1</t>
  </si>
  <si>
    <t>LAD081_HDFn_confluency_75% day 0.2</t>
  </si>
  <si>
    <t>LAD081_HDFn_confluency_75% day 21.2</t>
  </si>
  <si>
    <t>LAD081_HDFn_confluency_75% day 28.1</t>
  </si>
  <si>
    <t>LAD081_HDFn_confluency_75% day 28.2</t>
  </si>
  <si>
    <t>STDEV GAPDH</t>
  </si>
  <si>
    <t>STDEV C1ORF43</t>
  </si>
  <si>
    <t>CT 1ORF43</t>
  </si>
  <si>
    <t xml:space="preserve">CT GAPDH </t>
  </si>
  <si>
    <t xml:space="preserve">CT RPL32 </t>
  </si>
  <si>
    <t>Average C1ORF43</t>
  </si>
  <si>
    <t xml:space="preserve">Average GAPDH  </t>
  </si>
  <si>
    <t xml:space="preserve">Geometric Mean  </t>
  </si>
  <si>
    <t>STDV</t>
  </si>
  <si>
    <t>Average</t>
  </si>
  <si>
    <t>▲Ct</t>
  </si>
  <si>
    <t>▲▲Ct</t>
  </si>
  <si>
    <t>FC</t>
  </si>
  <si>
    <t>LOG2FC</t>
  </si>
  <si>
    <t>D0 100</t>
  </si>
  <si>
    <t>D0 150%</t>
  </si>
  <si>
    <t>D0 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</si>
</sst>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ptos Narrow"/>
      <family val="2"/>
      <charset val="1"/>
      <scheme val="minor"/>
    </font>
    <font>
      <b/>
      <sz val="11"/>
      <color rgb="FF9C0006"/>
      <name val="Aptos Narrow"/>
      <family val="2"/>
      <charset val="1"/>
      <scheme val="minor"/>
    </font>
    <font>
      <sz val="10"/>
      <name val="Arial"/>
      <family val="2"/>
    </font>
    <font>
      <sz val="10"/>
      <color rgb="FF9C0006"/>
      <name val="Arial"/>
    </font>
  </fonts>
  <fills count="75">
    <fill>
      <patternFill patternType="none"/>
    </fill>
    <fill>
      <patternFill patternType="gray125"/>
    </fill>
    <fill>
      <patternFill patternType="solid">
        <fgColor rgb="FF196B24"/>
        <bgColor rgb="FF196B24"/>
      </patternFill>
    </fill>
    <fill>
      <patternFill patternType="solid">
        <fgColor rgb="FFFFC7CE"/>
        <bgColor rgb="FF196B24"/>
      </patternFill>
    </fill>
    <fill>
      <patternFill patternType="solid">
        <fgColor rgb="FFDAE9F8"/>
        <bgColor rgb="FF000000"/>
      </patternFill>
    </fill>
    <fill>
      <patternFill patternType="solid">
        <fgColor rgb="FFFAEA8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6F6C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8E082"/>
        <bgColor rgb="FF000000"/>
      </patternFill>
    </fill>
    <fill>
      <patternFill patternType="solid">
        <fgColor rgb="FFFDD680"/>
        <bgColor rgb="FF000000"/>
      </patternFill>
    </fill>
    <fill>
      <patternFill patternType="solid">
        <fgColor rgb="FFFDD57F"/>
        <bgColor rgb="FF000000"/>
      </patternFill>
    </fill>
    <fill>
      <patternFill patternType="solid">
        <fgColor rgb="FFF8E98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EEB84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BEA84"/>
        <bgColor rgb="FF000000"/>
      </patternFill>
    </fill>
    <fill>
      <patternFill patternType="solid">
        <fgColor rgb="FFFCEB84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D6E082"/>
        <bgColor rgb="FF000000"/>
      </patternFill>
    </fill>
    <fill>
      <patternFill patternType="solid">
        <fgColor rgb="FFEBE683"/>
        <bgColor rgb="FF000000"/>
      </patternFill>
    </fill>
    <fill>
      <patternFill patternType="solid">
        <fgColor rgb="FFDFE2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EEA83"/>
        <bgColor rgb="FF000000"/>
      </patternFill>
    </fill>
    <fill>
      <patternFill patternType="solid">
        <fgColor rgb="FF47D359"/>
        <bgColor rgb="FF000000"/>
      </patternFill>
    </fill>
    <fill>
      <patternFill patternType="solid">
        <fgColor rgb="FFFEDC81"/>
        <bgColor rgb="FF000000"/>
      </patternFill>
    </fill>
    <fill>
      <patternFill patternType="solid">
        <fgColor rgb="FFE8E583"/>
        <bgColor rgb="FF000000"/>
      </patternFill>
    </fill>
    <fill>
      <patternFill patternType="solid">
        <fgColor rgb="FFE5E483"/>
        <bgColor rgb="FF000000"/>
      </patternFill>
    </fill>
    <fill>
      <patternFill patternType="solid">
        <fgColor rgb="FFE4E483"/>
        <bgColor rgb="FF000000"/>
      </patternFill>
    </fill>
    <fill>
      <patternFill patternType="solid">
        <fgColor rgb="FFE6E483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F2E884"/>
        <bgColor rgb="FF000000"/>
      </patternFill>
    </fill>
    <fill>
      <patternFill patternType="solid">
        <fgColor rgb="FFF3E884"/>
        <bgColor rgb="FF000000"/>
      </patternFill>
    </fill>
    <fill>
      <patternFill patternType="solid">
        <fgColor rgb="FFE9E583"/>
        <bgColor rgb="FF000000"/>
      </patternFill>
    </fill>
    <fill>
      <patternFill patternType="solid">
        <fgColor rgb="FFE1E383"/>
        <bgColor rgb="FF000000"/>
      </patternFill>
    </fill>
    <fill>
      <patternFill patternType="solid">
        <fgColor rgb="FFDDE182"/>
        <bgColor rgb="FF000000"/>
      </patternFill>
    </fill>
    <fill>
      <patternFill patternType="solid">
        <fgColor rgb="FFBAD780"/>
        <bgColor rgb="FF000000"/>
      </patternFill>
    </fill>
    <fill>
      <patternFill patternType="solid">
        <fgColor rgb="FFF1E784"/>
        <bgColor rgb="FF000000"/>
      </patternFill>
    </fill>
    <fill>
      <patternFill patternType="solid">
        <fgColor rgb="FFFCC47C"/>
        <bgColor rgb="FF000000"/>
      </patternFill>
    </fill>
    <fill>
      <patternFill patternType="solid">
        <fgColor rgb="FFBFD981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CADC81"/>
        <bgColor rgb="FF000000"/>
      </patternFill>
    </fill>
    <fill>
      <patternFill patternType="solid">
        <fgColor rgb="FFB1D580"/>
        <bgColor rgb="FF000000"/>
      </patternFill>
    </fill>
    <fill>
      <patternFill patternType="solid">
        <fgColor rgb="FF81C77D"/>
        <bgColor rgb="FF000000"/>
      </patternFill>
    </fill>
    <fill>
      <patternFill patternType="solid">
        <fgColor rgb="FFD2DE82"/>
        <bgColor rgb="FF000000"/>
      </patternFill>
    </fill>
    <fill>
      <patternFill patternType="solid">
        <fgColor rgb="FFB7D780"/>
        <bgColor rgb="FF000000"/>
      </patternFill>
    </fill>
    <fill>
      <patternFill patternType="solid">
        <fgColor rgb="FFD9E082"/>
        <bgColor rgb="FF000000"/>
      </patternFill>
    </fill>
    <fill>
      <patternFill patternType="solid">
        <fgColor rgb="FFBDD881"/>
        <bgColor rgb="FF000000"/>
      </patternFill>
    </fill>
    <fill>
      <patternFill patternType="solid">
        <fgColor rgb="FF90CB7E"/>
        <bgColor rgb="FF000000"/>
      </patternFill>
    </fill>
    <fill>
      <patternFill patternType="solid">
        <fgColor rgb="FFDBE182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EAE583"/>
        <bgColor rgb="FF000000"/>
      </patternFill>
    </fill>
    <fill>
      <patternFill patternType="solid">
        <fgColor rgb="FFEFE784"/>
        <bgColor rgb="FF000000"/>
      </patternFill>
    </fill>
    <fill>
      <patternFill patternType="solid">
        <fgColor rgb="FFC4DA81"/>
        <bgColor rgb="FF000000"/>
      </patternFill>
    </fill>
    <fill>
      <patternFill patternType="solid">
        <fgColor rgb="FFB4D680"/>
        <bgColor rgb="FF000000"/>
      </patternFill>
    </fill>
    <fill>
      <patternFill patternType="solid">
        <fgColor rgb="FFD3DF82"/>
        <bgColor rgb="FF000000"/>
      </patternFill>
    </fill>
    <fill>
      <patternFill patternType="solid">
        <fgColor rgb="FFC9DC81"/>
        <bgColor rgb="FF000000"/>
      </patternFill>
    </fill>
    <fill>
      <patternFill patternType="solid">
        <fgColor rgb="FFCFDD82"/>
        <bgColor rgb="FF000000"/>
      </patternFill>
    </fill>
    <fill>
      <patternFill patternType="solid">
        <fgColor rgb="FFF5E984"/>
        <bgColor rgb="FF000000"/>
      </patternFill>
    </fill>
    <fill>
      <patternFill patternType="solid">
        <fgColor rgb="FFC8DC81"/>
        <bgColor rgb="FF000000"/>
      </patternFill>
    </fill>
    <fill>
      <patternFill patternType="solid">
        <fgColor rgb="FFA8D27F"/>
        <bgColor rgb="FF000000"/>
      </patternFill>
    </fill>
    <fill>
      <patternFill patternType="solid">
        <fgColor rgb="FFA9D27F"/>
        <bgColor rgb="FF000000"/>
      </patternFill>
    </fill>
    <fill>
      <patternFill patternType="solid">
        <fgColor rgb="FFCDDD82"/>
        <bgColor rgb="FF000000"/>
      </patternFill>
    </fill>
    <fill>
      <patternFill patternType="solid">
        <fgColor rgb="FFD9E182"/>
        <bgColor rgb="FF000000"/>
      </patternFill>
    </fill>
    <fill>
      <patternFill patternType="solid">
        <fgColor rgb="FFBBD881"/>
        <bgColor rgb="FF000000"/>
      </patternFill>
    </fill>
    <fill>
      <patternFill patternType="solid">
        <fgColor rgb="FF7CC67D"/>
        <bgColor rgb="FF000000"/>
      </patternFill>
    </fill>
    <fill>
      <patternFill patternType="solid">
        <fgColor rgb="FFAAD380"/>
        <bgColor rgb="FF000000"/>
      </patternFill>
    </fill>
    <fill>
      <patternFill patternType="solid">
        <fgColor rgb="FFA1D07F"/>
        <bgColor rgb="FF000000"/>
      </patternFill>
    </fill>
    <fill>
      <patternFill patternType="solid">
        <fgColor rgb="FF9ACE7F"/>
        <bgColor rgb="FF000000"/>
      </patternFill>
    </fill>
    <fill>
      <patternFill patternType="solid">
        <fgColor rgb="FFC0D981"/>
        <bgColor rgb="FF000000"/>
      </patternFill>
    </fill>
    <fill>
      <patternFill patternType="solid">
        <fgColor rgb="FF7CC57D"/>
        <bgColor rgb="FF000000"/>
      </patternFill>
    </fill>
    <fill>
      <patternFill patternType="solid">
        <fgColor rgb="FF9DCF7F"/>
        <bgColor rgb="FF000000"/>
      </patternFill>
    </fill>
    <fill>
      <patternFill patternType="solid">
        <fgColor rgb="FFC5DB81"/>
        <bgColor rgb="FF000000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47D359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3" fillId="3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1" fillId="0" borderId="2" xfId="0" applyFont="1" applyBorder="1"/>
    <xf numFmtId="0" fontId="1" fillId="0" borderId="4" xfId="0" applyFont="1" applyBorder="1"/>
    <xf numFmtId="0" fontId="1" fillId="0" borderId="9" xfId="0" applyFont="1" applyBorder="1"/>
    <xf numFmtId="0" fontId="1" fillId="5" borderId="0" xfId="0" applyFont="1" applyFill="1"/>
    <xf numFmtId="0" fontId="1" fillId="0" borderId="5" xfId="0" applyFont="1" applyBorder="1"/>
    <xf numFmtId="0" fontId="1" fillId="0" borderId="14" xfId="0" applyFont="1" applyBorder="1"/>
    <xf numFmtId="0" fontId="1" fillId="10" borderId="14" xfId="0" applyFont="1" applyFill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11" borderId="0" xfId="0" applyFont="1" applyFill="1"/>
    <xf numFmtId="0" fontId="1" fillId="13" borderId="0" xfId="0" applyFont="1" applyFill="1"/>
    <xf numFmtId="0" fontId="1" fillId="17" borderId="14" xfId="0" applyFont="1" applyFill="1" applyBorder="1"/>
    <xf numFmtId="0" fontId="1" fillId="15" borderId="9" xfId="0" applyFont="1" applyFill="1" applyBorder="1"/>
    <xf numFmtId="0" fontId="1" fillId="12" borderId="0" xfId="0" applyFont="1" applyFill="1"/>
    <xf numFmtId="0" fontId="1" fillId="22" borderId="14" xfId="0" applyFont="1" applyFill="1" applyBorder="1"/>
    <xf numFmtId="0" fontId="1" fillId="17" borderId="0" xfId="0" applyFont="1" applyFill="1"/>
    <xf numFmtId="0" fontId="1" fillId="29" borderId="14" xfId="0" applyFont="1" applyFill="1" applyBorder="1"/>
    <xf numFmtId="0" fontId="1" fillId="33" borderId="0" xfId="0" applyFont="1" applyFill="1"/>
    <xf numFmtId="0" fontId="1" fillId="36" borderId="0" xfId="0" applyFont="1" applyFill="1"/>
    <xf numFmtId="0" fontId="1" fillId="30" borderId="9" xfId="0" applyFont="1" applyFill="1" applyBorder="1"/>
    <xf numFmtId="0" fontId="1" fillId="38" borderId="0" xfId="0" applyFont="1" applyFill="1"/>
    <xf numFmtId="0" fontId="1" fillId="13" borderId="14" xfId="0" applyFont="1" applyFill="1" applyBorder="1"/>
    <xf numFmtId="0" fontId="1" fillId="39" borderId="0" xfId="0" applyFont="1" applyFill="1"/>
    <xf numFmtId="0" fontId="1" fillId="40" borderId="17" xfId="0" applyFont="1" applyFill="1" applyBorder="1"/>
    <xf numFmtId="0" fontId="1" fillId="31" borderId="17" xfId="0" applyFont="1" applyFill="1" applyBorder="1"/>
    <xf numFmtId="0" fontId="1" fillId="41" borderId="9" xfId="0" applyFont="1" applyFill="1" applyBorder="1"/>
    <xf numFmtId="0" fontId="1" fillId="42" borderId="0" xfId="0" applyFont="1" applyFill="1"/>
    <xf numFmtId="0" fontId="1" fillId="21" borderId="9" xfId="0" applyFont="1" applyFill="1" applyBorder="1"/>
    <xf numFmtId="0" fontId="1" fillId="44" borderId="14" xfId="0" applyFont="1" applyFill="1" applyBorder="1"/>
    <xf numFmtId="0" fontId="1" fillId="45" borderId="0" xfId="0" applyFont="1" applyFill="1"/>
    <xf numFmtId="0" fontId="1" fillId="46" borderId="14" xfId="0" applyFont="1" applyFill="1" applyBorder="1"/>
    <xf numFmtId="0" fontId="1" fillId="47" borderId="14" xfId="0" applyFont="1" applyFill="1" applyBorder="1"/>
    <xf numFmtId="0" fontId="1" fillId="48" borderId="0" xfId="0" applyFont="1" applyFill="1"/>
    <xf numFmtId="0" fontId="1" fillId="49" borderId="17" xfId="0" applyFont="1" applyFill="1" applyBorder="1"/>
    <xf numFmtId="0" fontId="1" fillId="50" borderId="0" xfId="0" applyFont="1" applyFill="1"/>
    <xf numFmtId="0" fontId="1" fillId="51" borderId="17" xfId="0" applyFont="1" applyFill="1" applyBorder="1"/>
    <xf numFmtId="0" fontId="1" fillId="12" borderId="9" xfId="0" applyFont="1" applyFill="1" applyBorder="1"/>
    <xf numFmtId="0" fontId="1" fillId="34" borderId="0" xfId="0" applyFont="1" applyFill="1"/>
    <xf numFmtId="0" fontId="1" fillId="25" borderId="14" xfId="0" applyFont="1" applyFill="1" applyBorder="1"/>
    <xf numFmtId="0" fontId="1" fillId="53" borderId="0" xfId="0" applyFont="1" applyFill="1"/>
    <xf numFmtId="0" fontId="1" fillId="28" borderId="14" xfId="0" applyFont="1" applyFill="1" applyBorder="1"/>
    <xf numFmtId="0" fontId="1" fillId="35" borderId="14" xfId="0" applyFont="1" applyFill="1" applyBorder="1"/>
    <xf numFmtId="0" fontId="1" fillId="18" borderId="17" xfId="0" applyFont="1" applyFill="1" applyBorder="1"/>
    <xf numFmtId="0" fontId="1" fillId="29" borderId="17" xfId="0" applyFont="1" applyFill="1" applyBorder="1"/>
    <xf numFmtId="0" fontId="1" fillId="54" borderId="0" xfId="0" applyFont="1" applyFill="1"/>
    <xf numFmtId="0" fontId="1" fillId="55" borderId="9" xfId="0" applyFont="1" applyFill="1" applyBorder="1"/>
    <xf numFmtId="0" fontId="1" fillId="57" borderId="14" xfId="0" applyFont="1" applyFill="1" applyBorder="1"/>
    <xf numFmtId="0" fontId="1" fillId="58" borderId="14" xfId="0" applyFont="1" applyFill="1" applyBorder="1"/>
    <xf numFmtId="0" fontId="1" fillId="59" borderId="14" xfId="0" applyFont="1" applyFill="1" applyBorder="1"/>
    <xf numFmtId="0" fontId="1" fillId="60" borderId="0" xfId="0" applyFont="1" applyFill="1"/>
    <xf numFmtId="0" fontId="1" fillId="61" borderId="14" xfId="0" applyFont="1" applyFill="1" applyBorder="1"/>
    <xf numFmtId="0" fontId="1" fillId="59" borderId="17" xfId="0" applyFont="1" applyFill="1" applyBorder="1"/>
    <xf numFmtId="0" fontId="1" fillId="55" borderId="17" xfId="0" applyFont="1" applyFill="1" applyBorder="1"/>
    <xf numFmtId="0" fontId="1" fillId="57" borderId="9" xfId="0" applyFont="1" applyFill="1" applyBorder="1"/>
    <xf numFmtId="0" fontId="1" fillId="27" borderId="0" xfId="0" applyFont="1" applyFill="1"/>
    <xf numFmtId="0" fontId="1" fillId="63" borderId="14" xfId="0" applyFont="1" applyFill="1" applyBorder="1"/>
    <xf numFmtId="0" fontId="1" fillId="49" borderId="14" xfId="0" applyFont="1" applyFill="1" applyBorder="1"/>
    <xf numFmtId="0" fontId="1" fillId="64" borderId="14" xfId="0" applyFont="1" applyFill="1" applyBorder="1"/>
    <xf numFmtId="0" fontId="1" fillId="41" borderId="14" xfId="0" applyFont="1" applyFill="1" applyBorder="1"/>
    <xf numFmtId="0" fontId="1" fillId="65" borderId="17" xfId="0" applyFont="1" applyFill="1" applyBorder="1"/>
    <xf numFmtId="0" fontId="1" fillId="66" borderId="17" xfId="0" applyFont="1" applyFill="1" applyBorder="1"/>
    <xf numFmtId="0" fontId="1" fillId="67" borderId="9" xfId="0" applyFont="1" applyFill="1" applyBorder="1"/>
    <xf numFmtId="0" fontId="1" fillId="55" borderId="0" xfId="0" applyFont="1" applyFill="1"/>
    <xf numFmtId="0" fontId="1" fillId="68" borderId="9" xfId="0" applyFont="1" applyFill="1" applyBorder="1"/>
    <xf numFmtId="0" fontId="1" fillId="42" borderId="14" xfId="0" applyFont="1" applyFill="1" applyBorder="1"/>
    <xf numFmtId="0" fontId="1" fillId="58" borderId="0" xfId="0" applyFont="1" applyFill="1"/>
    <xf numFmtId="0" fontId="1" fillId="69" borderId="14" xfId="0" applyFont="1" applyFill="1" applyBorder="1"/>
    <xf numFmtId="0" fontId="1" fillId="70" borderId="14" xfId="0" applyFont="1" applyFill="1" applyBorder="1"/>
    <xf numFmtId="0" fontId="1" fillId="71" borderId="0" xfId="0" applyFont="1" applyFill="1"/>
    <xf numFmtId="0" fontId="1" fillId="72" borderId="14" xfId="0" applyFont="1" applyFill="1" applyBorder="1"/>
    <xf numFmtId="0" fontId="1" fillId="73" borderId="17" xfId="0" applyFont="1" applyFill="1" applyBorder="1"/>
    <xf numFmtId="0" fontId="1" fillId="74" borderId="0" xfId="0" applyFont="1" applyFill="1"/>
    <xf numFmtId="0" fontId="1" fillId="42" borderId="17" xfId="0" applyFont="1" applyFill="1" applyBorder="1"/>
    <xf numFmtId="0" fontId="1" fillId="0" borderId="31" xfId="0" applyFont="1" applyBorder="1"/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0" xfId="0" applyFont="1"/>
    <xf numFmtId="0" fontId="1" fillId="0" borderId="2" xfId="0" applyFont="1" applyBorder="1"/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5" fillId="20" borderId="10" xfId="0" applyFont="1" applyFill="1" applyBorder="1" applyAlignment="1">
      <alignment horizontal="center" vertical="center"/>
    </xf>
    <xf numFmtId="0" fontId="5" fillId="20" borderId="11" xfId="0" applyFont="1" applyFill="1" applyBorder="1" applyAlignment="1">
      <alignment horizontal="center" vertical="center"/>
    </xf>
    <xf numFmtId="0" fontId="1" fillId="42" borderId="10" xfId="0" applyFont="1" applyFill="1" applyBorder="1" applyAlignment="1">
      <alignment horizontal="center" vertical="center"/>
    </xf>
    <xf numFmtId="0" fontId="1" fillId="42" borderId="1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52" borderId="13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62" borderId="10" xfId="0" applyFont="1" applyFill="1" applyBorder="1" applyAlignment="1">
      <alignment horizontal="center" vertical="center"/>
    </xf>
    <xf numFmtId="0" fontId="1" fillId="62" borderId="11" xfId="0" applyFont="1" applyFill="1" applyBorder="1" applyAlignment="1">
      <alignment horizontal="center" vertical="center"/>
    </xf>
    <xf numFmtId="0" fontId="1" fillId="62" borderId="26" xfId="0" applyFont="1" applyFill="1" applyBorder="1" applyAlignment="1">
      <alignment horizontal="center" vertical="center"/>
    </xf>
    <xf numFmtId="0" fontId="1" fillId="56" borderId="10" xfId="0" applyFont="1" applyFill="1" applyBorder="1" applyAlignment="1">
      <alignment horizontal="center" vertical="center"/>
    </xf>
    <xf numFmtId="0" fontId="1" fillId="56" borderId="11" xfId="0" applyFont="1" applyFill="1" applyBorder="1" applyAlignment="1">
      <alignment horizontal="center" vertical="center"/>
    </xf>
    <xf numFmtId="0" fontId="1" fillId="56" borderId="26" xfId="0" applyFont="1" applyFill="1" applyBorder="1" applyAlignment="1">
      <alignment horizontal="center" vertical="center"/>
    </xf>
    <xf numFmtId="0" fontId="1" fillId="23" borderId="10" xfId="0" applyFont="1" applyFill="1" applyBorder="1" applyAlignment="1">
      <alignment horizontal="center" vertical="center"/>
    </xf>
    <xf numFmtId="0" fontId="1" fillId="23" borderId="11" xfId="0" applyFont="1" applyFill="1" applyBorder="1" applyAlignment="1">
      <alignment horizontal="center" vertical="center"/>
    </xf>
    <xf numFmtId="0" fontId="1" fillId="23" borderId="26" xfId="0" applyFont="1" applyFill="1" applyBorder="1" applyAlignment="1">
      <alignment horizontal="center" vertical="center"/>
    </xf>
    <xf numFmtId="0" fontId="1" fillId="32" borderId="13" xfId="0" applyFont="1" applyFill="1" applyBorder="1" applyAlignment="1">
      <alignment horizontal="center"/>
    </xf>
    <xf numFmtId="0" fontId="5" fillId="20" borderId="26" xfId="0" applyFont="1" applyFill="1" applyBorder="1" applyAlignment="1">
      <alignment horizontal="center" vertical="center"/>
    </xf>
    <xf numFmtId="0" fontId="1" fillId="43" borderId="10" xfId="0" applyFont="1" applyFill="1" applyBorder="1" applyAlignment="1">
      <alignment horizontal="center" vertical="center"/>
    </xf>
    <xf numFmtId="0" fontId="1" fillId="43" borderId="11" xfId="0" applyFont="1" applyFill="1" applyBorder="1" applyAlignment="1">
      <alignment horizontal="center" vertical="center"/>
    </xf>
    <xf numFmtId="0" fontId="1" fillId="43" borderId="26" xfId="0" applyFont="1" applyFill="1" applyBorder="1" applyAlignment="1">
      <alignment horizontal="center" vertical="center"/>
    </xf>
    <xf numFmtId="0" fontId="1" fillId="37" borderId="10" xfId="0" applyFont="1" applyFill="1" applyBorder="1" applyAlignment="1">
      <alignment horizontal="center" vertical="center"/>
    </xf>
    <xf numFmtId="0" fontId="1" fillId="37" borderId="11" xfId="0" applyFont="1" applyFill="1" applyBorder="1" applyAlignment="1">
      <alignment horizontal="center" vertical="center"/>
    </xf>
    <xf numFmtId="0" fontId="1" fillId="37" borderId="26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/>
    </xf>
    <xf numFmtId="0" fontId="1" fillId="26" borderId="22" xfId="0" applyFont="1" applyFill="1" applyBorder="1" applyAlignment="1">
      <alignment horizontal="center"/>
    </xf>
    <xf numFmtId="0" fontId="1" fillId="26" borderId="23" xfId="0" applyFont="1" applyFill="1" applyBorder="1" applyAlignment="1">
      <alignment horizontal="center"/>
    </xf>
    <xf numFmtId="0" fontId="1" fillId="26" borderId="24" xfId="0" applyFont="1" applyFill="1" applyBorder="1" applyAlignment="1">
      <alignment horizontal="center"/>
    </xf>
    <xf numFmtId="0" fontId="1" fillId="26" borderId="28" xfId="0" applyFont="1" applyFill="1" applyBorder="1" applyAlignment="1">
      <alignment horizontal="center"/>
    </xf>
    <xf numFmtId="0" fontId="1" fillId="24" borderId="22" xfId="0" applyFont="1" applyFill="1" applyBorder="1" applyAlignment="1">
      <alignment horizontal="center"/>
    </xf>
    <xf numFmtId="0" fontId="1" fillId="24" borderId="23" xfId="0" applyFont="1" applyFill="1" applyBorder="1" applyAlignment="1">
      <alignment horizontal="center"/>
    </xf>
    <xf numFmtId="0" fontId="1" fillId="24" borderId="28" xfId="0" applyFont="1" applyFill="1" applyBorder="1" applyAlignment="1">
      <alignment horizontal="center"/>
    </xf>
    <xf numFmtId="0" fontId="1" fillId="19" borderId="22" xfId="0" applyFont="1" applyFill="1" applyBorder="1" applyAlignment="1">
      <alignment horizontal="center"/>
    </xf>
    <xf numFmtId="0" fontId="1" fillId="19" borderId="23" xfId="0" applyFont="1" applyFill="1" applyBorder="1" applyAlignment="1">
      <alignment horizontal="center"/>
    </xf>
    <xf numFmtId="0" fontId="1" fillId="19" borderId="2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16" borderId="22" xfId="0" applyFont="1" applyFill="1" applyBorder="1" applyAlignment="1">
      <alignment horizontal="center"/>
    </xf>
    <xf numFmtId="0" fontId="1" fillId="16" borderId="23" xfId="0" applyFont="1" applyFill="1" applyBorder="1" applyAlignment="1">
      <alignment horizontal="center"/>
    </xf>
    <xf numFmtId="0" fontId="1" fillId="16" borderId="28" xfId="0" applyFont="1" applyFill="1" applyBorder="1" applyAlignment="1">
      <alignment horizontal="center"/>
    </xf>
    <xf numFmtId="0" fontId="1" fillId="14" borderId="22" xfId="0" applyFont="1" applyFill="1" applyBorder="1" applyAlignment="1">
      <alignment horizontal="center"/>
    </xf>
    <xf numFmtId="0" fontId="1" fillId="14" borderId="23" xfId="0" applyFont="1" applyFill="1" applyBorder="1" applyAlignment="1">
      <alignment horizontal="center"/>
    </xf>
    <xf numFmtId="0" fontId="1" fillId="14" borderId="2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0" fontId="4" fillId="8" borderId="15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4" fillId="4" borderId="23" xfId="0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7FCBE-51A8-423D-8F81-F79EF1559A52}">
  <dimension ref="A1:AQ660"/>
  <sheetViews>
    <sheetView workbookViewId="0">
      <selection activeCell="A333" sqref="A333:AQ660"/>
    </sheetView>
  </sheetViews>
  <sheetFormatPr defaultRowHeight="15" x14ac:dyDescent="0.25"/>
  <cols>
    <col min="4" max="4" width="52.28515625" customWidth="1"/>
  </cols>
  <sheetData>
    <row r="1" spans="1:4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x14ac:dyDescent="0.25">
      <c r="A3" s="1" t="s">
        <v>4</v>
      </c>
      <c r="B3" s="2">
        <v>46044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x14ac:dyDescent="0.25">
      <c r="A4" s="1" t="s">
        <v>5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x14ac:dyDescent="0.25">
      <c r="A5" s="1" t="s">
        <v>6</v>
      </c>
      <c r="B5" s="2">
        <v>46044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x14ac:dyDescent="0.25">
      <c r="A6" s="1" t="s">
        <v>7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x14ac:dyDescent="0.25">
      <c r="A7" s="1" t="s">
        <v>8</v>
      </c>
      <c r="B7" s="2">
        <v>46044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25">
      <c r="A8" s="1" t="s">
        <v>9</v>
      </c>
      <c r="B8" s="1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25">
      <c r="A9" s="1" t="s">
        <v>10</v>
      </c>
      <c r="B9" s="2">
        <v>46044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x14ac:dyDescent="0.25">
      <c r="A10" s="1" t="s">
        <v>11</v>
      </c>
      <c r="B10" s="1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x14ac:dyDescent="0.25">
      <c r="A11" s="1" t="s">
        <v>12</v>
      </c>
      <c r="B11" s="2">
        <v>46044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25">
      <c r="A12" s="1" t="s">
        <v>13</v>
      </c>
      <c r="B12" s="1" t="s">
        <v>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25">
      <c r="A13" s="1" t="s">
        <v>14</v>
      </c>
      <c r="B13" s="2">
        <v>46044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25">
      <c r="A14" s="1" t="s">
        <v>15</v>
      </c>
      <c r="B14" s="1" t="s">
        <v>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x14ac:dyDescent="0.25">
      <c r="A15" s="1" t="s">
        <v>16</v>
      </c>
      <c r="B15" s="2">
        <v>46044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x14ac:dyDescent="0.25">
      <c r="A16" s="1" t="s">
        <v>17</v>
      </c>
      <c r="B16" s="1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x14ac:dyDescent="0.25">
      <c r="A17" s="1" t="s">
        <v>18</v>
      </c>
      <c r="B17" s="2">
        <v>46044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x14ac:dyDescent="0.25">
      <c r="A18" s="1" t="s">
        <v>19</v>
      </c>
      <c r="B18" s="1" t="s">
        <v>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x14ac:dyDescent="0.25">
      <c r="A19" s="1" t="s">
        <v>20</v>
      </c>
      <c r="B19" s="2">
        <v>46044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x14ac:dyDescent="0.25">
      <c r="A20" s="1" t="s">
        <v>21</v>
      </c>
      <c r="B20" s="1" t="s">
        <v>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x14ac:dyDescent="0.25">
      <c r="A21" s="1" t="s">
        <v>22</v>
      </c>
      <c r="B21" s="2">
        <v>46044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x14ac:dyDescent="0.25">
      <c r="A22" s="1" t="s">
        <v>23</v>
      </c>
      <c r="B22" s="1" t="s">
        <v>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x14ac:dyDescent="0.25">
      <c r="A23" s="1" t="s">
        <v>24</v>
      </c>
      <c r="B23" s="2">
        <v>46044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x14ac:dyDescent="0.25">
      <c r="A24" s="1" t="s">
        <v>25</v>
      </c>
      <c r="B24" s="1" t="s">
        <v>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x14ac:dyDescent="0.25">
      <c r="A25" s="1" t="s">
        <v>26</v>
      </c>
      <c r="B25" s="2">
        <v>46044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x14ac:dyDescent="0.25">
      <c r="A26" s="1" t="s">
        <v>27</v>
      </c>
      <c r="B26" s="1" t="s">
        <v>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5">
      <c r="A27" s="1" t="s">
        <v>28</v>
      </c>
      <c r="B27" s="2">
        <v>46044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25">
      <c r="A28" s="1" t="s">
        <v>29</v>
      </c>
      <c r="B28" s="1" t="s">
        <v>30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x14ac:dyDescent="0.25">
      <c r="A29" s="1" t="s">
        <v>31</v>
      </c>
      <c r="B29" s="1" t="s">
        <v>32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x14ac:dyDescent="0.25">
      <c r="A30" s="1" t="s">
        <v>33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x14ac:dyDescent="0.25">
      <c r="A31" s="1" t="s">
        <v>34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25">
      <c r="A32" s="1" t="s">
        <v>35</v>
      </c>
      <c r="B32" s="1" t="s">
        <v>36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25">
      <c r="A33" s="1" t="s">
        <v>37</v>
      </c>
      <c r="B33" s="1" t="s">
        <v>38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5">
      <c r="A34" s="1" t="s">
        <v>39</v>
      </c>
      <c r="B34" s="1" t="s">
        <v>40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25">
      <c r="A35" s="1" t="s">
        <v>41</v>
      </c>
      <c r="B35" s="1" t="s">
        <v>42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x14ac:dyDescent="0.25">
      <c r="A36" s="1" t="s">
        <v>43</v>
      </c>
      <c r="B36" s="1" t="s">
        <v>44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x14ac:dyDescent="0.25">
      <c r="A37" s="1" t="s">
        <v>45</v>
      </c>
      <c r="B37" s="1">
        <v>272534250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x14ac:dyDescent="0.25">
      <c r="A38" s="1" t="s">
        <v>46</v>
      </c>
      <c r="B38" s="1" t="s">
        <v>47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x14ac:dyDescent="0.25">
      <c r="A39" s="1" t="s">
        <v>48</v>
      </c>
      <c r="B39" s="1" t="s">
        <v>49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x14ac:dyDescent="0.25">
      <c r="A40" s="1" t="s">
        <v>50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x14ac:dyDescent="0.25">
      <c r="A41" s="1" t="s">
        <v>51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x14ac:dyDescent="0.25">
      <c r="A42" s="1" t="s">
        <v>52</v>
      </c>
      <c r="B42" s="1" t="s">
        <v>53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x14ac:dyDescent="0.25">
      <c r="A43" s="1" t="s">
        <v>54</v>
      </c>
      <c r="B43" s="1" t="b">
        <v>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x14ac:dyDescent="0.25">
      <c r="A44" s="1" t="s">
        <v>55</v>
      </c>
      <c r="B44" s="1" t="s">
        <v>56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x14ac:dyDescent="0.25">
      <c r="A45" s="1" t="s">
        <v>57</v>
      </c>
      <c r="B45" s="1" t="s">
        <v>58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x14ac:dyDescent="0.25">
      <c r="A46" s="1" t="s">
        <v>59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x14ac:dyDescent="0.25">
      <c r="A48" s="1" t="s">
        <v>60</v>
      </c>
      <c r="B48" s="1" t="s">
        <v>61</v>
      </c>
      <c r="C48" s="1" t="s">
        <v>62</v>
      </c>
      <c r="D48" s="1" t="s">
        <v>63</v>
      </c>
      <c r="E48" s="1" t="s">
        <v>64</v>
      </c>
      <c r="F48" s="1" t="s">
        <v>65</v>
      </c>
      <c r="G48" s="1" t="s">
        <v>66</v>
      </c>
      <c r="H48" s="1" t="s">
        <v>67</v>
      </c>
      <c r="I48" s="1" t="s">
        <v>68</v>
      </c>
      <c r="J48" s="1" t="s">
        <v>69</v>
      </c>
      <c r="K48" s="1" t="s">
        <v>70</v>
      </c>
      <c r="L48" s="1" t="s">
        <v>71</v>
      </c>
      <c r="M48" s="1" t="s">
        <v>72</v>
      </c>
      <c r="N48" s="1" t="s">
        <v>73</v>
      </c>
      <c r="O48" s="1" t="s">
        <v>74</v>
      </c>
      <c r="P48" s="1" t="s">
        <v>75</v>
      </c>
      <c r="Q48" s="1" t="s">
        <v>76</v>
      </c>
      <c r="R48" s="1" t="s">
        <v>77</v>
      </c>
      <c r="S48" s="1" t="s">
        <v>78</v>
      </c>
      <c r="T48" s="1" t="s">
        <v>79</v>
      </c>
      <c r="U48" s="1" t="s">
        <v>80</v>
      </c>
      <c r="V48" s="1" t="s">
        <v>81</v>
      </c>
      <c r="W48" s="1" t="s">
        <v>82</v>
      </c>
      <c r="X48" s="1" t="s">
        <v>83</v>
      </c>
      <c r="Y48" s="1" t="s">
        <v>84</v>
      </c>
      <c r="Z48" s="1" t="s">
        <v>85</v>
      </c>
      <c r="AA48" s="1" t="s">
        <v>86</v>
      </c>
      <c r="AB48" s="1" t="s">
        <v>87</v>
      </c>
      <c r="AC48" s="1" t="s">
        <v>88</v>
      </c>
      <c r="AD48" s="1" t="s">
        <v>89</v>
      </c>
      <c r="AE48" s="1" t="s">
        <v>90</v>
      </c>
      <c r="AF48" s="1" t="s">
        <v>91</v>
      </c>
      <c r="AG48" s="1" t="s">
        <v>92</v>
      </c>
      <c r="AH48" s="1" t="s">
        <v>93</v>
      </c>
      <c r="AI48" s="1" t="s">
        <v>94</v>
      </c>
      <c r="AJ48" s="1" t="s">
        <v>95</v>
      </c>
      <c r="AK48" s="1" t="s">
        <v>96</v>
      </c>
      <c r="AL48" s="1" t="s">
        <v>97</v>
      </c>
      <c r="AM48" s="1" t="s">
        <v>98</v>
      </c>
      <c r="AN48" s="1" t="s">
        <v>99</v>
      </c>
      <c r="AO48" s="1" t="s">
        <v>100</v>
      </c>
      <c r="AP48" s="1" t="s">
        <v>101</v>
      </c>
    </row>
    <row r="49" spans="1:42" x14ac:dyDescent="0.25">
      <c r="A49" s="1">
        <v>1</v>
      </c>
      <c r="B49" s="1" t="s">
        <v>102</v>
      </c>
      <c r="C49" s="1" t="s">
        <v>103</v>
      </c>
      <c r="D49" s="1" t="s">
        <v>104</v>
      </c>
      <c r="E49" s="1" t="s">
        <v>105</v>
      </c>
      <c r="F49" s="1" t="s">
        <v>106</v>
      </c>
      <c r="G49" s="1" t="s">
        <v>107</v>
      </c>
      <c r="H49" s="1" t="s">
        <v>108</v>
      </c>
      <c r="I49" s="1">
        <v>21.99</v>
      </c>
      <c r="J49" s="1">
        <v>22.001000000000001</v>
      </c>
      <c r="K49" s="1">
        <v>0.03</v>
      </c>
      <c r="L49" s="1"/>
      <c r="M49" s="1"/>
      <c r="N49" s="1"/>
      <c r="O49" s="1"/>
      <c r="P49" s="1"/>
      <c r="Q49" s="1"/>
      <c r="R49" s="1"/>
      <c r="S49" s="1" t="s">
        <v>109</v>
      </c>
      <c r="T49" s="1">
        <v>0.42</v>
      </c>
      <c r="U49" s="1" t="s">
        <v>109</v>
      </c>
      <c r="V49" s="1">
        <v>3</v>
      </c>
      <c r="W49" s="1">
        <v>15</v>
      </c>
      <c r="X49" s="1" t="s">
        <v>110</v>
      </c>
      <c r="Y49" s="1"/>
      <c r="Z49" s="1">
        <v>0.98</v>
      </c>
      <c r="AA49" s="1" t="s">
        <v>111</v>
      </c>
      <c r="AB49" s="1" t="s">
        <v>111</v>
      </c>
      <c r="AC49" s="1" t="s">
        <v>111</v>
      </c>
      <c r="AD49" s="1" t="s">
        <v>111</v>
      </c>
      <c r="AE49" s="1" t="s">
        <v>111</v>
      </c>
      <c r="AF49" s="1" t="s">
        <v>111</v>
      </c>
      <c r="AG49" s="1" t="s">
        <v>111</v>
      </c>
      <c r="AH49" s="1" t="s">
        <v>111</v>
      </c>
      <c r="AI49" s="1">
        <v>82.063999999999993</v>
      </c>
      <c r="AJ49" s="1" t="s">
        <v>111</v>
      </c>
      <c r="AK49" s="1"/>
      <c r="AL49" s="1" t="s">
        <v>111</v>
      </c>
      <c r="AM49" s="1"/>
      <c r="AN49" s="1" t="s">
        <v>111</v>
      </c>
      <c r="AO49" s="1"/>
      <c r="AP49" s="1" t="s">
        <v>111</v>
      </c>
    </row>
    <row r="50" spans="1:42" x14ac:dyDescent="0.25">
      <c r="A50" s="1">
        <v>2</v>
      </c>
      <c r="B50" s="1" t="s">
        <v>112</v>
      </c>
      <c r="C50" s="1" t="s">
        <v>103</v>
      </c>
      <c r="D50" s="1" t="s">
        <v>104</v>
      </c>
      <c r="E50" s="1" t="s">
        <v>105</v>
      </c>
      <c r="F50" s="1" t="s">
        <v>106</v>
      </c>
      <c r="G50" s="1" t="s">
        <v>107</v>
      </c>
      <c r="H50" s="1" t="s">
        <v>108</v>
      </c>
      <c r="I50" s="1">
        <v>22.038</v>
      </c>
      <c r="J50" s="1">
        <v>22.001000000000001</v>
      </c>
      <c r="K50" s="1">
        <v>0.03</v>
      </c>
      <c r="L50" s="1"/>
      <c r="M50" s="1"/>
      <c r="N50" s="1"/>
      <c r="O50" s="1"/>
      <c r="P50" s="1"/>
      <c r="Q50" s="1"/>
      <c r="R50" s="1"/>
      <c r="S50" s="1" t="s">
        <v>109</v>
      </c>
      <c r="T50" s="1">
        <v>0.42</v>
      </c>
      <c r="U50" s="1" t="s">
        <v>109</v>
      </c>
      <c r="V50" s="1">
        <v>3</v>
      </c>
      <c r="W50" s="1">
        <v>16</v>
      </c>
      <c r="X50" s="1" t="s">
        <v>110</v>
      </c>
      <c r="Y50" s="1"/>
      <c r="Z50" s="1">
        <v>0.98399999999999999</v>
      </c>
      <c r="AA50" s="1" t="s">
        <v>111</v>
      </c>
      <c r="AB50" s="1" t="s">
        <v>111</v>
      </c>
      <c r="AC50" s="1" t="s">
        <v>111</v>
      </c>
      <c r="AD50" s="1" t="s">
        <v>111</v>
      </c>
      <c r="AE50" s="1" t="s">
        <v>111</v>
      </c>
      <c r="AF50" s="1" t="s">
        <v>111</v>
      </c>
      <c r="AG50" s="1" t="s">
        <v>111</v>
      </c>
      <c r="AH50" s="1" t="s">
        <v>111</v>
      </c>
      <c r="AI50" s="1">
        <v>82.063999999999993</v>
      </c>
      <c r="AJ50" s="1" t="s">
        <v>111</v>
      </c>
      <c r="AK50" s="1"/>
      <c r="AL50" s="1" t="s">
        <v>111</v>
      </c>
      <c r="AM50" s="1"/>
      <c r="AN50" s="1" t="s">
        <v>111</v>
      </c>
      <c r="AO50" s="1"/>
      <c r="AP50" s="1" t="s">
        <v>111</v>
      </c>
    </row>
    <row r="51" spans="1:42" x14ac:dyDescent="0.25">
      <c r="A51" s="1">
        <v>3</v>
      </c>
      <c r="B51" s="1" t="s">
        <v>113</v>
      </c>
      <c r="C51" s="1" t="s">
        <v>103</v>
      </c>
      <c r="D51" s="1" t="s">
        <v>114</v>
      </c>
      <c r="E51" s="1" t="s">
        <v>105</v>
      </c>
      <c r="F51" s="1" t="s">
        <v>106</v>
      </c>
      <c r="G51" s="1" t="s">
        <v>107</v>
      </c>
      <c r="H51" s="1" t="s">
        <v>108</v>
      </c>
      <c r="I51" s="1">
        <v>21.664999999999999</v>
      </c>
      <c r="J51" s="1">
        <v>21.681999999999999</v>
      </c>
      <c r="K51" s="1">
        <v>3.2000000000000001E-2</v>
      </c>
      <c r="L51" s="1"/>
      <c r="M51" s="1"/>
      <c r="N51" s="1"/>
      <c r="O51" s="1"/>
      <c r="P51" s="1"/>
      <c r="Q51" s="1"/>
      <c r="R51" s="1"/>
      <c r="S51" s="1" t="s">
        <v>109</v>
      </c>
      <c r="T51" s="1">
        <v>0.42</v>
      </c>
      <c r="U51" s="1" t="s">
        <v>109</v>
      </c>
      <c r="V51" s="1">
        <v>3</v>
      </c>
      <c r="W51" s="1">
        <v>16</v>
      </c>
      <c r="X51" s="1" t="s">
        <v>110</v>
      </c>
      <c r="Y51" s="1"/>
      <c r="Z51" s="1">
        <v>0.99</v>
      </c>
      <c r="AA51" s="1" t="s">
        <v>111</v>
      </c>
      <c r="AB51" s="1" t="s">
        <v>111</v>
      </c>
      <c r="AC51" s="1" t="s">
        <v>111</v>
      </c>
      <c r="AD51" s="1" t="s">
        <v>111</v>
      </c>
      <c r="AE51" s="1" t="s">
        <v>111</v>
      </c>
      <c r="AF51" s="1" t="s">
        <v>111</v>
      </c>
      <c r="AG51" s="1" t="s">
        <v>111</v>
      </c>
      <c r="AH51" s="1" t="s">
        <v>111</v>
      </c>
      <c r="AI51" s="1">
        <v>82.063999999999993</v>
      </c>
      <c r="AJ51" s="1" t="s">
        <v>111</v>
      </c>
      <c r="AK51" s="1"/>
      <c r="AL51" s="1" t="s">
        <v>111</v>
      </c>
      <c r="AM51" s="1"/>
      <c r="AN51" s="1" t="s">
        <v>111</v>
      </c>
      <c r="AO51" s="1"/>
      <c r="AP51" s="1" t="s">
        <v>111</v>
      </c>
    </row>
    <row r="52" spans="1:42" x14ac:dyDescent="0.25">
      <c r="A52" s="1">
        <v>4</v>
      </c>
      <c r="B52" s="1" t="s">
        <v>115</v>
      </c>
      <c r="C52" s="1" t="s">
        <v>103</v>
      </c>
      <c r="D52" s="1" t="s">
        <v>114</v>
      </c>
      <c r="E52" s="1" t="s">
        <v>105</v>
      </c>
      <c r="F52" s="1" t="s">
        <v>106</v>
      </c>
      <c r="G52" s="1" t="s">
        <v>107</v>
      </c>
      <c r="H52" s="1" t="s">
        <v>108</v>
      </c>
      <c r="I52" s="1">
        <v>21.715</v>
      </c>
      <c r="J52" s="1">
        <v>21.681999999999999</v>
      </c>
      <c r="K52" s="1">
        <v>3.2000000000000001E-2</v>
      </c>
      <c r="L52" s="1"/>
      <c r="M52" s="1"/>
      <c r="N52" s="1"/>
      <c r="O52" s="1"/>
      <c r="P52" s="1"/>
      <c r="Q52" s="1"/>
      <c r="R52" s="1"/>
      <c r="S52" s="1" t="s">
        <v>109</v>
      </c>
      <c r="T52" s="1">
        <v>0.42</v>
      </c>
      <c r="U52" s="1" t="s">
        <v>109</v>
      </c>
      <c r="V52" s="1">
        <v>3</v>
      </c>
      <c r="W52" s="1">
        <v>15</v>
      </c>
      <c r="X52" s="1" t="s">
        <v>110</v>
      </c>
      <c r="Y52" s="1"/>
      <c r="Z52" s="1">
        <v>0.98299999999999998</v>
      </c>
      <c r="AA52" s="1" t="s">
        <v>111</v>
      </c>
      <c r="AB52" s="1" t="s">
        <v>111</v>
      </c>
      <c r="AC52" s="1" t="s">
        <v>111</v>
      </c>
      <c r="AD52" s="1" t="s">
        <v>111</v>
      </c>
      <c r="AE52" s="1" t="s">
        <v>111</v>
      </c>
      <c r="AF52" s="1" t="s">
        <v>111</v>
      </c>
      <c r="AG52" s="1" t="s">
        <v>111</v>
      </c>
      <c r="AH52" s="1" t="s">
        <v>111</v>
      </c>
      <c r="AI52" s="1">
        <v>82.177999999999997</v>
      </c>
      <c r="AJ52" s="1" t="s">
        <v>111</v>
      </c>
      <c r="AK52" s="1"/>
      <c r="AL52" s="1" t="s">
        <v>111</v>
      </c>
      <c r="AM52" s="1"/>
      <c r="AN52" s="1" t="s">
        <v>111</v>
      </c>
      <c r="AO52" s="1"/>
      <c r="AP52" s="1" t="s">
        <v>111</v>
      </c>
    </row>
    <row r="53" spans="1:42" x14ac:dyDescent="0.25">
      <c r="A53" s="1">
        <v>5</v>
      </c>
      <c r="B53" s="1" t="s">
        <v>116</v>
      </c>
      <c r="C53" s="1" t="s">
        <v>103</v>
      </c>
      <c r="D53" s="1" t="s">
        <v>117</v>
      </c>
      <c r="E53" s="1" t="s">
        <v>105</v>
      </c>
      <c r="F53" s="1" t="s">
        <v>106</v>
      </c>
      <c r="G53" s="1" t="s">
        <v>107</v>
      </c>
      <c r="H53" s="1" t="s">
        <v>108</v>
      </c>
      <c r="I53" s="1">
        <v>23.535</v>
      </c>
      <c r="J53" s="1">
        <v>23.542000000000002</v>
      </c>
      <c r="K53" s="1">
        <v>0.21</v>
      </c>
      <c r="L53" s="1"/>
      <c r="M53" s="1"/>
      <c r="N53" s="1"/>
      <c r="O53" s="1"/>
      <c r="P53" s="1"/>
      <c r="Q53" s="1"/>
      <c r="R53" s="1"/>
      <c r="S53" s="1" t="s">
        <v>109</v>
      </c>
      <c r="T53" s="1">
        <v>0.42</v>
      </c>
      <c r="U53" s="1" t="s">
        <v>109</v>
      </c>
      <c r="V53" s="1">
        <v>3</v>
      </c>
      <c r="W53" s="1">
        <v>17</v>
      </c>
      <c r="X53" s="1" t="s">
        <v>110</v>
      </c>
      <c r="Y53" s="1"/>
      <c r="Z53" s="1">
        <v>0.98499999999999999</v>
      </c>
      <c r="AA53" s="1" t="s">
        <v>111</v>
      </c>
      <c r="AB53" s="1" t="s">
        <v>111</v>
      </c>
      <c r="AC53" s="1" t="s">
        <v>111</v>
      </c>
      <c r="AD53" s="1" t="s">
        <v>111</v>
      </c>
      <c r="AE53" s="1" t="s">
        <v>111</v>
      </c>
      <c r="AF53" s="1" t="s">
        <v>111</v>
      </c>
      <c r="AG53" s="1" t="s">
        <v>111</v>
      </c>
      <c r="AH53" s="1" t="s">
        <v>111</v>
      </c>
      <c r="AI53" s="1">
        <v>82.102999999999994</v>
      </c>
      <c r="AJ53" s="1" t="s">
        <v>111</v>
      </c>
      <c r="AK53" s="1"/>
      <c r="AL53" s="1" t="s">
        <v>111</v>
      </c>
      <c r="AM53" s="1"/>
      <c r="AN53" s="1" t="s">
        <v>111</v>
      </c>
      <c r="AO53" s="1"/>
      <c r="AP53" s="1" t="s">
        <v>111</v>
      </c>
    </row>
    <row r="54" spans="1:42" x14ac:dyDescent="0.25">
      <c r="A54" s="1">
        <v>6</v>
      </c>
      <c r="B54" s="1" t="s">
        <v>118</v>
      </c>
      <c r="C54" s="1" t="s">
        <v>103</v>
      </c>
      <c r="D54" s="1" t="s">
        <v>117</v>
      </c>
      <c r="E54" s="1" t="s">
        <v>105</v>
      </c>
      <c r="F54" s="1" t="s">
        <v>106</v>
      </c>
      <c r="G54" s="1" t="s">
        <v>107</v>
      </c>
      <c r="H54" s="1" t="s">
        <v>108</v>
      </c>
      <c r="I54" s="1">
        <v>23.795999999999999</v>
      </c>
      <c r="J54" s="1">
        <v>23.542000000000002</v>
      </c>
      <c r="K54" s="1">
        <v>0.21</v>
      </c>
      <c r="L54" s="1"/>
      <c r="M54" s="1"/>
      <c r="N54" s="1"/>
      <c r="O54" s="1"/>
      <c r="P54" s="1"/>
      <c r="Q54" s="1"/>
      <c r="R54" s="1"/>
      <c r="S54" s="1" t="s">
        <v>109</v>
      </c>
      <c r="T54" s="1">
        <v>0.42</v>
      </c>
      <c r="U54" s="1" t="s">
        <v>109</v>
      </c>
      <c r="V54" s="1">
        <v>3</v>
      </c>
      <c r="W54" s="1">
        <v>16</v>
      </c>
      <c r="X54" s="1" t="s">
        <v>110</v>
      </c>
      <c r="Y54" s="1"/>
      <c r="Z54" s="1">
        <v>0.98499999999999999</v>
      </c>
      <c r="AA54" s="1" t="s">
        <v>111</v>
      </c>
      <c r="AB54" s="1" t="s">
        <v>111</v>
      </c>
      <c r="AC54" s="1" t="s">
        <v>111</v>
      </c>
      <c r="AD54" s="1" t="s">
        <v>111</v>
      </c>
      <c r="AE54" s="1" t="s">
        <v>111</v>
      </c>
      <c r="AF54" s="1" t="s">
        <v>111</v>
      </c>
      <c r="AG54" s="1" t="s">
        <v>111</v>
      </c>
      <c r="AH54" s="1" t="s">
        <v>111</v>
      </c>
      <c r="AI54" s="1">
        <v>82.102999999999994</v>
      </c>
      <c r="AJ54" s="1" t="s">
        <v>111</v>
      </c>
      <c r="AK54" s="1"/>
      <c r="AL54" s="1" t="s">
        <v>111</v>
      </c>
      <c r="AM54" s="1"/>
      <c r="AN54" s="1" t="s">
        <v>111</v>
      </c>
      <c r="AO54" s="1"/>
      <c r="AP54" s="1" t="s">
        <v>111</v>
      </c>
    </row>
    <row r="55" spans="1:42" x14ac:dyDescent="0.25">
      <c r="A55" s="1">
        <v>7</v>
      </c>
      <c r="B55" s="1" t="s">
        <v>119</v>
      </c>
      <c r="C55" s="1" t="s">
        <v>103</v>
      </c>
      <c r="D55" s="1" t="s">
        <v>120</v>
      </c>
      <c r="E55" s="1" t="s">
        <v>105</v>
      </c>
      <c r="F55" s="1" t="s">
        <v>106</v>
      </c>
      <c r="G55" s="1" t="s">
        <v>107</v>
      </c>
      <c r="H55" s="1" t="s">
        <v>108</v>
      </c>
      <c r="I55" s="1">
        <v>23.664999999999999</v>
      </c>
      <c r="J55" s="1">
        <v>23.681999999999999</v>
      </c>
      <c r="K55" s="1">
        <v>6.3E-2</v>
      </c>
      <c r="L55" s="1"/>
      <c r="M55" s="1"/>
      <c r="N55" s="1"/>
      <c r="O55" s="1"/>
      <c r="P55" s="1"/>
      <c r="Q55" s="1"/>
      <c r="R55" s="1"/>
      <c r="S55" s="1" t="s">
        <v>109</v>
      </c>
      <c r="T55" s="1">
        <v>0.42</v>
      </c>
      <c r="U55" s="1" t="s">
        <v>109</v>
      </c>
      <c r="V55" s="1">
        <v>3</v>
      </c>
      <c r="W55" s="1">
        <v>17</v>
      </c>
      <c r="X55" s="1" t="s">
        <v>110</v>
      </c>
      <c r="Y55" s="1"/>
      <c r="Z55" s="1">
        <v>0.98</v>
      </c>
      <c r="AA55" s="1" t="s">
        <v>111</v>
      </c>
      <c r="AB55" s="1" t="s">
        <v>111</v>
      </c>
      <c r="AC55" s="1" t="s">
        <v>111</v>
      </c>
      <c r="AD55" s="1" t="s">
        <v>111</v>
      </c>
      <c r="AE55" s="1" t="s">
        <v>111</v>
      </c>
      <c r="AF55" s="1" t="s">
        <v>111</v>
      </c>
      <c r="AG55" s="1" t="s">
        <v>111</v>
      </c>
      <c r="AH55" s="1" t="s">
        <v>111</v>
      </c>
      <c r="AI55" s="1">
        <v>82.102999999999994</v>
      </c>
      <c r="AJ55" s="1" t="s">
        <v>111</v>
      </c>
      <c r="AK55" s="1"/>
      <c r="AL55" s="1" t="s">
        <v>111</v>
      </c>
      <c r="AM55" s="1"/>
      <c r="AN55" s="1" t="s">
        <v>111</v>
      </c>
      <c r="AO55" s="1"/>
      <c r="AP55" s="1" t="s">
        <v>111</v>
      </c>
    </row>
    <row r="56" spans="1:42" x14ac:dyDescent="0.25">
      <c r="A56" s="1">
        <v>8</v>
      </c>
      <c r="B56" s="1" t="s">
        <v>121</v>
      </c>
      <c r="C56" s="1" t="s">
        <v>103</v>
      </c>
      <c r="D56" s="1" t="s">
        <v>120</v>
      </c>
      <c r="E56" s="1" t="s">
        <v>105</v>
      </c>
      <c r="F56" s="1" t="s">
        <v>106</v>
      </c>
      <c r="G56" s="1" t="s">
        <v>107</v>
      </c>
      <c r="H56" s="1" t="s">
        <v>108</v>
      </c>
      <c r="I56" s="1">
        <v>23.762</v>
      </c>
      <c r="J56" s="1">
        <v>23.681999999999999</v>
      </c>
      <c r="K56" s="1">
        <v>6.3E-2</v>
      </c>
      <c r="L56" s="1"/>
      <c r="M56" s="1"/>
      <c r="N56" s="1"/>
      <c r="O56" s="1"/>
      <c r="P56" s="1"/>
      <c r="Q56" s="1"/>
      <c r="R56" s="1"/>
      <c r="S56" s="1" t="s">
        <v>109</v>
      </c>
      <c r="T56" s="1">
        <v>0.42</v>
      </c>
      <c r="U56" s="1" t="s">
        <v>109</v>
      </c>
      <c r="V56" s="1">
        <v>3</v>
      </c>
      <c r="W56" s="1">
        <v>18</v>
      </c>
      <c r="X56" s="1" t="s">
        <v>110</v>
      </c>
      <c r="Y56" s="1"/>
      <c r="Z56" s="1">
        <v>0.96699999999999997</v>
      </c>
      <c r="AA56" s="1" t="s">
        <v>111</v>
      </c>
      <c r="AB56" s="1" t="s">
        <v>111</v>
      </c>
      <c r="AC56" s="1" t="s">
        <v>111</v>
      </c>
      <c r="AD56" s="1" t="s">
        <v>111</v>
      </c>
      <c r="AE56" s="1" t="s">
        <v>111</v>
      </c>
      <c r="AF56" s="1" t="s">
        <v>111</v>
      </c>
      <c r="AG56" s="1" t="s">
        <v>111</v>
      </c>
      <c r="AH56" s="1" t="s">
        <v>111</v>
      </c>
      <c r="AI56" s="1">
        <v>82.102999999999994</v>
      </c>
      <c r="AJ56" s="1" t="s">
        <v>111</v>
      </c>
      <c r="AK56" s="1"/>
      <c r="AL56" s="1" t="s">
        <v>111</v>
      </c>
      <c r="AM56" s="1"/>
      <c r="AN56" s="1" t="s">
        <v>111</v>
      </c>
      <c r="AO56" s="1"/>
      <c r="AP56" s="1" t="s">
        <v>111</v>
      </c>
    </row>
    <row r="57" spans="1:42" x14ac:dyDescent="0.25">
      <c r="A57" s="1">
        <v>9</v>
      </c>
      <c r="B57" s="1" t="s">
        <v>122</v>
      </c>
      <c r="C57" s="1" t="s">
        <v>103</v>
      </c>
      <c r="D57" s="1" t="s">
        <v>123</v>
      </c>
      <c r="E57" s="1" t="s">
        <v>105</v>
      </c>
      <c r="F57" s="1" t="s">
        <v>106</v>
      </c>
      <c r="G57" s="1" t="s">
        <v>107</v>
      </c>
      <c r="H57" s="1" t="s">
        <v>108</v>
      </c>
      <c r="I57" s="1">
        <v>24.247</v>
      </c>
      <c r="J57" s="1">
        <v>24.291</v>
      </c>
      <c r="K57" s="1">
        <v>0.11</v>
      </c>
      <c r="L57" s="1"/>
      <c r="M57" s="1"/>
      <c r="N57" s="1"/>
      <c r="O57" s="1"/>
      <c r="P57" s="1"/>
      <c r="Q57" s="1"/>
      <c r="R57" s="1"/>
      <c r="S57" s="1" t="s">
        <v>109</v>
      </c>
      <c r="T57" s="1">
        <v>0.42</v>
      </c>
      <c r="U57" s="1" t="s">
        <v>109</v>
      </c>
      <c r="V57" s="1">
        <v>3</v>
      </c>
      <c r="W57" s="1">
        <v>17</v>
      </c>
      <c r="X57" s="1" t="s">
        <v>110</v>
      </c>
      <c r="Y57" s="1"/>
      <c r="Z57" s="1">
        <v>0.98299999999999998</v>
      </c>
      <c r="AA57" s="1" t="s">
        <v>111</v>
      </c>
      <c r="AB57" s="1" t="s">
        <v>111</v>
      </c>
      <c r="AC57" s="1" t="s">
        <v>111</v>
      </c>
      <c r="AD57" s="1" t="s">
        <v>111</v>
      </c>
      <c r="AE57" s="1" t="s">
        <v>111</v>
      </c>
      <c r="AF57" s="1" t="s">
        <v>111</v>
      </c>
      <c r="AG57" s="1" t="s">
        <v>111</v>
      </c>
      <c r="AH57" s="1" t="s">
        <v>111</v>
      </c>
      <c r="AI57" s="1">
        <v>82.08</v>
      </c>
      <c r="AJ57" s="1" t="s">
        <v>111</v>
      </c>
      <c r="AK57" s="1"/>
      <c r="AL57" s="1" t="s">
        <v>111</v>
      </c>
      <c r="AM57" s="1"/>
      <c r="AN57" s="1" t="s">
        <v>111</v>
      </c>
      <c r="AO57" s="1"/>
      <c r="AP57" s="1" t="s">
        <v>111</v>
      </c>
    </row>
    <row r="58" spans="1:42" x14ac:dyDescent="0.25">
      <c r="A58" s="1">
        <v>10</v>
      </c>
      <c r="B58" s="1" t="s">
        <v>124</v>
      </c>
      <c r="C58" s="1" t="s">
        <v>103</v>
      </c>
      <c r="D58" s="1" t="s">
        <v>123</v>
      </c>
      <c r="E58" s="1" t="s">
        <v>105</v>
      </c>
      <c r="F58" s="1" t="s">
        <v>106</v>
      </c>
      <c r="G58" s="1" t="s">
        <v>107</v>
      </c>
      <c r="H58" s="1" t="s">
        <v>108</v>
      </c>
      <c r="I58" s="1">
        <v>24.245999999999999</v>
      </c>
      <c r="J58" s="1">
        <v>24.291</v>
      </c>
      <c r="K58" s="1">
        <v>0.11</v>
      </c>
      <c r="L58" s="1"/>
      <c r="M58" s="1"/>
      <c r="N58" s="1"/>
      <c r="O58" s="1"/>
      <c r="P58" s="1"/>
      <c r="Q58" s="1"/>
      <c r="R58" s="1"/>
      <c r="S58" s="1" t="s">
        <v>109</v>
      </c>
      <c r="T58" s="1">
        <v>0.42</v>
      </c>
      <c r="U58" s="1" t="s">
        <v>109</v>
      </c>
      <c r="V58" s="1">
        <v>3</v>
      </c>
      <c r="W58" s="1">
        <v>18</v>
      </c>
      <c r="X58" s="1" t="s">
        <v>110</v>
      </c>
      <c r="Y58" s="1"/>
      <c r="Z58" s="1">
        <v>0.98</v>
      </c>
      <c r="AA58" s="1" t="s">
        <v>111</v>
      </c>
      <c r="AB58" s="1" t="s">
        <v>111</v>
      </c>
      <c r="AC58" s="1" t="s">
        <v>111</v>
      </c>
      <c r="AD58" s="1" t="s">
        <v>111</v>
      </c>
      <c r="AE58" s="1" t="s">
        <v>111</v>
      </c>
      <c r="AF58" s="1" t="s">
        <v>111</v>
      </c>
      <c r="AG58" s="1" t="s">
        <v>111</v>
      </c>
      <c r="AH58" s="1" t="s">
        <v>111</v>
      </c>
      <c r="AI58" s="1">
        <v>82.08</v>
      </c>
      <c r="AJ58" s="1" t="s">
        <v>111</v>
      </c>
      <c r="AK58" s="1"/>
      <c r="AL58" s="1" t="s">
        <v>111</v>
      </c>
      <c r="AM58" s="1"/>
      <c r="AN58" s="1" t="s">
        <v>111</v>
      </c>
      <c r="AO58" s="1"/>
      <c r="AP58" s="1" t="s">
        <v>111</v>
      </c>
    </row>
    <row r="59" spans="1:42" x14ac:dyDescent="0.25">
      <c r="A59" s="1">
        <v>11</v>
      </c>
      <c r="B59" s="1" t="s">
        <v>125</v>
      </c>
      <c r="C59" s="1" t="s">
        <v>103</v>
      </c>
      <c r="D59" s="1" t="s">
        <v>126</v>
      </c>
      <c r="E59" s="1" t="s">
        <v>105</v>
      </c>
      <c r="F59" s="1" t="s">
        <v>106</v>
      </c>
      <c r="G59" s="1" t="s">
        <v>107</v>
      </c>
      <c r="H59" s="1" t="s">
        <v>108</v>
      </c>
      <c r="I59" s="1">
        <v>24.271000000000001</v>
      </c>
      <c r="J59" s="1">
        <v>24.236999999999998</v>
      </c>
      <c r="K59" s="1">
        <v>2.7E-2</v>
      </c>
      <c r="L59" s="1"/>
      <c r="M59" s="1"/>
      <c r="N59" s="1"/>
      <c r="O59" s="1"/>
      <c r="P59" s="1"/>
      <c r="Q59" s="1"/>
      <c r="R59" s="1"/>
      <c r="S59" s="1" t="s">
        <v>109</v>
      </c>
      <c r="T59" s="1">
        <v>0.42</v>
      </c>
      <c r="U59" s="1" t="s">
        <v>109</v>
      </c>
      <c r="V59" s="1">
        <v>3</v>
      </c>
      <c r="W59" s="1">
        <v>18</v>
      </c>
      <c r="X59" s="1" t="s">
        <v>110</v>
      </c>
      <c r="Y59" s="1"/>
      <c r="Z59" s="1">
        <v>0.98399999999999999</v>
      </c>
      <c r="AA59" s="1" t="s">
        <v>111</v>
      </c>
      <c r="AB59" s="1" t="s">
        <v>111</v>
      </c>
      <c r="AC59" s="1" t="s">
        <v>111</v>
      </c>
      <c r="AD59" s="1" t="s">
        <v>111</v>
      </c>
      <c r="AE59" s="1" t="s">
        <v>111</v>
      </c>
      <c r="AF59" s="1" t="s">
        <v>111</v>
      </c>
      <c r="AG59" s="1" t="s">
        <v>111</v>
      </c>
      <c r="AH59" s="1" t="s">
        <v>111</v>
      </c>
      <c r="AI59" s="1">
        <v>82.194000000000003</v>
      </c>
      <c r="AJ59" s="1" t="s">
        <v>111</v>
      </c>
      <c r="AK59" s="1"/>
      <c r="AL59" s="1" t="s">
        <v>111</v>
      </c>
      <c r="AM59" s="1"/>
      <c r="AN59" s="1" t="s">
        <v>111</v>
      </c>
      <c r="AO59" s="1"/>
      <c r="AP59" s="1" t="s">
        <v>111</v>
      </c>
    </row>
    <row r="60" spans="1:42" x14ac:dyDescent="0.25">
      <c r="A60" s="1">
        <v>12</v>
      </c>
      <c r="B60" s="1" t="s">
        <v>127</v>
      </c>
      <c r="C60" s="1" t="s">
        <v>103</v>
      </c>
      <c r="D60" s="1" t="s">
        <v>126</v>
      </c>
      <c r="E60" s="1" t="s">
        <v>105</v>
      </c>
      <c r="F60" s="1" t="s">
        <v>106</v>
      </c>
      <c r="G60" s="1" t="s">
        <v>107</v>
      </c>
      <c r="H60" s="1" t="s">
        <v>108</v>
      </c>
      <c r="I60" s="1">
        <v>24.228000000000002</v>
      </c>
      <c r="J60" s="1">
        <v>24.236999999999998</v>
      </c>
      <c r="K60" s="1">
        <v>2.7E-2</v>
      </c>
      <c r="L60" s="1"/>
      <c r="M60" s="1"/>
      <c r="N60" s="1"/>
      <c r="O60" s="1"/>
      <c r="P60" s="1"/>
      <c r="Q60" s="1"/>
      <c r="R60" s="1"/>
      <c r="S60" s="1" t="s">
        <v>109</v>
      </c>
      <c r="T60" s="1">
        <v>0.42</v>
      </c>
      <c r="U60" s="1" t="s">
        <v>109</v>
      </c>
      <c r="V60" s="1">
        <v>3</v>
      </c>
      <c r="W60" s="1">
        <v>17</v>
      </c>
      <c r="X60" s="1" t="s">
        <v>110</v>
      </c>
      <c r="Y60" s="1"/>
      <c r="Z60" s="1">
        <v>0.98</v>
      </c>
      <c r="AA60" s="1" t="s">
        <v>111</v>
      </c>
      <c r="AB60" s="1" t="s">
        <v>111</v>
      </c>
      <c r="AC60" s="1" t="s">
        <v>111</v>
      </c>
      <c r="AD60" s="1" t="s">
        <v>111</v>
      </c>
      <c r="AE60" s="1" t="s">
        <v>111</v>
      </c>
      <c r="AF60" s="1" t="s">
        <v>111</v>
      </c>
      <c r="AG60" s="1" t="s">
        <v>111</v>
      </c>
      <c r="AH60" s="1" t="s">
        <v>111</v>
      </c>
      <c r="AI60" s="1">
        <v>82.194000000000003</v>
      </c>
      <c r="AJ60" s="1" t="s">
        <v>111</v>
      </c>
      <c r="AK60" s="1"/>
      <c r="AL60" s="1" t="s">
        <v>111</v>
      </c>
      <c r="AM60" s="1"/>
      <c r="AN60" s="1" t="s">
        <v>111</v>
      </c>
      <c r="AO60" s="1"/>
      <c r="AP60" s="1" t="s">
        <v>111</v>
      </c>
    </row>
    <row r="61" spans="1:42" x14ac:dyDescent="0.25">
      <c r="A61" s="1">
        <v>17</v>
      </c>
      <c r="B61" s="1" t="s">
        <v>128</v>
      </c>
      <c r="C61" s="1" t="s">
        <v>103</v>
      </c>
      <c r="D61" s="1" t="s">
        <v>104</v>
      </c>
      <c r="E61" s="1" t="s">
        <v>129</v>
      </c>
      <c r="F61" s="1" t="s">
        <v>106</v>
      </c>
      <c r="G61" s="1" t="s">
        <v>107</v>
      </c>
      <c r="H61" s="1" t="s">
        <v>108</v>
      </c>
      <c r="I61" s="1">
        <v>18.398</v>
      </c>
      <c r="J61" s="1">
        <v>18.297000000000001</v>
      </c>
      <c r="K61" s="1">
        <v>0.08</v>
      </c>
      <c r="L61" s="1"/>
      <c r="M61" s="1"/>
      <c r="N61" s="1"/>
      <c r="O61" s="1"/>
      <c r="P61" s="1"/>
      <c r="Q61" s="1"/>
      <c r="R61" s="1"/>
      <c r="S61" s="1" t="s">
        <v>109</v>
      </c>
      <c r="T61" s="1">
        <v>0.34599999999999997</v>
      </c>
      <c r="U61" s="1" t="s">
        <v>109</v>
      </c>
      <c r="V61" s="1">
        <v>3</v>
      </c>
      <c r="W61" s="1">
        <v>12</v>
      </c>
      <c r="X61" s="1" t="s">
        <v>110</v>
      </c>
      <c r="Y61" s="1"/>
      <c r="Z61" s="1">
        <v>0.98899999999999999</v>
      </c>
      <c r="AA61" s="1" t="s">
        <v>111</v>
      </c>
      <c r="AB61" s="1" t="s">
        <v>111</v>
      </c>
      <c r="AC61" s="1" t="s">
        <v>111</v>
      </c>
      <c r="AD61" s="1" t="s">
        <v>111</v>
      </c>
      <c r="AE61" s="1" t="s">
        <v>111</v>
      </c>
      <c r="AF61" s="1" t="s">
        <v>111</v>
      </c>
      <c r="AG61" s="1" t="s">
        <v>111</v>
      </c>
      <c r="AH61" s="1" t="s">
        <v>111</v>
      </c>
      <c r="AI61" s="1">
        <v>82.429000000000002</v>
      </c>
      <c r="AJ61" s="1" t="s">
        <v>111</v>
      </c>
      <c r="AK61" s="1"/>
      <c r="AL61" s="1" t="s">
        <v>111</v>
      </c>
      <c r="AM61" s="1"/>
      <c r="AN61" s="1" t="s">
        <v>111</v>
      </c>
      <c r="AO61" s="1"/>
      <c r="AP61" s="1" t="s">
        <v>111</v>
      </c>
    </row>
    <row r="62" spans="1:42" x14ac:dyDescent="0.25">
      <c r="A62" s="1">
        <v>18</v>
      </c>
      <c r="B62" s="1" t="s">
        <v>130</v>
      </c>
      <c r="C62" s="1" t="s">
        <v>103</v>
      </c>
      <c r="D62" s="1" t="s">
        <v>104</v>
      </c>
      <c r="E62" s="1" t="s">
        <v>129</v>
      </c>
      <c r="F62" s="1" t="s">
        <v>106</v>
      </c>
      <c r="G62" s="1" t="s">
        <v>107</v>
      </c>
      <c r="H62" s="1" t="s">
        <v>108</v>
      </c>
      <c r="I62" s="1">
        <v>18.318999999999999</v>
      </c>
      <c r="J62" s="1">
        <v>18.297000000000001</v>
      </c>
      <c r="K62" s="1">
        <v>0.08</v>
      </c>
      <c r="L62" s="1"/>
      <c r="M62" s="1"/>
      <c r="N62" s="1"/>
      <c r="O62" s="1"/>
      <c r="P62" s="1"/>
      <c r="Q62" s="1"/>
      <c r="R62" s="1"/>
      <c r="S62" s="1" t="s">
        <v>109</v>
      </c>
      <c r="T62" s="1">
        <v>0.34599999999999997</v>
      </c>
      <c r="U62" s="1" t="s">
        <v>109</v>
      </c>
      <c r="V62" s="1">
        <v>3</v>
      </c>
      <c r="W62" s="1">
        <v>12</v>
      </c>
      <c r="X62" s="1" t="s">
        <v>110</v>
      </c>
      <c r="Y62" s="1"/>
      <c r="Z62" s="1">
        <v>0.99099999999999999</v>
      </c>
      <c r="AA62" s="1" t="s">
        <v>111</v>
      </c>
      <c r="AB62" s="1" t="s">
        <v>111</v>
      </c>
      <c r="AC62" s="1" t="s">
        <v>111</v>
      </c>
      <c r="AD62" s="1" t="s">
        <v>111</v>
      </c>
      <c r="AE62" s="1" t="s">
        <v>111</v>
      </c>
      <c r="AF62" s="1" t="s">
        <v>111</v>
      </c>
      <c r="AG62" s="1" t="s">
        <v>111</v>
      </c>
      <c r="AH62" s="1" t="s">
        <v>111</v>
      </c>
      <c r="AI62" s="1">
        <v>82.429000000000002</v>
      </c>
      <c r="AJ62" s="1" t="s">
        <v>111</v>
      </c>
      <c r="AK62" s="1"/>
      <c r="AL62" s="1" t="s">
        <v>111</v>
      </c>
      <c r="AM62" s="1"/>
      <c r="AN62" s="1" t="s">
        <v>111</v>
      </c>
      <c r="AO62" s="1"/>
      <c r="AP62" s="1" t="s">
        <v>111</v>
      </c>
    </row>
    <row r="63" spans="1:42" x14ac:dyDescent="0.25">
      <c r="A63" s="1">
        <v>19</v>
      </c>
      <c r="B63" s="1" t="s">
        <v>131</v>
      </c>
      <c r="C63" s="1" t="s">
        <v>103</v>
      </c>
      <c r="D63" s="1" t="s">
        <v>114</v>
      </c>
      <c r="E63" s="1" t="s">
        <v>129</v>
      </c>
      <c r="F63" s="1" t="s">
        <v>106</v>
      </c>
      <c r="G63" s="1" t="s">
        <v>107</v>
      </c>
      <c r="H63" s="1" t="s">
        <v>108</v>
      </c>
      <c r="I63" s="1">
        <v>18.141999999999999</v>
      </c>
      <c r="J63" s="1">
        <v>18.094000000000001</v>
      </c>
      <c r="K63" s="1">
        <v>4.4999999999999998E-2</v>
      </c>
      <c r="L63" s="1"/>
      <c r="M63" s="1"/>
      <c r="N63" s="1"/>
      <c r="O63" s="1"/>
      <c r="P63" s="1"/>
      <c r="Q63" s="1"/>
      <c r="R63" s="1"/>
      <c r="S63" s="1" t="s">
        <v>109</v>
      </c>
      <c r="T63" s="1">
        <v>0.34599999999999997</v>
      </c>
      <c r="U63" s="1" t="s">
        <v>109</v>
      </c>
      <c r="V63" s="1">
        <v>3</v>
      </c>
      <c r="W63" s="1">
        <v>12</v>
      </c>
      <c r="X63" s="1" t="s">
        <v>110</v>
      </c>
      <c r="Y63" s="1"/>
      <c r="Z63" s="1">
        <v>0.98599999999999999</v>
      </c>
      <c r="AA63" s="1" t="s">
        <v>111</v>
      </c>
      <c r="AB63" s="1" t="s">
        <v>111</v>
      </c>
      <c r="AC63" s="1" t="s">
        <v>111</v>
      </c>
      <c r="AD63" s="1" t="s">
        <v>111</v>
      </c>
      <c r="AE63" s="1" t="s">
        <v>111</v>
      </c>
      <c r="AF63" s="1" t="s">
        <v>111</v>
      </c>
      <c r="AG63" s="1" t="s">
        <v>111</v>
      </c>
      <c r="AH63" s="1" t="s">
        <v>111</v>
      </c>
      <c r="AI63" s="1">
        <v>82.429000000000002</v>
      </c>
      <c r="AJ63" s="1" t="s">
        <v>111</v>
      </c>
      <c r="AK63" s="1"/>
      <c r="AL63" s="1" t="s">
        <v>111</v>
      </c>
      <c r="AM63" s="1"/>
      <c r="AN63" s="1" t="s">
        <v>111</v>
      </c>
      <c r="AO63" s="1"/>
      <c r="AP63" s="1" t="s">
        <v>111</v>
      </c>
    </row>
    <row r="64" spans="1:42" x14ac:dyDescent="0.25">
      <c r="A64" s="1">
        <v>20</v>
      </c>
      <c r="B64" s="1" t="s">
        <v>132</v>
      </c>
      <c r="C64" s="1" t="s">
        <v>103</v>
      </c>
      <c r="D64" s="1" t="s">
        <v>114</v>
      </c>
      <c r="E64" s="1" t="s">
        <v>129</v>
      </c>
      <c r="F64" s="1" t="s">
        <v>106</v>
      </c>
      <c r="G64" s="1" t="s">
        <v>107</v>
      </c>
      <c r="H64" s="1" t="s">
        <v>108</v>
      </c>
      <c r="I64" s="1">
        <v>18.117000000000001</v>
      </c>
      <c r="J64" s="1">
        <v>18.094000000000001</v>
      </c>
      <c r="K64" s="1">
        <v>4.4999999999999998E-2</v>
      </c>
      <c r="L64" s="1"/>
      <c r="M64" s="1"/>
      <c r="N64" s="1"/>
      <c r="O64" s="1"/>
      <c r="P64" s="1"/>
      <c r="Q64" s="1"/>
      <c r="R64" s="1"/>
      <c r="S64" s="1" t="s">
        <v>109</v>
      </c>
      <c r="T64" s="1">
        <v>0.34599999999999997</v>
      </c>
      <c r="U64" s="1" t="s">
        <v>109</v>
      </c>
      <c r="V64" s="1">
        <v>3</v>
      </c>
      <c r="W64" s="1">
        <v>13</v>
      </c>
      <c r="X64" s="1" t="s">
        <v>110</v>
      </c>
      <c r="Y64" s="1"/>
      <c r="Z64" s="1">
        <v>0.98899999999999999</v>
      </c>
      <c r="AA64" s="1" t="s">
        <v>111</v>
      </c>
      <c r="AB64" s="1" t="s">
        <v>111</v>
      </c>
      <c r="AC64" s="1" t="s">
        <v>111</v>
      </c>
      <c r="AD64" s="1" t="s">
        <v>111</v>
      </c>
      <c r="AE64" s="1" t="s">
        <v>111</v>
      </c>
      <c r="AF64" s="1" t="s">
        <v>111</v>
      </c>
      <c r="AG64" s="1" t="s">
        <v>111</v>
      </c>
      <c r="AH64" s="1" t="s">
        <v>111</v>
      </c>
      <c r="AI64" s="1">
        <v>82.429000000000002</v>
      </c>
      <c r="AJ64" s="1" t="s">
        <v>111</v>
      </c>
      <c r="AK64" s="1"/>
      <c r="AL64" s="1" t="s">
        <v>111</v>
      </c>
      <c r="AM64" s="1"/>
      <c r="AN64" s="1" t="s">
        <v>111</v>
      </c>
      <c r="AO64" s="1"/>
      <c r="AP64" s="1" t="s">
        <v>111</v>
      </c>
    </row>
    <row r="65" spans="1:42" x14ac:dyDescent="0.25">
      <c r="A65" s="1">
        <v>21</v>
      </c>
      <c r="B65" s="1" t="s">
        <v>133</v>
      </c>
      <c r="C65" s="1" t="s">
        <v>103</v>
      </c>
      <c r="D65" s="1" t="s">
        <v>117</v>
      </c>
      <c r="E65" s="1" t="s">
        <v>129</v>
      </c>
      <c r="F65" s="1" t="s">
        <v>106</v>
      </c>
      <c r="G65" s="1" t="s">
        <v>107</v>
      </c>
      <c r="H65" s="1" t="s">
        <v>108</v>
      </c>
      <c r="I65" s="1">
        <v>17.544</v>
      </c>
      <c r="J65" s="1">
        <v>17.605</v>
      </c>
      <c r="K65" s="1">
        <v>0.123</v>
      </c>
      <c r="L65" s="1"/>
      <c r="M65" s="1"/>
      <c r="N65" s="1"/>
      <c r="O65" s="1"/>
      <c r="P65" s="1"/>
      <c r="Q65" s="1"/>
      <c r="R65" s="1"/>
      <c r="S65" s="1" t="s">
        <v>109</v>
      </c>
      <c r="T65" s="1">
        <v>0.34599999999999997</v>
      </c>
      <c r="U65" s="1" t="s">
        <v>109</v>
      </c>
      <c r="V65" s="1">
        <v>3</v>
      </c>
      <c r="W65" s="1">
        <v>12</v>
      </c>
      <c r="X65" s="1" t="s">
        <v>110</v>
      </c>
      <c r="Y65" s="1"/>
      <c r="Z65" s="1">
        <v>0.99199999999999999</v>
      </c>
      <c r="AA65" s="1" t="s">
        <v>111</v>
      </c>
      <c r="AB65" s="1" t="s">
        <v>111</v>
      </c>
      <c r="AC65" s="1" t="s">
        <v>111</v>
      </c>
      <c r="AD65" s="1" t="s">
        <v>111</v>
      </c>
      <c r="AE65" s="1" t="s">
        <v>111</v>
      </c>
      <c r="AF65" s="1" t="s">
        <v>111</v>
      </c>
      <c r="AG65" s="1" t="s">
        <v>111</v>
      </c>
      <c r="AH65" s="1" t="s">
        <v>111</v>
      </c>
      <c r="AI65" s="1">
        <v>82.415000000000006</v>
      </c>
      <c r="AJ65" s="1" t="s">
        <v>111</v>
      </c>
      <c r="AK65" s="1"/>
      <c r="AL65" s="1" t="s">
        <v>111</v>
      </c>
      <c r="AM65" s="1"/>
      <c r="AN65" s="1" t="s">
        <v>111</v>
      </c>
      <c r="AO65" s="1"/>
      <c r="AP65" s="1" t="s">
        <v>111</v>
      </c>
    </row>
    <row r="66" spans="1:42" x14ac:dyDescent="0.25">
      <c r="A66" s="1">
        <v>22</v>
      </c>
      <c r="B66" s="1" t="s">
        <v>134</v>
      </c>
      <c r="C66" s="1" t="s">
        <v>103</v>
      </c>
      <c r="D66" s="1" t="s">
        <v>117</v>
      </c>
      <c r="E66" s="1" t="s">
        <v>129</v>
      </c>
      <c r="F66" s="1" t="s">
        <v>106</v>
      </c>
      <c r="G66" s="1" t="s">
        <v>107</v>
      </c>
      <c r="H66" s="1" t="s">
        <v>108</v>
      </c>
      <c r="I66" s="1">
        <v>17.477</v>
      </c>
      <c r="J66" s="1">
        <v>17.605</v>
      </c>
      <c r="K66" s="1">
        <v>0.123</v>
      </c>
      <c r="L66" s="1"/>
      <c r="M66" s="1"/>
      <c r="N66" s="1"/>
      <c r="O66" s="1"/>
      <c r="P66" s="1"/>
      <c r="Q66" s="1"/>
      <c r="R66" s="1"/>
      <c r="S66" s="1" t="s">
        <v>109</v>
      </c>
      <c r="T66" s="1">
        <v>0.34599999999999997</v>
      </c>
      <c r="U66" s="1" t="s">
        <v>109</v>
      </c>
      <c r="V66" s="1">
        <v>3</v>
      </c>
      <c r="W66" s="1">
        <v>11</v>
      </c>
      <c r="X66" s="1" t="s">
        <v>110</v>
      </c>
      <c r="Y66" s="1"/>
      <c r="Z66" s="1">
        <v>0.98699999999999999</v>
      </c>
      <c r="AA66" s="1" t="s">
        <v>111</v>
      </c>
      <c r="AB66" s="1" t="s">
        <v>111</v>
      </c>
      <c r="AC66" s="1" t="s">
        <v>111</v>
      </c>
      <c r="AD66" s="1" t="s">
        <v>111</v>
      </c>
      <c r="AE66" s="1" t="s">
        <v>111</v>
      </c>
      <c r="AF66" s="1" t="s">
        <v>111</v>
      </c>
      <c r="AG66" s="1" t="s">
        <v>111</v>
      </c>
      <c r="AH66" s="1" t="s">
        <v>111</v>
      </c>
      <c r="AI66" s="1">
        <v>82.528000000000006</v>
      </c>
      <c r="AJ66" s="1" t="s">
        <v>111</v>
      </c>
      <c r="AK66" s="1"/>
      <c r="AL66" s="1" t="s">
        <v>111</v>
      </c>
      <c r="AM66" s="1"/>
      <c r="AN66" s="1" t="s">
        <v>111</v>
      </c>
      <c r="AO66" s="1"/>
      <c r="AP66" s="1" t="s">
        <v>111</v>
      </c>
    </row>
    <row r="67" spans="1:42" x14ac:dyDescent="0.25">
      <c r="A67" s="1">
        <v>23</v>
      </c>
      <c r="B67" s="1" t="s">
        <v>135</v>
      </c>
      <c r="C67" s="1" t="s">
        <v>103</v>
      </c>
      <c r="D67" s="1" t="s">
        <v>120</v>
      </c>
      <c r="E67" s="1" t="s">
        <v>129</v>
      </c>
      <c r="F67" s="1" t="s">
        <v>106</v>
      </c>
      <c r="G67" s="1" t="s">
        <v>107</v>
      </c>
      <c r="H67" s="1" t="s">
        <v>108</v>
      </c>
      <c r="I67" s="1">
        <v>17.564</v>
      </c>
      <c r="J67" s="1">
        <v>17.675000000000001</v>
      </c>
      <c r="K67" s="1">
        <v>0.16</v>
      </c>
      <c r="L67" s="1"/>
      <c r="M67" s="1"/>
      <c r="N67" s="1"/>
      <c r="O67" s="1"/>
      <c r="P67" s="1"/>
      <c r="Q67" s="1"/>
      <c r="R67" s="1"/>
      <c r="S67" s="1" t="s">
        <v>109</v>
      </c>
      <c r="T67" s="1">
        <v>0.34599999999999997</v>
      </c>
      <c r="U67" s="1" t="s">
        <v>109</v>
      </c>
      <c r="V67" s="1">
        <v>3</v>
      </c>
      <c r="W67" s="1">
        <v>10</v>
      </c>
      <c r="X67" s="1" t="s">
        <v>110</v>
      </c>
      <c r="Y67" s="1"/>
      <c r="Z67" s="1">
        <v>0.99099999999999999</v>
      </c>
      <c r="AA67" s="1" t="s">
        <v>111</v>
      </c>
      <c r="AB67" s="1" t="s">
        <v>111</v>
      </c>
      <c r="AC67" s="1" t="s">
        <v>111</v>
      </c>
      <c r="AD67" s="1" t="s">
        <v>111</v>
      </c>
      <c r="AE67" s="1" t="s">
        <v>111</v>
      </c>
      <c r="AF67" s="1" t="s">
        <v>111</v>
      </c>
      <c r="AG67" s="1" t="s">
        <v>111</v>
      </c>
      <c r="AH67" s="1" t="s">
        <v>111</v>
      </c>
      <c r="AI67" s="1">
        <v>82.528000000000006</v>
      </c>
      <c r="AJ67" s="1" t="s">
        <v>111</v>
      </c>
      <c r="AK67" s="1"/>
      <c r="AL67" s="1" t="s">
        <v>111</v>
      </c>
      <c r="AM67" s="1"/>
      <c r="AN67" s="1" t="s">
        <v>111</v>
      </c>
      <c r="AO67" s="1"/>
      <c r="AP67" s="1" t="s">
        <v>111</v>
      </c>
    </row>
    <row r="68" spans="1:42" x14ac:dyDescent="0.25">
      <c r="A68" s="1">
        <v>24</v>
      </c>
      <c r="B68" s="1" t="s">
        <v>136</v>
      </c>
      <c r="C68" s="1" t="s">
        <v>103</v>
      </c>
      <c r="D68" s="1" t="s">
        <v>120</v>
      </c>
      <c r="E68" s="1" t="s">
        <v>129</v>
      </c>
      <c r="F68" s="1" t="s">
        <v>106</v>
      </c>
      <c r="G68" s="1" t="s">
        <v>107</v>
      </c>
      <c r="H68" s="1" t="s">
        <v>108</v>
      </c>
      <c r="I68" s="1">
        <v>17.882999999999999</v>
      </c>
      <c r="J68" s="1">
        <v>17.675000000000001</v>
      </c>
      <c r="K68" s="1">
        <v>0.16</v>
      </c>
      <c r="L68" s="1"/>
      <c r="M68" s="1"/>
      <c r="N68" s="1"/>
      <c r="O68" s="1"/>
      <c r="P68" s="1"/>
      <c r="Q68" s="1"/>
      <c r="R68" s="1"/>
      <c r="S68" s="1" t="s">
        <v>109</v>
      </c>
      <c r="T68" s="1">
        <v>0.34599999999999997</v>
      </c>
      <c r="U68" s="1" t="s">
        <v>109</v>
      </c>
      <c r="V68" s="1">
        <v>3</v>
      </c>
      <c r="W68" s="1">
        <v>12</v>
      </c>
      <c r="X68" s="1" t="s">
        <v>110</v>
      </c>
      <c r="Y68" s="1"/>
      <c r="Z68" s="1">
        <v>0.98799999999999999</v>
      </c>
      <c r="AA68" s="1" t="s">
        <v>111</v>
      </c>
      <c r="AB68" s="1" t="s">
        <v>111</v>
      </c>
      <c r="AC68" s="1" t="s">
        <v>111</v>
      </c>
      <c r="AD68" s="1" t="s">
        <v>111</v>
      </c>
      <c r="AE68" s="1" t="s">
        <v>111</v>
      </c>
      <c r="AF68" s="1" t="s">
        <v>111</v>
      </c>
      <c r="AG68" s="1" t="s">
        <v>111</v>
      </c>
      <c r="AH68" s="1" t="s">
        <v>111</v>
      </c>
      <c r="AI68" s="1">
        <v>82.528000000000006</v>
      </c>
      <c r="AJ68" s="1" t="s">
        <v>111</v>
      </c>
      <c r="AK68" s="1"/>
      <c r="AL68" s="1" t="s">
        <v>111</v>
      </c>
      <c r="AM68" s="1"/>
      <c r="AN68" s="1" t="s">
        <v>111</v>
      </c>
      <c r="AO68" s="1"/>
      <c r="AP68" s="1" t="s">
        <v>111</v>
      </c>
    </row>
    <row r="69" spans="1:42" x14ac:dyDescent="0.25">
      <c r="A69" s="1">
        <v>25</v>
      </c>
      <c r="B69" s="1" t="s">
        <v>137</v>
      </c>
      <c r="C69" s="1" t="s">
        <v>103</v>
      </c>
      <c r="D69" s="1" t="s">
        <v>104</v>
      </c>
      <c r="E69" s="1" t="s">
        <v>105</v>
      </c>
      <c r="F69" s="1" t="s">
        <v>106</v>
      </c>
      <c r="G69" s="1" t="s">
        <v>107</v>
      </c>
      <c r="H69" s="1" t="s">
        <v>108</v>
      </c>
      <c r="I69" s="1">
        <v>21.968</v>
      </c>
      <c r="J69" s="1">
        <v>22.001000000000001</v>
      </c>
      <c r="K69" s="1">
        <v>0.03</v>
      </c>
      <c r="L69" s="1"/>
      <c r="M69" s="1"/>
      <c r="N69" s="1"/>
      <c r="O69" s="1"/>
      <c r="P69" s="1"/>
      <c r="Q69" s="1"/>
      <c r="R69" s="1"/>
      <c r="S69" s="1" t="s">
        <v>109</v>
      </c>
      <c r="T69" s="1">
        <v>0.42</v>
      </c>
      <c r="U69" s="1" t="s">
        <v>109</v>
      </c>
      <c r="V69" s="1">
        <v>3</v>
      </c>
      <c r="W69" s="1">
        <v>16</v>
      </c>
      <c r="X69" s="1" t="s">
        <v>110</v>
      </c>
      <c r="Y69" s="1"/>
      <c r="Z69" s="1">
        <v>0.98599999999999999</v>
      </c>
      <c r="AA69" s="1" t="s">
        <v>111</v>
      </c>
      <c r="AB69" s="1" t="s">
        <v>111</v>
      </c>
      <c r="AC69" s="1" t="s">
        <v>111</v>
      </c>
      <c r="AD69" s="1" t="s">
        <v>111</v>
      </c>
      <c r="AE69" s="1" t="s">
        <v>111</v>
      </c>
      <c r="AF69" s="1" t="s">
        <v>111</v>
      </c>
      <c r="AG69" s="1" t="s">
        <v>111</v>
      </c>
      <c r="AH69" s="1" t="s">
        <v>111</v>
      </c>
      <c r="AI69" s="1">
        <v>82.063999999999993</v>
      </c>
      <c r="AJ69" s="1" t="s">
        <v>111</v>
      </c>
      <c r="AK69" s="1"/>
      <c r="AL69" s="1" t="s">
        <v>111</v>
      </c>
      <c r="AM69" s="1"/>
      <c r="AN69" s="1" t="s">
        <v>111</v>
      </c>
      <c r="AO69" s="1"/>
      <c r="AP69" s="1" t="s">
        <v>111</v>
      </c>
    </row>
    <row r="70" spans="1:42" x14ac:dyDescent="0.25">
      <c r="A70" s="1">
        <v>26</v>
      </c>
      <c r="B70" s="1" t="s">
        <v>138</v>
      </c>
      <c r="C70" s="1" t="s">
        <v>103</v>
      </c>
      <c r="D70" s="1" t="s">
        <v>104</v>
      </c>
      <c r="E70" s="1" t="s">
        <v>105</v>
      </c>
      <c r="F70" s="1" t="s">
        <v>106</v>
      </c>
      <c r="G70" s="1" t="s">
        <v>107</v>
      </c>
      <c r="H70" s="1" t="s">
        <v>108</v>
      </c>
      <c r="I70" s="1">
        <v>22.009</v>
      </c>
      <c r="J70" s="1">
        <v>22.001000000000001</v>
      </c>
      <c r="K70" s="1">
        <v>0.03</v>
      </c>
      <c r="L70" s="1"/>
      <c r="M70" s="1"/>
      <c r="N70" s="1"/>
      <c r="O70" s="1"/>
      <c r="P70" s="1"/>
      <c r="Q70" s="1"/>
      <c r="R70" s="1"/>
      <c r="S70" s="1" t="s">
        <v>109</v>
      </c>
      <c r="T70" s="1">
        <v>0.42</v>
      </c>
      <c r="U70" s="1" t="s">
        <v>109</v>
      </c>
      <c r="V70" s="1">
        <v>3</v>
      </c>
      <c r="W70" s="1">
        <v>16</v>
      </c>
      <c r="X70" s="1" t="s">
        <v>110</v>
      </c>
      <c r="Y70" s="1"/>
      <c r="Z70" s="1">
        <v>0.97599999999999998</v>
      </c>
      <c r="AA70" s="1" t="s">
        <v>111</v>
      </c>
      <c r="AB70" s="1" t="s">
        <v>111</v>
      </c>
      <c r="AC70" s="1" t="s">
        <v>111</v>
      </c>
      <c r="AD70" s="1" t="s">
        <v>111</v>
      </c>
      <c r="AE70" s="1" t="s">
        <v>111</v>
      </c>
      <c r="AF70" s="1" t="s">
        <v>111</v>
      </c>
      <c r="AG70" s="1" t="s">
        <v>111</v>
      </c>
      <c r="AH70" s="1" t="s">
        <v>111</v>
      </c>
      <c r="AI70" s="1">
        <v>82.063999999999993</v>
      </c>
      <c r="AJ70" s="1" t="s">
        <v>111</v>
      </c>
      <c r="AK70" s="1"/>
      <c r="AL70" s="1" t="s">
        <v>111</v>
      </c>
      <c r="AM70" s="1"/>
      <c r="AN70" s="1" t="s">
        <v>111</v>
      </c>
      <c r="AO70" s="1"/>
      <c r="AP70" s="1" t="s">
        <v>111</v>
      </c>
    </row>
    <row r="71" spans="1:42" x14ac:dyDescent="0.25">
      <c r="A71" s="1">
        <v>27</v>
      </c>
      <c r="B71" s="1" t="s">
        <v>139</v>
      </c>
      <c r="C71" s="1" t="s">
        <v>103</v>
      </c>
      <c r="D71" s="1" t="s">
        <v>114</v>
      </c>
      <c r="E71" s="1" t="s">
        <v>105</v>
      </c>
      <c r="F71" s="1" t="s">
        <v>106</v>
      </c>
      <c r="G71" s="1" t="s">
        <v>107</v>
      </c>
      <c r="H71" s="1" t="s">
        <v>108</v>
      </c>
      <c r="I71" s="1">
        <v>21.702999999999999</v>
      </c>
      <c r="J71" s="1">
        <v>21.681999999999999</v>
      </c>
      <c r="K71" s="1">
        <v>3.2000000000000001E-2</v>
      </c>
      <c r="L71" s="1"/>
      <c r="M71" s="1"/>
      <c r="N71" s="1"/>
      <c r="O71" s="1"/>
      <c r="P71" s="1"/>
      <c r="Q71" s="1"/>
      <c r="R71" s="1"/>
      <c r="S71" s="1" t="s">
        <v>109</v>
      </c>
      <c r="T71" s="1">
        <v>0.42</v>
      </c>
      <c r="U71" s="1" t="s">
        <v>109</v>
      </c>
      <c r="V71" s="1">
        <v>3</v>
      </c>
      <c r="W71" s="1">
        <v>14</v>
      </c>
      <c r="X71" s="1" t="s">
        <v>110</v>
      </c>
      <c r="Y71" s="1"/>
      <c r="Z71" s="1">
        <v>0.98499999999999999</v>
      </c>
      <c r="AA71" s="1" t="s">
        <v>111</v>
      </c>
      <c r="AB71" s="1" t="s">
        <v>111</v>
      </c>
      <c r="AC71" s="1" t="s">
        <v>111</v>
      </c>
      <c r="AD71" s="1" t="s">
        <v>111</v>
      </c>
      <c r="AE71" s="1" t="s">
        <v>111</v>
      </c>
      <c r="AF71" s="1" t="s">
        <v>111</v>
      </c>
      <c r="AG71" s="1" t="s">
        <v>111</v>
      </c>
      <c r="AH71" s="1" t="s">
        <v>111</v>
      </c>
      <c r="AI71" s="1">
        <v>82.063999999999993</v>
      </c>
      <c r="AJ71" s="1" t="s">
        <v>111</v>
      </c>
      <c r="AK71" s="1"/>
      <c r="AL71" s="1" t="s">
        <v>111</v>
      </c>
      <c r="AM71" s="1"/>
      <c r="AN71" s="1" t="s">
        <v>111</v>
      </c>
      <c r="AO71" s="1"/>
      <c r="AP71" s="1" t="s">
        <v>111</v>
      </c>
    </row>
    <row r="72" spans="1:42" x14ac:dyDescent="0.25">
      <c r="A72" s="1">
        <v>28</v>
      </c>
      <c r="B72" s="1" t="s">
        <v>140</v>
      </c>
      <c r="C72" s="1" t="s">
        <v>103</v>
      </c>
      <c r="D72" s="1" t="s">
        <v>114</v>
      </c>
      <c r="E72" s="1" t="s">
        <v>105</v>
      </c>
      <c r="F72" s="1" t="s">
        <v>106</v>
      </c>
      <c r="G72" s="1" t="s">
        <v>107</v>
      </c>
      <c r="H72" s="1" t="s">
        <v>108</v>
      </c>
      <c r="I72" s="1">
        <v>21.645</v>
      </c>
      <c r="J72" s="1">
        <v>21.681999999999999</v>
      </c>
      <c r="K72" s="1">
        <v>3.2000000000000001E-2</v>
      </c>
      <c r="L72" s="1"/>
      <c r="M72" s="1"/>
      <c r="N72" s="1"/>
      <c r="O72" s="1"/>
      <c r="P72" s="1"/>
      <c r="Q72" s="1"/>
      <c r="R72" s="1"/>
      <c r="S72" s="1" t="s">
        <v>109</v>
      </c>
      <c r="T72" s="1">
        <v>0.42</v>
      </c>
      <c r="U72" s="1" t="s">
        <v>109</v>
      </c>
      <c r="V72" s="1">
        <v>3</v>
      </c>
      <c r="W72" s="1">
        <v>15</v>
      </c>
      <c r="X72" s="1" t="s">
        <v>110</v>
      </c>
      <c r="Y72" s="1"/>
      <c r="Z72" s="1">
        <v>0.98599999999999999</v>
      </c>
      <c r="AA72" s="1" t="s">
        <v>111</v>
      </c>
      <c r="AB72" s="1" t="s">
        <v>111</v>
      </c>
      <c r="AC72" s="1" t="s">
        <v>111</v>
      </c>
      <c r="AD72" s="1" t="s">
        <v>111</v>
      </c>
      <c r="AE72" s="1" t="s">
        <v>111</v>
      </c>
      <c r="AF72" s="1" t="s">
        <v>111</v>
      </c>
      <c r="AG72" s="1" t="s">
        <v>111</v>
      </c>
      <c r="AH72" s="1" t="s">
        <v>111</v>
      </c>
      <c r="AI72" s="1">
        <v>82.177999999999997</v>
      </c>
      <c r="AJ72" s="1" t="s">
        <v>111</v>
      </c>
      <c r="AK72" s="1"/>
      <c r="AL72" s="1" t="s">
        <v>111</v>
      </c>
      <c r="AM72" s="1"/>
      <c r="AN72" s="1" t="s">
        <v>111</v>
      </c>
      <c r="AO72" s="1"/>
      <c r="AP72" s="1" t="s">
        <v>111</v>
      </c>
    </row>
    <row r="73" spans="1:42" x14ac:dyDescent="0.25">
      <c r="A73" s="1">
        <v>29</v>
      </c>
      <c r="B73" s="1" t="s">
        <v>141</v>
      </c>
      <c r="C73" s="1" t="s">
        <v>103</v>
      </c>
      <c r="D73" s="1" t="s">
        <v>117</v>
      </c>
      <c r="E73" s="1" t="s">
        <v>105</v>
      </c>
      <c r="F73" s="1" t="s">
        <v>106</v>
      </c>
      <c r="G73" s="1" t="s">
        <v>107</v>
      </c>
      <c r="H73" s="1" t="s">
        <v>108</v>
      </c>
      <c r="I73" s="1">
        <v>23.558</v>
      </c>
      <c r="J73" s="1">
        <v>23.542000000000002</v>
      </c>
      <c r="K73" s="1">
        <v>0.21</v>
      </c>
      <c r="L73" s="1"/>
      <c r="M73" s="1"/>
      <c r="N73" s="1"/>
      <c r="O73" s="1"/>
      <c r="P73" s="1"/>
      <c r="Q73" s="1"/>
      <c r="R73" s="1"/>
      <c r="S73" s="1" t="s">
        <v>109</v>
      </c>
      <c r="T73" s="1">
        <v>0.42</v>
      </c>
      <c r="U73" s="1" t="s">
        <v>109</v>
      </c>
      <c r="V73" s="1">
        <v>3</v>
      </c>
      <c r="W73" s="1">
        <v>17</v>
      </c>
      <c r="X73" s="1" t="s">
        <v>110</v>
      </c>
      <c r="Y73" s="1"/>
      <c r="Z73" s="1">
        <v>0.98199999999999998</v>
      </c>
      <c r="AA73" s="1" t="s">
        <v>111</v>
      </c>
      <c r="AB73" s="1" t="s">
        <v>111</v>
      </c>
      <c r="AC73" s="1" t="s">
        <v>111</v>
      </c>
      <c r="AD73" s="1" t="s">
        <v>111</v>
      </c>
      <c r="AE73" s="1" t="s">
        <v>111</v>
      </c>
      <c r="AF73" s="1" t="s">
        <v>111</v>
      </c>
      <c r="AG73" s="1" t="s">
        <v>111</v>
      </c>
      <c r="AH73" s="1" t="s">
        <v>111</v>
      </c>
      <c r="AI73" s="1">
        <v>82.102999999999994</v>
      </c>
      <c r="AJ73" s="1" t="s">
        <v>111</v>
      </c>
      <c r="AK73" s="1"/>
      <c r="AL73" s="1" t="s">
        <v>111</v>
      </c>
      <c r="AM73" s="1"/>
      <c r="AN73" s="1" t="s">
        <v>111</v>
      </c>
      <c r="AO73" s="1"/>
      <c r="AP73" s="1" t="s">
        <v>111</v>
      </c>
    </row>
    <row r="74" spans="1:42" x14ac:dyDescent="0.25">
      <c r="A74" s="1">
        <v>30</v>
      </c>
      <c r="B74" s="1" t="s">
        <v>142</v>
      </c>
      <c r="C74" s="1" t="s">
        <v>103</v>
      </c>
      <c r="D74" s="1" t="s">
        <v>117</v>
      </c>
      <c r="E74" s="1" t="s">
        <v>105</v>
      </c>
      <c r="F74" s="1" t="s">
        <v>106</v>
      </c>
      <c r="G74" s="1" t="s">
        <v>107</v>
      </c>
      <c r="H74" s="1" t="s">
        <v>108</v>
      </c>
      <c r="I74" s="1">
        <v>23.282</v>
      </c>
      <c r="J74" s="1">
        <v>23.542000000000002</v>
      </c>
      <c r="K74" s="1">
        <v>0.21</v>
      </c>
      <c r="L74" s="1"/>
      <c r="M74" s="1"/>
      <c r="N74" s="1"/>
      <c r="O74" s="1"/>
      <c r="P74" s="1"/>
      <c r="Q74" s="1"/>
      <c r="R74" s="1"/>
      <c r="S74" s="1" t="s">
        <v>109</v>
      </c>
      <c r="T74" s="1">
        <v>0.42</v>
      </c>
      <c r="U74" s="1" t="s">
        <v>109</v>
      </c>
      <c r="V74" s="1">
        <v>3</v>
      </c>
      <c r="W74" s="1">
        <v>17</v>
      </c>
      <c r="X74" s="1" t="s">
        <v>110</v>
      </c>
      <c r="Y74" s="1"/>
      <c r="Z74" s="1">
        <v>0.97899999999999998</v>
      </c>
      <c r="AA74" s="1" t="s">
        <v>111</v>
      </c>
      <c r="AB74" s="1" t="s">
        <v>111</v>
      </c>
      <c r="AC74" s="1" t="s">
        <v>111</v>
      </c>
      <c r="AD74" s="1" t="s">
        <v>111</v>
      </c>
      <c r="AE74" s="1" t="s">
        <v>111</v>
      </c>
      <c r="AF74" s="1" t="s">
        <v>111</v>
      </c>
      <c r="AG74" s="1" t="s">
        <v>111</v>
      </c>
      <c r="AH74" s="1" t="s">
        <v>111</v>
      </c>
      <c r="AI74" s="1">
        <v>82.102999999999994</v>
      </c>
      <c r="AJ74" s="1" t="s">
        <v>111</v>
      </c>
      <c r="AK74" s="1"/>
      <c r="AL74" s="1" t="s">
        <v>111</v>
      </c>
      <c r="AM74" s="1"/>
      <c r="AN74" s="1" t="s">
        <v>111</v>
      </c>
      <c r="AO74" s="1"/>
      <c r="AP74" s="1" t="s">
        <v>111</v>
      </c>
    </row>
    <row r="75" spans="1:42" x14ac:dyDescent="0.25">
      <c r="A75" s="1">
        <v>31</v>
      </c>
      <c r="B75" s="1" t="s">
        <v>143</v>
      </c>
      <c r="C75" s="1" t="s">
        <v>103</v>
      </c>
      <c r="D75" s="1" t="s">
        <v>120</v>
      </c>
      <c r="E75" s="1" t="s">
        <v>105</v>
      </c>
      <c r="F75" s="1" t="s">
        <v>106</v>
      </c>
      <c r="G75" s="1" t="s">
        <v>107</v>
      </c>
      <c r="H75" s="1" t="s">
        <v>108</v>
      </c>
      <c r="I75" s="1">
        <v>23.689</v>
      </c>
      <c r="J75" s="1">
        <v>23.681999999999999</v>
      </c>
      <c r="K75" s="1">
        <v>6.3E-2</v>
      </c>
      <c r="L75" s="1"/>
      <c r="M75" s="1"/>
      <c r="N75" s="1"/>
      <c r="O75" s="1"/>
      <c r="P75" s="1"/>
      <c r="Q75" s="1"/>
      <c r="R75" s="1"/>
      <c r="S75" s="1" t="s">
        <v>109</v>
      </c>
      <c r="T75" s="1">
        <v>0.42</v>
      </c>
      <c r="U75" s="1" t="s">
        <v>109</v>
      </c>
      <c r="V75" s="1">
        <v>3</v>
      </c>
      <c r="W75" s="1">
        <v>17</v>
      </c>
      <c r="X75" s="1" t="s">
        <v>110</v>
      </c>
      <c r="Y75" s="1"/>
      <c r="Z75" s="1">
        <v>0.98199999999999998</v>
      </c>
      <c r="AA75" s="1" t="s">
        <v>111</v>
      </c>
      <c r="AB75" s="1" t="s">
        <v>111</v>
      </c>
      <c r="AC75" s="1" t="s">
        <v>111</v>
      </c>
      <c r="AD75" s="1" t="s">
        <v>111</v>
      </c>
      <c r="AE75" s="1" t="s">
        <v>111</v>
      </c>
      <c r="AF75" s="1" t="s">
        <v>111</v>
      </c>
      <c r="AG75" s="1" t="s">
        <v>111</v>
      </c>
      <c r="AH75" s="1" t="s">
        <v>111</v>
      </c>
      <c r="AI75" s="1">
        <v>82.102999999999994</v>
      </c>
      <c r="AJ75" s="1" t="s">
        <v>111</v>
      </c>
      <c r="AK75" s="1"/>
      <c r="AL75" s="1" t="s">
        <v>111</v>
      </c>
      <c r="AM75" s="1"/>
      <c r="AN75" s="1" t="s">
        <v>111</v>
      </c>
      <c r="AO75" s="1"/>
      <c r="AP75" s="1" t="s">
        <v>111</v>
      </c>
    </row>
    <row r="76" spans="1:42" x14ac:dyDescent="0.25">
      <c r="A76" s="1">
        <v>32</v>
      </c>
      <c r="B76" s="1" t="s">
        <v>144</v>
      </c>
      <c r="C76" s="1" t="s">
        <v>103</v>
      </c>
      <c r="D76" s="1" t="s">
        <v>120</v>
      </c>
      <c r="E76" s="1" t="s">
        <v>105</v>
      </c>
      <c r="F76" s="1" t="s">
        <v>106</v>
      </c>
      <c r="G76" s="1" t="s">
        <v>107</v>
      </c>
      <c r="H76" s="1" t="s">
        <v>108</v>
      </c>
      <c r="I76" s="1">
        <v>23.611000000000001</v>
      </c>
      <c r="J76" s="1">
        <v>23.681999999999999</v>
      </c>
      <c r="K76" s="1">
        <v>6.3E-2</v>
      </c>
      <c r="L76" s="1"/>
      <c r="M76" s="1"/>
      <c r="N76" s="1"/>
      <c r="O76" s="1"/>
      <c r="P76" s="1"/>
      <c r="Q76" s="1"/>
      <c r="R76" s="1"/>
      <c r="S76" s="1" t="s">
        <v>109</v>
      </c>
      <c r="T76" s="1">
        <v>0.42</v>
      </c>
      <c r="U76" s="1" t="s">
        <v>109</v>
      </c>
      <c r="V76" s="1">
        <v>3</v>
      </c>
      <c r="W76" s="1">
        <v>18</v>
      </c>
      <c r="X76" s="1" t="s">
        <v>110</v>
      </c>
      <c r="Y76" s="1"/>
      <c r="Z76" s="1">
        <v>0.98499999999999999</v>
      </c>
      <c r="AA76" s="1" t="s">
        <v>111</v>
      </c>
      <c r="AB76" s="1" t="s">
        <v>111</v>
      </c>
      <c r="AC76" s="1" t="s">
        <v>111</v>
      </c>
      <c r="AD76" s="1" t="s">
        <v>111</v>
      </c>
      <c r="AE76" s="1" t="s">
        <v>111</v>
      </c>
      <c r="AF76" s="1" t="s">
        <v>111</v>
      </c>
      <c r="AG76" s="1" t="s">
        <v>111</v>
      </c>
      <c r="AH76" s="1" t="s">
        <v>111</v>
      </c>
      <c r="AI76" s="1">
        <v>81.989000000000004</v>
      </c>
      <c r="AJ76" s="1" t="s">
        <v>111</v>
      </c>
      <c r="AK76" s="1"/>
      <c r="AL76" s="1" t="s">
        <v>111</v>
      </c>
      <c r="AM76" s="1"/>
      <c r="AN76" s="1" t="s">
        <v>111</v>
      </c>
      <c r="AO76" s="1"/>
      <c r="AP76" s="1" t="s">
        <v>111</v>
      </c>
    </row>
    <row r="77" spans="1:42" x14ac:dyDescent="0.25">
      <c r="A77" s="1">
        <v>33</v>
      </c>
      <c r="B77" s="1" t="s">
        <v>145</v>
      </c>
      <c r="C77" s="1" t="s">
        <v>103</v>
      </c>
      <c r="D77" s="1" t="s">
        <v>123</v>
      </c>
      <c r="E77" s="1" t="s">
        <v>105</v>
      </c>
      <c r="F77" s="1" t="s">
        <v>106</v>
      </c>
      <c r="G77" s="1" t="s">
        <v>107</v>
      </c>
      <c r="H77" s="1" t="s">
        <v>108</v>
      </c>
      <c r="I77" s="1">
        <v>24.454999999999998</v>
      </c>
      <c r="J77" s="1">
        <v>24.291</v>
      </c>
      <c r="K77" s="1">
        <v>0.11</v>
      </c>
      <c r="L77" s="1"/>
      <c r="M77" s="1"/>
      <c r="N77" s="1"/>
      <c r="O77" s="1"/>
      <c r="P77" s="1"/>
      <c r="Q77" s="1"/>
      <c r="R77" s="1"/>
      <c r="S77" s="1" t="s">
        <v>109</v>
      </c>
      <c r="T77" s="1">
        <v>0.42</v>
      </c>
      <c r="U77" s="1" t="s">
        <v>109</v>
      </c>
      <c r="V77" s="1">
        <v>3</v>
      </c>
      <c r="W77" s="1">
        <v>19</v>
      </c>
      <c r="X77" s="1" t="s">
        <v>110</v>
      </c>
      <c r="Y77" s="1"/>
      <c r="Z77" s="1">
        <v>0.98699999999999999</v>
      </c>
      <c r="AA77" s="1" t="s">
        <v>111</v>
      </c>
      <c r="AB77" s="1" t="s">
        <v>111</v>
      </c>
      <c r="AC77" s="1" t="s">
        <v>111</v>
      </c>
      <c r="AD77" s="1" t="s">
        <v>111</v>
      </c>
      <c r="AE77" s="1" t="s">
        <v>111</v>
      </c>
      <c r="AF77" s="1" t="s">
        <v>111</v>
      </c>
      <c r="AG77" s="1" t="s">
        <v>111</v>
      </c>
      <c r="AH77" s="1" t="s">
        <v>111</v>
      </c>
      <c r="AI77" s="1">
        <v>82.08</v>
      </c>
      <c r="AJ77" s="1" t="s">
        <v>111</v>
      </c>
      <c r="AK77" s="1"/>
      <c r="AL77" s="1" t="s">
        <v>111</v>
      </c>
      <c r="AM77" s="1"/>
      <c r="AN77" s="1" t="s">
        <v>111</v>
      </c>
      <c r="AO77" s="1"/>
      <c r="AP77" s="1" t="s">
        <v>111</v>
      </c>
    </row>
    <row r="78" spans="1:42" x14ac:dyDescent="0.25">
      <c r="A78" s="1">
        <v>34</v>
      </c>
      <c r="B78" s="1" t="s">
        <v>146</v>
      </c>
      <c r="C78" s="1" t="s">
        <v>103</v>
      </c>
      <c r="D78" s="1" t="s">
        <v>123</v>
      </c>
      <c r="E78" s="1" t="s">
        <v>105</v>
      </c>
      <c r="F78" s="1" t="s">
        <v>106</v>
      </c>
      <c r="G78" s="1" t="s">
        <v>107</v>
      </c>
      <c r="H78" s="1" t="s">
        <v>108</v>
      </c>
      <c r="I78" s="1">
        <v>24.215</v>
      </c>
      <c r="J78" s="1">
        <v>24.291</v>
      </c>
      <c r="K78" s="1">
        <v>0.11</v>
      </c>
      <c r="L78" s="1"/>
      <c r="M78" s="1"/>
      <c r="N78" s="1"/>
      <c r="O78" s="1"/>
      <c r="P78" s="1"/>
      <c r="Q78" s="1"/>
      <c r="R78" s="1"/>
      <c r="S78" s="1" t="s">
        <v>109</v>
      </c>
      <c r="T78" s="1">
        <v>0.42</v>
      </c>
      <c r="U78" s="1" t="s">
        <v>109</v>
      </c>
      <c r="V78" s="1">
        <v>3</v>
      </c>
      <c r="W78" s="1">
        <v>18</v>
      </c>
      <c r="X78" s="1" t="s">
        <v>110</v>
      </c>
      <c r="Y78" s="1"/>
      <c r="Z78" s="1">
        <v>0.98399999999999999</v>
      </c>
      <c r="AA78" s="1" t="s">
        <v>111</v>
      </c>
      <c r="AB78" s="1" t="s">
        <v>111</v>
      </c>
      <c r="AC78" s="1" t="s">
        <v>111</v>
      </c>
      <c r="AD78" s="1" t="s">
        <v>111</v>
      </c>
      <c r="AE78" s="1" t="s">
        <v>111</v>
      </c>
      <c r="AF78" s="1" t="s">
        <v>111</v>
      </c>
      <c r="AG78" s="1" t="s">
        <v>111</v>
      </c>
      <c r="AH78" s="1" t="s">
        <v>111</v>
      </c>
      <c r="AI78" s="1">
        <v>82.08</v>
      </c>
      <c r="AJ78" s="1" t="s">
        <v>111</v>
      </c>
      <c r="AK78" s="1"/>
      <c r="AL78" s="1" t="s">
        <v>111</v>
      </c>
      <c r="AM78" s="1"/>
      <c r="AN78" s="1" t="s">
        <v>111</v>
      </c>
      <c r="AO78" s="1"/>
      <c r="AP78" s="1" t="s">
        <v>111</v>
      </c>
    </row>
    <row r="79" spans="1:42" x14ac:dyDescent="0.25">
      <c r="A79" s="1">
        <v>35</v>
      </c>
      <c r="B79" s="1" t="s">
        <v>147</v>
      </c>
      <c r="C79" s="1" t="s">
        <v>103</v>
      </c>
      <c r="D79" s="1" t="s">
        <v>126</v>
      </c>
      <c r="E79" s="1" t="s">
        <v>105</v>
      </c>
      <c r="F79" s="1" t="s">
        <v>106</v>
      </c>
      <c r="G79" s="1" t="s">
        <v>107</v>
      </c>
      <c r="H79" s="1" t="s">
        <v>108</v>
      </c>
      <c r="I79" s="1">
        <v>24.207999999999998</v>
      </c>
      <c r="J79" s="1">
        <v>24.236999999999998</v>
      </c>
      <c r="K79" s="1">
        <v>2.7E-2</v>
      </c>
      <c r="L79" s="1"/>
      <c r="M79" s="1"/>
      <c r="N79" s="1"/>
      <c r="O79" s="1"/>
      <c r="P79" s="1"/>
      <c r="Q79" s="1"/>
      <c r="R79" s="1"/>
      <c r="S79" s="1" t="s">
        <v>109</v>
      </c>
      <c r="T79" s="1">
        <v>0.42</v>
      </c>
      <c r="U79" s="1" t="s">
        <v>109</v>
      </c>
      <c r="V79" s="1">
        <v>3</v>
      </c>
      <c r="W79" s="1">
        <v>18</v>
      </c>
      <c r="X79" s="1" t="s">
        <v>110</v>
      </c>
      <c r="Y79" s="1"/>
      <c r="Z79" s="1">
        <v>0.98099999999999998</v>
      </c>
      <c r="AA79" s="1" t="s">
        <v>111</v>
      </c>
      <c r="AB79" s="1" t="s">
        <v>111</v>
      </c>
      <c r="AC79" s="1" t="s">
        <v>111</v>
      </c>
      <c r="AD79" s="1" t="s">
        <v>111</v>
      </c>
      <c r="AE79" s="1" t="s">
        <v>111</v>
      </c>
      <c r="AF79" s="1" t="s">
        <v>111</v>
      </c>
      <c r="AG79" s="1" t="s">
        <v>111</v>
      </c>
      <c r="AH79" s="1" t="s">
        <v>111</v>
      </c>
      <c r="AI79" s="1">
        <v>82.08</v>
      </c>
      <c r="AJ79" s="1" t="s">
        <v>111</v>
      </c>
      <c r="AK79" s="1"/>
      <c r="AL79" s="1" t="s">
        <v>111</v>
      </c>
      <c r="AM79" s="1"/>
      <c r="AN79" s="1" t="s">
        <v>111</v>
      </c>
      <c r="AO79" s="1"/>
      <c r="AP79" s="1" t="s">
        <v>111</v>
      </c>
    </row>
    <row r="80" spans="1:42" x14ac:dyDescent="0.25">
      <c r="A80" s="1">
        <v>36</v>
      </c>
      <c r="B80" s="1" t="s">
        <v>148</v>
      </c>
      <c r="C80" s="1" t="s">
        <v>103</v>
      </c>
      <c r="D80" s="1" t="s">
        <v>126</v>
      </c>
      <c r="E80" s="1" t="s">
        <v>105</v>
      </c>
      <c r="F80" s="1" t="s">
        <v>106</v>
      </c>
      <c r="G80" s="1" t="s">
        <v>107</v>
      </c>
      <c r="H80" s="1" t="s">
        <v>108</v>
      </c>
      <c r="I80" s="1">
        <v>24.24</v>
      </c>
      <c r="J80" s="1">
        <v>24.236999999999998</v>
      </c>
      <c r="K80" s="1">
        <v>2.7E-2</v>
      </c>
      <c r="L80" s="1"/>
      <c r="M80" s="1"/>
      <c r="N80" s="1"/>
      <c r="O80" s="1"/>
      <c r="P80" s="1"/>
      <c r="Q80" s="1"/>
      <c r="R80" s="1"/>
      <c r="S80" s="1" t="s">
        <v>109</v>
      </c>
      <c r="T80" s="1">
        <v>0.42</v>
      </c>
      <c r="U80" s="1" t="s">
        <v>109</v>
      </c>
      <c r="V80" s="1">
        <v>3</v>
      </c>
      <c r="W80" s="1">
        <v>18</v>
      </c>
      <c r="X80" s="1" t="s">
        <v>110</v>
      </c>
      <c r="Y80" s="1"/>
      <c r="Z80" s="1">
        <v>0.98299999999999998</v>
      </c>
      <c r="AA80" s="1" t="s">
        <v>111</v>
      </c>
      <c r="AB80" s="1" t="s">
        <v>111</v>
      </c>
      <c r="AC80" s="1" t="s">
        <v>111</v>
      </c>
      <c r="AD80" s="1" t="s">
        <v>111</v>
      </c>
      <c r="AE80" s="1" t="s">
        <v>111</v>
      </c>
      <c r="AF80" s="1" t="s">
        <v>111</v>
      </c>
      <c r="AG80" s="1" t="s">
        <v>111</v>
      </c>
      <c r="AH80" s="1" t="s">
        <v>111</v>
      </c>
      <c r="AI80" s="1">
        <v>82.194000000000003</v>
      </c>
      <c r="AJ80" s="1" t="s">
        <v>111</v>
      </c>
      <c r="AK80" s="1"/>
      <c r="AL80" s="1" t="s">
        <v>111</v>
      </c>
      <c r="AM80" s="1"/>
      <c r="AN80" s="1" t="s">
        <v>111</v>
      </c>
      <c r="AO80" s="1"/>
      <c r="AP80" s="1" t="s">
        <v>111</v>
      </c>
    </row>
    <row r="81" spans="1:42" x14ac:dyDescent="0.25">
      <c r="A81" s="1">
        <v>41</v>
      </c>
      <c r="B81" s="1" t="s">
        <v>149</v>
      </c>
      <c r="C81" s="1" t="s">
        <v>103</v>
      </c>
      <c r="D81" s="1" t="s">
        <v>104</v>
      </c>
      <c r="E81" s="1" t="s">
        <v>129</v>
      </c>
      <c r="F81" s="1" t="s">
        <v>106</v>
      </c>
      <c r="G81" s="1" t="s">
        <v>107</v>
      </c>
      <c r="H81" s="1" t="s">
        <v>108</v>
      </c>
      <c r="I81" s="1">
        <v>18.263999999999999</v>
      </c>
      <c r="J81" s="1">
        <v>18.297000000000001</v>
      </c>
      <c r="K81" s="1">
        <v>0.08</v>
      </c>
      <c r="L81" s="1"/>
      <c r="M81" s="1"/>
      <c r="N81" s="1"/>
      <c r="O81" s="1"/>
      <c r="P81" s="1"/>
      <c r="Q81" s="1"/>
      <c r="R81" s="1"/>
      <c r="S81" s="1" t="s">
        <v>109</v>
      </c>
      <c r="T81" s="1">
        <v>0.34599999999999997</v>
      </c>
      <c r="U81" s="1" t="s">
        <v>109</v>
      </c>
      <c r="V81" s="1">
        <v>3</v>
      </c>
      <c r="W81" s="1">
        <v>12</v>
      </c>
      <c r="X81" s="1" t="s">
        <v>110</v>
      </c>
      <c r="Y81" s="1"/>
      <c r="Z81" s="1">
        <v>0.99099999999999999</v>
      </c>
      <c r="AA81" s="1" t="s">
        <v>111</v>
      </c>
      <c r="AB81" s="1" t="s">
        <v>111</v>
      </c>
      <c r="AC81" s="1" t="s">
        <v>111</v>
      </c>
      <c r="AD81" s="1" t="s">
        <v>111</v>
      </c>
      <c r="AE81" s="1" t="s">
        <v>111</v>
      </c>
      <c r="AF81" s="1" t="s">
        <v>111</v>
      </c>
      <c r="AG81" s="1" t="s">
        <v>111</v>
      </c>
      <c r="AH81" s="1" t="s">
        <v>111</v>
      </c>
      <c r="AI81" s="1">
        <v>82.429000000000002</v>
      </c>
      <c r="AJ81" s="1" t="s">
        <v>111</v>
      </c>
      <c r="AK81" s="1"/>
      <c r="AL81" s="1" t="s">
        <v>111</v>
      </c>
      <c r="AM81" s="1"/>
      <c r="AN81" s="1" t="s">
        <v>111</v>
      </c>
      <c r="AO81" s="1"/>
      <c r="AP81" s="1" t="s">
        <v>111</v>
      </c>
    </row>
    <row r="82" spans="1:42" x14ac:dyDescent="0.25">
      <c r="A82" s="1">
        <v>42</v>
      </c>
      <c r="B82" s="1" t="s">
        <v>150</v>
      </c>
      <c r="C82" s="1" t="s">
        <v>103</v>
      </c>
      <c r="D82" s="1" t="s">
        <v>104</v>
      </c>
      <c r="E82" s="1" t="s">
        <v>129</v>
      </c>
      <c r="F82" s="1" t="s">
        <v>106</v>
      </c>
      <c r="G82" s="1" t="s">
        <v>107</v>
      </c>
      <c r="H82" s="1" t="s">
        <v>108</v>
      </c>
      <c r="I82" s="1">
        <v>18.21</v>
      </c>
      <c r="J82" s="1">
        <v>18.297000000000001</v>
      </c>
      <c r="K82" s="1">
        <v>0.08</v>
      </c>
      <c r="L82" s="1"/>
      <c r="M82" s="1"/>
      <c r="N82" s="1"/>
      <c r="O82" s="1"/>
      <c r="P82" s="1"/>
      <c r="Q82" s="1"/>
      <c r="R82" s="1"/>
      <c r="S82" s="1" t="s">
        <v>109</v>
      </c>
      <c r="T82" s="1">
        <v>0.34599999999999997</v>
      </c>
      <c r="U82" s="1" t="s">
        <v>109</v>
      </c>
      <c r="V82" s="1">
        <v>3</v>
      </c>
      <c r="W82" s="1">
        <v>12</v>
      </c>
      <c r="X82" s="1" t="s">
        <v>110</v>
      </c>
      <c r="Y82" s="1"/>
      <c r="Z82" s="1">
        <v>0.98899999999999999</v>
      </c>
      <c r="AA82" s="1" t="s">
        <v>111</v>
      </c>
      <c r="AB82" s="1" t="s">
        <v>111</v>
      </c>
      <c r="AC82" s="1" t="s">
        <v>111</v>
      </c>
      <c r="AD82" s="1" t="s">
        <v>111</v>
      </c>
      <c r="AE82" s="1" t="s">
        <v>111</v>
      </c>
      <c r="AF82" s="1" t="s">
        <v>111</v>
      </c>
      <c r="AG82" s="1" t="s">
        <v>111</v>
      </c>
      <c r="AH82" s="1" t="s">
        <v>111</v>
      </c>
      <c r="AI82" s="1">
        <v>82.316000000000003</v>
      </c>
      <c r="AJ82" s="1" t="s">
        <v>111</v>
      </c>
      <c r="AK82" s="1"/>
      <c r="AL82" s="1" t="s">
        <v>111</v>
      </c>
      <c r="AM82" s="1"/>
      <c r="AN82" s="1" t="s">
        <v>111</v>
      </c>
      <c r="AO82" s="1"/>
      <c r="AP82" s="1" t="s">
        <v>111</v>
      </c>
    </row>
    <row r="83" spans="1:42" x14ac:dyDescent="0.25">
      <c r="A83" s="1">
        <v>43</v>
      </c>
      <c r="B83" s="1" t="s">
        <v>151</v>
      </c>
      <c r="C83" s="1" t="s">
        <v>103</v>
      </c>
      <c r="D83" s="1" t="s">
        <v>114</v>
      </c>
      <c r="E83" s="1" t="s">
        <v>129</v>
      </c>
      <c r="F83" s="1" t="s">
        <v>106</v>
      </c>
      <c r="G83" s="1" t="s">
        <v>107</v>
      </c>
      <c r="H83" s="1" t="s">
        <v>108</v>
      </c>
      <c r="I83" s="1">
        <v>18.074000000000002</v>
      </c>
      <c r="J83" s="1">
        <v>18.094000000000001</v>
      </c>
      <c r="K83" s="1">
        <v>4.4999999999999998E-2</v>
      </c>
      <c r="L83" s="1"/>
      <c r="M83" s="1"/>
      <c r="N83" s="1"/>
      <c r="O83" s="1"/>
      <c r="P83" s="1"/>
      <c r="Q83" s="1"/>
      <c r="R83" s="1"/>
      <c r="S83" s="1" t="s">
        <v>109</v>
      </c>
      <c r="T83" s="1">
        <v>0.34599999999999997</v>
      </c>
      <c r="U83" s="1" t="s">
        <v>109</v>
      </c>
      <c r="V83" s="1">
        <v>3</v>
      </c>
      <c r="W83" s="1">
        <v>12</v>
      </c>
      <c r="X83" s="1" t="s">
        <v>110</v>
      </c>
      <c r="Y83" s="1"/>
      <c r="Z83" s="1">
        <v>0.98599999999999999</v>
      </c>
      <c r="AA83" s="1" t="s">
        <v>111</v>
      </c>
      <c r="AB83" s="1" t="s">
        <v>111</v>
      </c>
      <c r="AC83" s="1" t="s">
        <v>111</v>
      </c>
      <c r="AD83" s="1" t="s">
        <v>111</v>
      </c>
      <c r="AE83" s="1" t="s">
        <v>111</v>
      </c>
      <c r="AF83" s="1" t="s">
        <v>111</v>
      </c>
      <c r="AG83" s="1" t="s">
        <v>111</v>
      </c>
      <c r="AH83" s="1" t="s">
        <v>111</v>
      </c>
      <c r="AI83" s="1">
        <v>82.429000000000002</v>
      </c>
      <c r="AJ83" s="1" t="s">
        <v>111</v>
      </c>
      <c r="AK83" s="1"/>
      <c r="AL83" s="1" t="s">
        <v>111</v>
      </c>
      <c r="AM83" s="1"/>
      <c r="AN83" s="1" t="s">
        <v>111</v>
      </c>
      <c r="AO83" s="1"/>
      <c r="AP83" s="1" t="s">
        <v>111</v>
      </c>
    </row>
    <row r="84" spans="1:42" x14ac:dyDescent="0.25">
      <c r="A84" s="1">
        <v>44</v>
      </c>
      <c r="B84" s="1" t="s">
        <v>152</v>
      </c>
      <c r="C84" s="1" t="s">
        <v>103</v>
      </c>
      <c r="D84" s="1" t="s">
        <v>114</v>
      </c>
      <c r="E84" s="1" t="s">
        <v>129</v>
      </c>
      <c r="F84" s="1" t="s">
        <v>106</v>
      </c>
      <c r="G84" s="1" t="s">
        <v>107</v>
      </c>
      <c r="H84" s="1" t="s">
        <v>108</v>
      </c>
      <c r="I84" s="1">
        <v>18.041</v>
      </c>
      <c r="J84" s="1">
        <v>18.094000000000001</v>
      </c>
      <c r="K84" s="1">
        <v>4.4999999999999998E-2</v>
      </c>
      <c r="L84" s="1"/>
      <c r="M84" s="1"/>
      <c r="N84" s="1"/>
      <c r="O84" s="1"/>
      <c r="P84" s="1"/>
      <c r="Q84" s="1"/>
      <c r="R84" s="1"/>
      <c r="S84" s="1" t="s">
        <v>109</v>
      </c>
      <c r="T84" s="1">
        <v>0.34599999999999997</v>
      </c>
      <c r="U84" s="1" t="s">
        <v>109</v>
      </c>
      <c r="V84" s="1">
        <v>3</v>
      </c>
      <c r="W84" s="1">
        <v>11</v>
      </c>
      <c r="X84" s="1" t="s">
        <v>110</v>
      </c>
      <c r="Y84" s="1"/>
      <c r="Z84" s="1">
        <v>0.98899999999999999</v>
      </c>
      <c r="AA84" s="1" t="s">
        <v>111</v>
      </c>
      <c r="AB84" s="1" t="s">
        <v>111</v>
      </c>
      <c r="AC84" s="1" t="s">
        <v>111</v>
      </c>
      <c r="AD84" s="1" t="s">
        <v>111</v>
      </c>
      <c r="AE84" s="1" t="s">
        <v>111</v>
      </c>
      <c r="AF84" s="1" t="s">
        <v>111</v>
      </c>
      <c r="AG84" s="1" t="s">
        <v>111</v>
      </c>
      <c r="AH84" s="1" t="s">
        <v>111</v>
      </c>
      <c r="AI84" s="1">
        <v>82.429000000000002</v>
      </c>
      <c r="AJ84" s="1" t="s">
        <v>111</v>
      </c>
      <c r="AK84" s="1"/>
      <c r="AL84" s="1" t="s">
        <v>111</v>
      </c>
      <c r="AM84" s="1"/>
      <c r="AN84" s="1" t="s">
        <v>111</v>
      </c>
      <c r="AO84" s="1"/>
      <c r="AP84" s="1" t="s">
        <v>111</v>
      </c>
    </row>
    <row r="85" spans="1:42" x14ac:dyDescent="0.25">
      <c r="A85" s="1">
        <v>45</v>
      </c>
      <c r="B85" s="1" t="s">
        <v>153</v>
      </c>
      <c r="C85" s="1" t="s">
        <v>103</v>
      </c>
      <c r="D85" s="1" t="s">
        <v>117</v>
      </c>
      <c r="E85" s="1" t="s">
        <v>129</v>
      </c>
      <c r="F85" s="1" t="s">
        <v>106</v>
      </c>
      <c r="G85" s="1" t="s">
        <v>107</v>
      </c>
      <c r="H85" s="1" t="s">
        <v>108</v>
      </c>
      <c r="I85" s="1">
        <v>17.760999999999999</v>
      </c>
      <c r="J85" s="1">
        <v>17.605</v>
      </c>
      <c r="K85" s="1">
        <v>0.123</v>
      </c>
      <c r="L85" s="1"/>
      <c r="M85" s="1"/>
      <c r="N85" s="1"/>
      <c r="O85" s="1"/>
      <c r="P85" s="1"/>
      <c r="Q85" s="1"/>
      <c r="R85" s="1"/>
      <c r="S85" s="1" t="s">
        <v>109</v>
      </c>
      <c r="T85" s="1">
        <v>0.34599999999999997</v>
      </c>
      <c r="U85" s="1" t="s">
        <v>109</v>
      </c>
      <c r="V85" s="1">
        <v>3</v>
      </c>
      <c r="W85" s="1">
        <v>11</v>
      </c>
      <c r="X85" s="1" t="s">
        <v>110</v>
      </c>
      <c r="Y85" s="1"/>
      <c r="Z85" s="1">
        <v>0.98899999999999999</v>
      </c>
      <c r="AA85" s="1" t="s">
        <v>111</v>
      </c>
      <c r="AB85" s="1" t="s">
        <v>111</v>
      </c>
      <c r="AC85" s="1" t="s">
        <v>111</v>
      </c>
      <c r="AD85" s="1" t="s">
        <v>111</v>
      </c>
      <c r="AE85" s="1" t="s">
        <v>111</v>
      </c>
      <c r="AF85" s="1" t="s">
        <v>111</v>
      </c>
      <c r="AG85" s="1" t="s">
        <v>111</v>
      </c>
      <c r="AH85" s="1" t="s">
        <v>111</v>
      </c>
      <c r="AI85" s="1">
        <v>82.415000000000006</v>
      </c>
      <c r="AJ85" s="1" t="s">
        <v>111</v>
      </c>
      <c r="AK85" s="1"/>
      <c r="AL85" s="1" t="s">
        <v>111</v>
      </c>
      <c r="AM85" s="1"/>
      <c r="AN85" s="1" t="s">
        <v>111</v>
      </c>
      <c r="AO85" s="1"/>
      <c r="AP85" s="1" t="s">
        <v>111</v>
      </c>
    </row>
    <row r="86" spans="1:42" x14ac:dyDescent="0.25">
      <c r="A86" s="1">
        <v>46</v>
      </c>
      <c r="B86" s="1" t="s">
        <v>154</v>
      </c>
      <c r="C86" s="1" t="s">
        <v>103</v>
      </c>
      <c r="D86" s="1" t="s">
        <v>117</v>
      </c>
      <c r="E86" s="1" t="s">
        <v>129</v>
      </c>
      <c r="F86" s="1" t="s">
        <v>106</v>
      </c>
      <c r="G86" s="1" t="s">
        <v>107</v>
      </c>
      <c r="H86" s="1" t="s">
        <v>108</v>
      </c>
      <c r="I86" s="1">
        <v>17.635999999999999</v>
      </c>
      <c r="J86" s="1">
        <v>17.605</v>
      </c>
      <c r="K86" s="1">
        <v>0.123</v>
      </c>
      <c r="L86" s="1"/>
      <c r="M86" s="1"/>
      <c r="N86" s="1"/>
      <c r="O86" s="1"/>
      <c r="P86" s="1"/>
      <c r="Q86" s="1"/>
      <c r="R86" s="1"/>
      <c r="S86" s="1" t="s">
        <v>109</v>
      </c>
      <c r="T86" s="1">
        <v>0.34599999999999997</v>
      </c>
      <c r="U86" s="1" t="s">
        <v>109</v>
      </c>
      <c r="V86" s="1">
        <v>3</v>
      </c>
      <c r="W86" s="1">
        <v>11</v>
      </c>
      <c r="X86" s="1" t="s">
        <v>110</v>
      </c>
      <c r="Y86" s="1"/>
      <c r="Z86" s="1">
        <v>0.99199999999999999</v>
      </c>
      <c r="AA86" s="1" t="s">
        <v>111</v>
      </c>
      <c r="AB86" s="1" t="s">
        <v>111</v>
      </c>
      <c r="AC86" s="1" t="s">
        <v>111</v>
      </c>
      <c r="AD86" s="1" t="s">
        <v>111</v>
      </c>
      <c r="AE86" s="1" t="s">
        <v>111</v>
      </c>
      <c r="AF86" s="1" t="s">
        <v>111</v>
      </c>
      <c r="AG86" s="1" t="s">
        <v>111</v>
      </c>
      <c r="AH86" s="1" t="s">
        <v>111</v>
      </c>
      <c r="AI86" s="1">
        <v>82.415000000000006</v>
      </c>
      <c r="AJ86" s="1" t="s">
        <v>111</v>
      </c>
      <c r="AK86" s="1"/>
      <c r="AL86" s="1" t="s">
        <v>111</v>
      </c>
      <c r="AM86" s="1"/>
      <c r="AN86" s="1" t="s">
        <v>111</v>
      </c>
      <c r="AO86" s="1"/>
      <c r="AP86" s="1" t="s">
        <v>111</v>
      </c>
    </row>
    <row r="87" spans="1:42" x14ac:dyDescent="0.25">
      <c r="A87" s="1">
        <v>47</v>
      </c>
      <c r="B87" s="1" t="s">
        <v>155</v>
      </c>
      <c r="C87" s="1" t="s">
        <v>103</v>
      </c>
      <c r="D87" s="1" t="s">
        <v>120</v>
      </c>
      <c r="E87" s="1" t="s">
        <v>129</v>
      </c>
      <c r="F87" s="1" t="s">
        <v>106</v>
      </c>
      <c r="G87" s="1" t="s">
        <v>107</v>
      </c>
      <c r="H87" s="1" t="s">
        <v>108</v>
      </c>
      <c r="I87" s="1">
        <v>17.535</v>
      </c>
      <c r="J87" s="1">
        <v>17.675000000000001</v>
      </c>
      <c r="K87" s="1">
        <v>0.16</v>
      </c>
      <c r="L87" s="1"/>
      <c r="M87" s="1"/>
      <c r="N87" s="1"/>
      <c r="O87" s="1"/>
      <c r="P87" s="1"/>
      <c r="Q87" s="1"/>
      <c r="R87" s="1"/>
      <c r="S87" s="1" t="s">
        <v>109</v>
      </c>
      <c r="T87" s="1">
        <v>0.34599999999999997</v>
      </c>
      <c r="U87" s="1" t="s">
        <v>109</v>
      </c>
      <c r="V87" s="1">
        <v>3</v>
      </c>
      <c r="W87" s="1">
        <v>11</v>
      </c>
      <c r="X87" s="1" t="s">
        <v>110</v>
      </c>
      <c r="Y87" s="1"/>
      <c r="Z87" s="1">
        <v>0.98899999999999999</v>
      </c>
      <c r="AA87" s="1" t="s">
        <v>111</v>
      </c>
      <c r="AB87" s="1" t="s">
        <v>111</v>
      </c>
      <c r="AC87" s="1" t="s">
        <v>111</v>
      </c>
      <c r="AD87" s="1" t="s">
        <v>111</v>
      </c>
      <c r="AE87" s="1" t="s">
        <v>111</v>
      </c>
      <c r="AF87" s="1" t="s">
        <v>111</v>
      </c>
      <c r="AG87" s="1" t="s">
        <v>111</v>
      </c>
      <c r="AH87" s="1" t="s">
        <v>111</v>
      </c>
      <c r="AI87" s="1">
        <v>82.415000000000006</v>
      </c>
      <c r="AJ87" s="1" t="s">
        <v>111</v>
      </c>
      <c r="AK87" s="1"/>
      <c r="AL87" s="1" t="s">
        <v>111</v>
      </c>
      <c r="AM87" s="1"/>
      <c r="AN87" s="1" t="s">
        <v>111</v>
      </c>
      <c r="AO87" s="1"/>
      <c r="AP87" s="1" t="s">
        <v>111</v>
      </c>
    </row>
    <row r="88" spans="1:42" x14ac:dyDescent="0.25">
      <c r="A88" s="1">
        <v>48</v>
      </c>
      <c r="B88" s="1" t="s">
        <v>156</v>
      </c>
      <c r="C88" s="1" t="s">
        <v>103</v>
      </c>
      <c r="D88" s="1" t="s">
        <v>120</v>
      </c>
      <c r="E88" s="1" t="s">
        <v>129</v>
      </c>
      <c r="F88" s="1" t="s">
        <v>106</v>
      </c>
      <c r="G88" s="1" t="s">
        <v>107</v>
      </c>
      <c r="H88" s="1" t="s">
        <v>108</v>
      </c>
      <c r="I88" s="1">
        <v>17.716999999999999</v>
      </c>
      <c r="J88" s="1">
        <v>17.675000000000001</v>
      </c>
      <c r="K88" s="1">
        <v>0.16</v>
      </c>
      <c r="L88" s="1"/>
      <c r="M88" s="1"/>
      <c r="N88" s="1"/>
      <c r="O88" s="1"/>
      <c r="P88" s="1"/>
      <c r="Q88" s="1"/>
      <c r="R88" s="1"/>
      <c r="S88" s="1" t="s">
        <v>109</v>
      </c>
      <c r="T88" s="1">
        <v>0.34599999999999997</v>
      </c>
      <c r="U88" s="1" t="s">
        <v>109</v>
      </c>
      <c r="V88" s="1">
        <v>3</v>
      </c>
      <c r="W88" s="1">
        <v>13</v>
      </c>
      <c r="X88" s="1" t="s">
        <v>110</v>
      </c>
      <c r="Y88" s="1"/>
      <c r="Z88" s="1">
        <v>0.99</v>
      </c>
      <c r="AA88" s="1" t="s">
        <v>111</v>
      </c>
      <c r="AB88" s="1" t="s">
        <v>111</v>
      </c>
      <c r="AC88" s="1" t="s">
        <v>111</v>
      </c>
      <c r="AD88" s="1" t="s">
        <v>111</v>
      </c>
      <c r="AE88" s="1" t="s">
        <v>111</v>
      </c>
      <c r="AF88" s="1" t="s">
        <v>111</v>
      </c>
      <c r="AG88" s="1" t="s">
        <v>111</v>
      </c>
      <c r="AH88" s="1" t="s">
        <v>111</v>
      </c>
      <c r="AI88" s="1">
        <v>82.415000000000006</v>
      </c>
      <c r="AJ88" s="1" t="s">
        <v>111</v>
      </c>
      <c r="AK88" s="1"/>
      <c r="AL88" s="1" t="s">
        <v>111</v>
      </c>
      <c r="AM88" s="1"/>
      <c r="AN88" s="1" t="s">
        <v>111</v>
      </c>
      <c r="AO88" s="1"/>
      <c r="AP88" s="1" t="s">
        <v>111</v>
      </c>
    </row>
    <row r="89" spans="1:42" x14ac:dyDescent="0.25">
      <c r="A89" s="1">
        <v>49</v>
      </c>
      <c r="B89" s="1" t="s">
        <v>157</v>
      </c>
      <c r="C89" s="1" t="s">
        <v>103</v>
      </c>
      <c r="D89" s="1" t="s">
        <v>104</v>
      </c>
      <c r="E89" s="1" t="s">
        <v>158</v>
      </c>
      <c r="F89" s="1" t="s">
        <v>106</v>
      </c>
      <c r="G89" s="1" t="s">
        <v>107</v>
      </c>
      <c r="H89" s="1" t="s">
        <v>108</v>
      </c>
      <c r="I89" s="1">
        <v>16.344000000000001</v>
      </c>
      <c r="J89" s="1">
        <v>16.489999999999998</v>
      </c>
      <c r="K89" s="1">
        <v>0.11</v>
      </c>
      <c r="L89" s="1"/>
      <c r="M89" s="1"/>
      <c r="N89" s="1"/>
      <c r="O89" s="1"/>
      <c r="P89" s="1"/>
      <c r="Q89" s="1"/>
      <c r="R89" s="1"/>
      <c r="S89" s="1" t="s">
        <v>109</v>
      </c>
      <c r="T89" s="1">
        <v>0.41899999999999998</v>
      </c>
      <c r="U89" s="1" t="s">
        <v>109</v>
      </c>
      <c r="V89" s="1">
        <v>3</v>
      </c>
      <c r="W89" s="1">
        <v>10</v>
      </c>
      <c r="X89" s="1" t="s">
        <v>110</v>
      </c>
      <c r="Y89" s="1"/>
      <c r="Z89" s="1">
        <v>0.98499999999999999</v>
      </c>
      <c r="AA89" s="1" t="s">
        <v>111</v>
      </c>
      <c r="AB89" s="1" t="s">
        <v>111</v>
      </c>
      <c r="AC89" s="1" t="s">
        <v>111</v>
      </c>
      <c r="AD89" s="1" t="s">
        <v>111</v>
      </c>
      <c r="AE89" s="1" t="s">
        <v>111</v>
      </c>
      <c r="AF89" s="1" t="s">
        <v>111</v>
      </c>
      <c r="AG89" s="1" t="s">
        <v>111</v>
      </c>
      <c r="AH89" s="1" t="s">
        <v>111</v>
      </c>
      <c r="AI89" s="1">
        <v>87.977999999999994</v>
      </c>
      <c r="AJ89" s="1" t="s">
        <v>111</v>
      </c>
      <c r="AK89" s="1"/>
      <c r="AL89" s="1" t="s">
        <v>111</v>
      </c>
      <c r="AM89" s="1"/>
      <c r="AN89" s="1" t="s">
        <v>111</v>
      </c>
      <c r="AO89" s="1"/>
      <c r="AP89" s="1" t="s">
        <v>111</v>
      </c>
    </row>
    <row r="90" spans="1:42" x14ac:dyDescent="0.25">
      <c r="A90" s="1">
        <v>50</v>
      </c>
      <c r="B90" s="1" t="s">
        <v>159</v>
      </c>
      <c r="C90" s="1" t="s">
        <v>103</v>
      </c>
      <c r="D90" s="1" t="s">
        <v>104</v>
      </c>
      <c r="E90" s="1" t="s">
        <v>158</v>
      </c>
      <c r="F90" s="1" t="s">
        <v>106</v>
      </c>
      <c r="G90" s="1" t="s">
        <v>107</v>
      </c>
      <c r="H90" s="1" t="s">
        <v>108</v>
      </c>
      <c r="I90" s="1">
        <v>16.542000000000002</v>
      </c>
      <c r="J90" s="1">
        <v>16.489999999999998</v>
      </c>
      <c r="K90" s="1">
        <v>0.11</v>
      </c>
      <c r="L90" s="1"/>
      <c r="M90" s="1"/>
      <c r="N90" s="1"/>
      <c r="O90" s="1"/>
      <c r="P90" s="1"/>
      <c r="Q90" s="1"/>
      <c r="R90" s="1"/>
      <c r="S90" s="1" t="s">
        <v>109</v>
      </c>
      <c r="T90" s="1">
        <v>0.41899999999999998</v>
      </c>
      <c r="U90" s="1" t="s">
        <v>109</v>
      </c>
      <c r="V90" s="1">
        <v>3</v>
      </c>
      <c r="W90" s="1">
        <v>10</v>
      </c>
      <c r="X90" s="1" t="s">
        <v>110</v>
      </c>
      <c r="Y90" s="1"/>
      <c r="Z90" s="1">
        <v>0.98499999999999999</v>
      </c>
      <c r="AA90" s="1" t="s">
        <v>111</v>
      </c>
      <c r="AB90" s="1" t="s">
        <v>111</v>
      </c>
      <c r="AC90" s="1" t="s">
        <v>111</v>
      </c>
      <c r="AD90" s="1" t="s">
        <v>111</v>
      </c>
      <c r="AE90" s="1" t="s">
        <v>111</v>
      </c>
      <c r="AF90" s="1" t="s">
        <v>111</v>
      </c>
      <c r="AG90" s="1" t="s">
        <v>111</v>
      </c>
      <c r="AH90" s="1" t="s">
        <v>111</v>
      </c>
      <c r="AI90" s="1">
        <v>87.977999999999994</v>
      </c>
      <c r="AJ90" s="1" t="s">
        <v>111</v>
      </c>
      <c r="AK90" s="1"/>
      <c r="AL90" s="1" t="s">
        <v>111</v>
      </c>
      <c r="AM90" s="1"/>
      <c r="AN90" s="1" t="s">
        <v>111</v>
      </c>
      <c r="AO90" s="1"/>
      <c r="AP90" s="1" t="s">
        <v>111</v>
      </c>
    </row>
    <row r="91" spans="1:42" x14ac:dyDescent="0.25">
      <c r="A91" s="1">
        <v>51</v>
      </c>
      <c r="B91" s="1" t="s">
        <v>160</v>
      </c>
      <c r="C91" s="1" t="s">
        <v>103</v>
      </c>
      <c r="D91" s="1" t="s">
        <v>114</v>
      </c>
      <c r="E91" s="1" t="s">
        <v>158</v>
      </c>
      <c r="F91" s="1" t="s">
        <v>106</v>
      </c>
      <c r="G91" s="1" t="s">
        <v>107</v>
      </c>
      <c r="H91" s="1" t="s">
        <v>108</v>
      </c>
      <c r="I91" s="1">
        <v>16.225000000000001</v>
      </c>
      <c r="J91" s="1">
        <v>16.314</v>
      </c>
      <c r="K91" s="1">
        <v>7.2999999999999995E-2</v>
      </c>
      <c r="L91" s="1"/>
      <c r="M91" s="1"/>
      <c r="N91" s="1"/>
      <c r="O91" s="1"/>
      <c r="P91" s="1"/>
      <c r="Q91" s="1"/>
      <c r="R91" s="1"/>
      <c r="S91" s="1" t="s">
        <v>109</v>
      </c>
      <c r="T91" s="1">
        <v>0.41899999999999998</v>
      </c>
      <c r="U91" s="1" t="s">
        <v>109</v>
      </c>
      <c r="V91" s="1">
        <v>3</v>
      </c>
      <c r="W91" s="1">
        <v>10</v>
      </c>
      <c r="X91" s="1" t="s">
        <v>110</v>
      </c>
      <c r="Y91" s="1"/>
      <c r="Z91" s="1">
        <v>0.98299999999999998</v>
      </c>
      <c r="AA91" s="1" t="s">
        <v>111</v>
      </c>
      <c r="AB91" s="1" t="s">
        <v>111</v>
      </c>
      <c r="AC91" s="1" t="s">
        <v>111</v>
      </c>
      <c r="AD91" s="1" t="s">
        <v>111</v>
      </c>
      <c r="AE91" s="1" t="s">
        <v>111</v>
      </c>
      <c r="AF91" s="1" t="s">
        <v>111</v>
      </c>
      <c r="AG91" s="1" t="s">
        <v>111</v>
      </c>
      <c r="AH91" s="1" t="s">
        <v>111</v>
      </c>
      <c r="AI91" s="1">
        <v>88.091999999999999</v>
      </c>
      <c r="AJ91" s="1" t="s">
        <v>111</v>
      </c>
      <c r="AK91" s="1"/>
      <c r="AL91" s="1" t="s">
        <v>111</v>
      </c>
      <c r="AM91" s="1"/>
      <c r="AN91" s="1" t="s">
        <v>111</v>
      </c>
      <c r="AO91" s="1"/>
      <c r="AP91" s="1" t="s">
        <v>111</v>
      </c>
    </row>
    <row r="92" spans="1:42" x14ac:dyDescent="0.25">
      <c r="A92" s="1">
        <v>52</v>
      </c>
      <c r="B92" s="1" t="s">
        <v>161</v>
      </c>
      <c r="C92" s="1" t="s">
        <v>103</v>
      </c>
      <c r="D92" s="1" t="s">
        <v>114</v>
      </c>
      <c r="E92" s="1" t="s">
        <v>158</v>
      </c>
      <c r="F92" s="1" t="s">
        <v>106</v>
      </c>
      <c r="G92" s="1" t="s">
        <v>107</v>
      </c>
      <c r="H92" s="1" t="s">
        <v>108</v>
      </c>
      <c r="I92" s="1">
        <v>16.286999999999999</v>
      </c>
      <c r="J92" s="1">
        <v>16.314</v>
      </c>
      <c r="K92" s="1">
        <v>7.2999999999999995E-2</v>
      </c>
      <c r="L92" s="1"/>
      <c r="M92" s="1"/>
      <c r="N92" s="1"/>
      <c r="O92" s="1"/>
      <c r="P92" s="1"/>
      <c r="Q92" s="1"/>
      <c r="R92" s="1"/>
      <c r="S92" s="1" t="s">
        <v>109</v>
      </c>
      <c r="T92" s="1">
        <v>0.41899999999999998</v>
      </c>
      <c r="U92" s="1" t="s">
        <v>109</v>
      </c>
      <c r="V92" s="1">
        <v>3</v>
      </c>
      <c r="W92" s="1">
        <v>9</v>
      </c>
      <c r="X92" s="1" t="s">
        <v>110</v>
      </c>
      <c r="Y92" s="1"/>
      <c r="Z92" s="1">
        <v>0.98499999999999999</v>
      </c>
      <c r="AA92" s="1" t="s">
        <v>111</v>
      </c>
      <c r="AB92" s="1" t="s">
        <v>111</v>
      </c>
      <c r="AC92" s="1" t="s">
        <v>111</v>
      </c>
      <c r="AD92" s="1" t="s">
        <v>111</v>
      </c>
      <c r="AE92" s="1" t="s">
        <v>111</v>
      </c>
      <c r="AF92" s="1" t="s">
        <v>111</v>
      </c>
      <c r="AG92" s="1" t="s">
        <v>111</v>
      </c>
      <c r="AH92" s="1" t="s">
        <v>111</v>
      </c>
      <c r="AI92" s="1">
        <v>88.091999999999999</v>
      </c>
      <c r="AJ92" s="1" t="s">
        <v>111</v>
      </c>
      <c r="AK92" s="1"/>
      <c r="AL92" s="1" t="s">
        <v>111</v>
      </c>
      <c r="AM92" s="1"/>
      <c r="AN92" s="1" t="s">
        <v>111</v>
      </c>
      <c r="AO92" s="1"/>
      <c r="AP92" s="1" t="s">
        <v>111</v>
      </c>
    </row>
    <row r="93" spans="1:42" x14ac:dyDescent="0.25">
      <c r="A93" s="1">
        <v>53</v>
      </c>
      <c r="B93" s="1" t="s">
        <v>162</v>
      </c>
      <c r="C93" s="1" t="s">
        <v>103</v>
      </c>
      <c r="D93" s="1" t="s">
        <v>117</v>
      </c>
      <c r="E93" s="1" t="s">
        <v>158</v>
      </c>
      <c r="F93" s="1" t="s">
        <v>106</v>
      </c>
      <c r="G93" s="1" t="s">
        <v>107</v>
      </c>
      <c r="H93" s="1" t="s">
        <v>108</v>
      </c>
      <c r="I93" s="1">
        <v>18.847999999999999</v>
      </c>
      <c r="J93" s="1">
        <v>18.748999999999999</v>
      </c>
      <c r="K93" s="1">
        <v>8.5999999999999993E-2</v>
      </c>
      <c r="L93" s="1"/>
      <c r="M93" s="1"/>
      <c r="N93" s="1"/>
      <c r="O93" s="1"/>
      <c r="P93" s="1"/>
      <c r="Q93" s="1"/>
      <c r="R93" s="1"/>
      <c r="S93" s="1" t="s">
        <v>109</v>
      </c>
      <c r="T93" s="1">
        <v>0.41899999999999998</v>
      </c>
      <c r="U93" s="1" t="s">
        <v>109</v>
      </c>
      <c r="V93" s="1">
        <v>3</v>
      </c>
      <c r="W93" s="1">
        <v>13</v>
      </c>
      <c r="X93" s="1" t="s">
        <v>110</v>
      </c>
      <c r="Y93" s="1"/>
      <c r="Z93" s="1">
        <v>0.98599999999999999</v>
      </c>
      <c r="AA93" s="1" t="s">
        <v>111</v>
      </c>
      <c r="AB93" s="1" t="s">
        <v>111</v>
      </c>
      <c r="AC93" s="1" t="s">
        <v>111</v>
      </c>
      <c r="AD93" s="1" t="s">
        <v>111</v>
      </c>
      <c r="AE93" s="1" t="s">
        <v>111</v>
      </c>
      <c r="AF93" s="1" t="s">
        <v>111</v>
      </c>
      <c r="AG93" s="1" t="s">
        <v>111</v>
      </c>
      <c r="AH93" s="1" t="s">
        <v>111</v>
      </c>
      <c r="AI93" s="1">
        <v>88.11</v>
      </c>
      <c r="AJ93" s="1" t="s">
        <v>111</v>
      </c>
      <c r="AK93" s="1"/>
      <c r="AL93" s="1" t="s">
        <v>111</v>
      </c>
      <c r="AM93" s="1"/>
      <c r="AN93" s="1" t="s">
        <v>111</v>
      </c>
      <c r="AO93" s="1"/>
      <c r="AP93" s="1" t="s">
        <v>111</v>
      </c>
    </row>
    <row r="94" spans="1:42" x14ac:dyDescent="0.25">
      <c r="A94" s="1">
        <v>54</v>
      </c>
      <c r="B94" s="1" t="s">
        <v>163</v>
      </c>
      <c r="C94" s="1" t="s">
        <v>103</v>
      </c>
      <c r="D94" s="1" t="s">
        <v>117</v>
      </c>
      <c r="E94" s="1" t="s">
        <v>158</v>
      </c>
      <c r="F94" s="1" t="s">
        <v>106</v>
      </c>
      <c r="G94" s="1" t="s">
        <v>107</v>
      </c>
      <c r="H94" s="1" t="s">
        <v>108</v>
      </c>
      <c r="I94" s="1">
        <v>18.715</v>
      </c>
      <c r="J94" s="1">
        <v>18.748999999999999</v>
      </c>
      <c r="K94" s="1">
        <v>8.5999999999999993E-2</v>
      </c>
      <c r="L94" s="1"/>
      <c r="M94" s="1"/>
      <c r="N94" s="1"/>
      <c r="O94" s="1"/>
      <c r="P94" s="1"/>
      <c r="Q94" s="1"/>
      <c r="R94" s="1"/>
      <c r="S94" s="1" t="s">
        <v>109</v>
      </c>
      <c r="T94" s="1">
        <v>0.41899999999999998</v>
      </c>
      <c r="U94" s="1" t="s">
        <v>109</v>
      </c>
      <c r="V94" s="1">
        <v>3</v>
      </c>
      <c r="W94" s="1">
        <v>12</v>
      </c>
      <c r="X94" s="1" t="s">
        <v>110</v>
      </c>
      <c r="Y94" s="1"/>
      <c r="Z94" s="1">
        <v>0.98499999999999999</v>
      </c>
      <c r="AA94" s="1" t="s">
        <v>111</v>
      </c>
      <c r="AB94" s="1" t="s">
        <v>111</v>
      </c>
      <c r="AC94" s="1" t="s">
        <v>111</v>
      </c>
      <c r="AD94" s="1" t="s">
        <v>111</v>
      </c>
      <c r="AE94" s="1" t="s">
        <v>111</v>
      </c>
      <c r="AF94" s="1" t="s">
        <v>111</v>
      </c>
      <c r="AG94" s="1" t="s">
        <v>111</v>
      </c>
      <c r="AH94" s="1" t="s">
        <v>111</v>
      </c>
      <c r="AI94" s="1">
        <v>88.11</v>
      </c>
      <c r="AJ94" s="1" t="s">
        <v>111</v>
      </c>
      <c r="AK94" s="1"/>
      <c r="AL94" s="1" t="s">
        <v>111</v>
      </c>
      <c r="AM94" s="1"/>
      <c r="AN94" s="1" t="s">
        <v>111</v>
      </c>
      <c r="AO94" s="1"/>
      <c r="AP94" s="1" t="s">
        <v>111</v>
      </c>
    </row>
    <row r="95" spans="1:42" x14ac:dyDescent="0.25">
      <c r="A95" s="1">
        <v>55</v>
      </c>
      <c r="B95" s="1" t="s">
        <v>164</v>
      </c>
      <c r="C95" s="1" t="s">
        <v>103</v>
      </c>
      <c r="D95" s="1" t="s">
        <v>120</v>
      </c>
      <c r="E95" s="1" t="s">
        <v>158</v>
      </c>
      <c r="F95" s="1" t="s">
        <v>106</v>
      </c>
      <c r="G95" s="1" t="s">
        <v>107</v>
      </c>
      <c r="H95" s="1" t="s">
        <v>108</v>
      </c>
      <c r="I95" s="1">
        <v>18.881</v>
      </c>
      <c r="J95" s="1">
        <v>18.981000000000002</v>
      </c>
      <c r="K95" s="1">
        <v>9.7000000000000003E-2</v>
      </c>
      <c r="L95" s="1"/>
      <c r="M95" s="1"/>
      <c r="N95" s="1"/>
      <c r="O95" s="1"/>
      <c r="P95" s="1"/>
      <c r="Q95" s="1"/>
      <c r="R95" s="1"/>
      <c r="S95" s="1" t="s">
        <v>109</v>
      </c>
      <c r="T95" s="1">
        <v>0.41899999999999998</v>
      </c>
      <c r="U95" s="1" t="s">
        <v>109</v>
      </c>
      <c r="V95" s="1">
        <v>3</v>
      </c>
      <c r="W95" s="1">
        <v>12</v>
      </c>
      <c r="X95" s="1" t="s">
        <v>110</v>
      </c>
      <c r="Y95" s="1"/>
      <c r="Z95" s="1">
        <v>0.98599999999999999</v>
      </c>
      <c r="AA95" s="1" t="s">
        <v>111</v>
      </c>
      <c r="AB95" s="1" t="s">
        <v>111</v>
      </c>
      <c r="AC95" s="1" t="s">
        <v>111</v>
      </c>
      <c r="AD95" s="1" t="s">
        <v>111</v>
      </c>
      <c r="AE95" s="1" t="s">
        <v>111</v>
      </c>
      <c r="AF95" s="1" t="s">
        <v>111</v>
      </c>
      <c r="AG95" s="1" t="s">
        <v>111</v>
      </c>
      <c r="AH95" s="1" t="s">
        <v>111</v>
      </c>
      <c r="AI95" s="1">
        <v>87.997</v>
      </c>
      <c r="AJ95" s="1" t="s">
        <v>111</v>
      </c>
      <c r="AK95" s="1"/>
      <c r="AL95" s="1" t="s">
        <v>111</v>
      </c>
      <c r="AM95" s="1"/>
      <c r="AN95" s="1" t="s">
        <v>111</v>
      </c>
      <c r="AO95" s="1"/>
      <c r="AP95" s="1" t="s">
        <v>111</v>
      </c>
    </row>
    <row r="96" spans="1:42" x14ac:dyDescent="0.25">
      <c r="A96" s="1">
        <v>56</v>
      </c>
      <c r="B96" s="1" t="s">
        <v>165</v>
      </c>
      <c r="C96" s="1" t="s">
        <v>103</v>
      </c>
      <c r="D96" s="1" t="s">
        <v>120</v>
      </c>
      <c r="E96" s="1" t="s">
        <v>158</v>
      </c>
      <c r="F96" s="1" t="s">
        <v>106</v>
      </c>
      <c r="G96" s="1" t="s">
        <v>107</v>
      </c>
      <c r="H96" s="1" t="s">
        <v>108</v>
      </c>
      <c r="I96" s="1">
        <v>19.105</v>
      </c>
      <c r="J96" s="1">
        <v>18.981000000000002</v>
      </c>
      <c r="K96" s="1">
        <v>9.7000000000000003E-2</v>
      </c>
      <c r="L96" s="1"/>
      <c r="M96" s="1"/>
      <c r="N96" s="1"/>
      <c r="O96" s="1"/>
      <c r="P96" s="1"/>
      <c r="Q96" s="1"/>
      <c r="R96" s="1"/>
      <c r="S96" s="1" t="s">
        <v>109</v>
      </c>
      <c r="T96" s="1">
        <v>0.41899999999999998</v>
      </c>
      <c r="U96" s="1" t="s">
        <v>109</v>
      </c>
      <c r="V96" s="1">
        <v>3</v>
      </c>
      <c r="W96" s="1">
        <v>13</v>
      </c>
      <c r="X96" s="1" t="s">
        <v>110</v>
      </c>
      <c r="Y96" s="1"/>
      <c r="Z96" s="1">
        <v>0.97699999999999998</v>
      </c>
      <c r="AA96" s="1" t="s">
        <v>111</v>
      </c>
      <c r="AB96" s="1" t="s">
        <v>111</v>
      </c>
      <c r="AC96" s="1" t="s">
        <v>111</v>
      </c>
      <c r="AD96" s="1" t="s">
        <v>111</v>
      </c>
      <c r="AE96" s="1" t="s">
        <v>111</v>
      </c>
      <c r="AF96" s="1" t="s">
        <v>111</v>
      </c>
      <c r="AG96" s="1" t="s">
        <v>111</v>
      </c>
      <c r="AH96" s="1" t="s">
        <v>111</v>
      </c>
      <c r="AI96" s="1">
        <v>87.997</v>
      </c>
      <c r="AJ96" s="1" t="s">
        <v>111</v>
      </c>
      <c r="AK96" s="1"/>
      <c r="AL96" s="1" t="s">
        <v>111</v>
      </c>
      <c r="AM96" s="1"/>
      <c r="AN96" s="1" t="s">
        <v>111</v>
      </c>
      <c r="AO96" s="1"/>
      <c r="AP96" s="1" t="s">
        <v>111</v>
      </c>
    </row>
    <row r="97" spans="1:42" x14ac:dyDescent="0.25">
      <c r="A97" s="1">
        <v>57</v>
      </c>
      <c r="B97" s="1" t="s">
        <v>166</v>
      </c>
      <c r="C97" s="1" t="s">
        <v>103</v>
      </c>
      <c r="D97" s="1" t="s">
        <v>123</v>
      </c>
      <c r="E97" s="1" t="s">
        <v>158</v>
      </c>
      <c r="F97" s="1" t="s">
        <v>106</v>
      </c>
      <c r="G97" s="1" t="s">
        <v>107</v>
      </c>
      <c r="H97" s="1" t="s">
        <v>108</v>
      </c>
      <c r="I97" s="1">
        <v>17.315000000000001</v>
      </c>
      <c r="J97" s="1">
        <v>17.352</v>
      </c>
      <c r="K97" s="1">
        <v>0.124</v>
      </c>
      <c r="L97" s="1"/>
      <c r="M97" s="1"/>
      <c r="N97" s="1"/>
      <c r="O97" s="1"/>
      <c r="P97" s="1"/>
      <c r="Q97" s="1"/>
      <c r="R97" s="1"/>
      <c r="S97" s="1" t="s">
        <v>109</v>
      </c>
      <c r="T97" s="1">
        <v>0.41899999999999998</v>
      </c>
      <c r="U97" s="1" t="s">
        <v>109</v>
      </c>
      <c r="V97" s="1">
        <v>3</v>
      </c>
      <c r="W97" s="1">
        <v>11</v>
      </c>
      <c r="X97" s="1" t="s">
        <v>110</v>
      </c>
      <c r="Y97" s="1"/>
      <c r="Z97" s="1">
        <v>0.98299999999999998</v>
      </c>
      <c r="AA97" s="1" t="s">
        <v>111</v>
      </c>
      <c r="AB97" s="1" t="s">
        <v>111</v>
      </c>
      <c r="AC97" s="1" t="s">
        <v>111</v>
      </c>
      <c r="AD97" s="1" t="s">
        <v>111</v>
      </c>
      <c r="AE97" s="1" t="s">
        <v>111</v>
      </c>
      <c r="AF97" s="1" t="s">
        <v>111</v>
      </c>
      <c r="AG97" s="1" t="s">
        <v>111</v>
      </c>
      <c r="AH97" s="1" t="s">
        <v>111</v>
      </c>
      <c r="AI97" s="1">
        <v>88.111999999999995</v>
      </c>
      <c r="AJ97" s="1" t="s">
        <v>111</v>
      </c>
      <c r="AK97" s="1"/>
      <c r="AL97" s="1" t="s">
        <v>111</v>
      </c>
      <c r="AM97" s="1"/>
      <c r="AN97" s="1" t="s">
        <v>111</v>
      </c>
      <c r="AO97" s="1"/>
      <c r="AP97" s="1" t="s">
        <v>111</v>
      </c>
    </row>
    <row r="98" spans="1:42" x14ac:dyDescent="0.25">
      <c r="A98" s="1">
        <v>58</v>
      </c>
      <c r="B98" s="1" t="s">
        <v>167</v>
      </c>
      <c r="C98" s="1" t="s">
        <v>103</v>
      </c>
      <c r="D98" s="1" t="s">
        <v>123</v>
      </c>
      <c r="E98" s="1" t="s">
        <v>158</v>
      </c>
      <c r="F98" s="1" t="s">
        <v>106</v>
      </c>
      <c r="G98" s="1" t="s">
        <v>107</v>
      </c>
      <c r="H98" s="1" t="s">
        <v>108</v>
      </c>
      <c r="I98" s="1">
        <v>17.379000000000001</v>
      </c>
      <c r="J98" s="1">
        <v>17.352</v>
      </c>
      <c r="K98" s="1">
        <v>0.124</v>
      </c>
      <c r="L98" s="1"/>
      <c r="M98" s="1"/>
      <c r="N98" s="1"/>
      <c r="O98" s="1"/>
      <c r="P98" s="1"/>
      <c r="Q98" s="1"/>
      <c r="R98" s="1"/>
      <c r="S98" s="1" t="s">
        <v>109</v>
      </c>
      <c r="T98" s="1">
        <v>0.41899999999999998</v>
      </c>
      <c r="U98" s="1" t="s">
        <v>109</v>
      </c>
      <c r="V98" s="1">
        <v>3</v>
      </c>
      <c r="W98" s="1">
        <v>11</v>
      </c>
      <c r="X98" s="1" t="s">
        <v>110</v>
      </c>
      <c r="Y98" s="1"/>
      <c r="Z98" s="1">
        <v>0.98299999999999998</v>
      </c>
      <c r="AA98" s="1" t="s">
        <v>111</v>
      </c>
      <c r="AB98" s="1" t="s">
        <v>111</v>
      </c>
      <c r="AC98" s="1" t="s">
        <v>111</v>
      </c>
      <c r="AD98" s="1" t="s">
        <v>111</v>
      </c>
      <c r="AE98" s="1" t="s">
        <v>111</v>
      </c>
      <c r="AF98" s="1" t="s">
        <v>111</v>
      </c>
      <c r="AG98" s="1" t="s">
        <v>111</v>
      </c>
      <c r="AH98" s="1" t="s">
        <v>111</v>
      </c>
      <c r="AI98" s="1">
        <v>88.111999999999995</v>
      </c>
      <c r="AJ98" s="1" t="s">
        <v>111</v>
      </c>
      <c r="AK98" s="1"/>
      <c r="AL98" s="1" t="s">
        <v>111</v>
      </c>
      <c r="AM98" s="1"/>
      <c r="AN98" s="1" t="s">
        <v>111</v>
      </c>
      <c r="AO98" s="1"/>
      <c r="AP98" s="1" t="s">
        <v>111</v>
      </c>
    </row>
    <row r="99" spans="1:42" x14ac:dyDescent="0.25">
      <c r="A99" s="1">
        <v>59</v>
      </c>
      <c r="B99" s="1" t="s">
        <v>168</v>
      </c>
      <c r="C99" s="1" t="s">
        <v>103</v>
      </c>
      <c r="D99" s="1" t="s">
        <v>126</v>
      </c>
      <c r="E99" s="1" t="s">
        <v>158</v>
      </c>
      <c r="F99" s="1" t="s">
        <v>106</v>
      </c>
      <c r="G99" s="1" t="s">
        <v>107</v>
      </c>
      <c r="H99" s="1" t="s">
        <v>108</v>
      </c>
      <c r="I99" s="1">
        <v>17.221</v>
      </c>
      <c r="J99" s="1">
        <v>17.172000000000001</v>
      </c>
      <c r="K99" s="1">
        <v>0.08</v>
      </c>
      <c r="L99" s="1"/>
      <c r="M99" s="1"/>
      <c r="N99" s="1"/>
      <c r="O99" s="1"/>
      <c r="P99" s="1"/>
      <c r="Q99" s="1"/>
      <c r="R99" s="1"/>
      <c r="S99" s="1" t="s">
        <v>109</v>
      </c>
      <c r="T99" s="1">
        <v>0.41899999999999998</v>
      </c>
      <c r="U99" s="1" t="s">
        <v>109</v>
      </c>
      <c r="V99" s="1">
        <v>3</v>
      </c>
      <c r="W99" s="1">
        <v>11</v>
      </c>
      <c r="X99" s="1" t="s">
        <v>110</v>
      </c>
      <c r="Y99" s="1"/>
      <c r="Z99" s="1">
        <v>0.97799999999999998</v>
      </c>
      <c r="AA99" s="1" t="s">
        <v>111</v>
      </c>
      <c r="AB99" s="1" t="s">
        <v>111</v>
      </c>
      <c r="AC99" s="1" t="s">
        <v>111</v>
      </c>
      <c r="AD99" s="1" t="s">
        <v>111</v>
      </c>
      <c r="AE99" s="1" t="s">
        <v>111</v>
      </c>
      <c r="AF99" s="1" t="s">
        <v>111</v>
      </c>
      <c r="AG99" s="1" t="s">
        <v>111</v>
      </c>
      <c r="AH99" s="1" t="s">
        <v>111</v>
      </c>
      <c r="AI99" s="1">
        <v>88.111999999999995</v>
      </c>
      <c r="AJ99" s="1" t="s">
        <v>111</v>
      </c>
      <c r="AK99" s="1"/>
      <c r="AL99" s="1" t="s">
        <v>111</v>
      </c>
      <c r="AM99" s="1"/>
      <c r="AN99" s="1" t="s">
        <v>111</v>
      </c>
      <c r="AO99" s="1"/>
      <c r="AP99" s="1" t="s">
        <v>111</v>
      </c>
    </row>
    <row r="100" spans="1:42" x14ac:dyDescent="0.25">
      <c r="A100" s="1">
        <v>60</v>
      </c>
      <c r="B100" s="1" t="s">
        <v>169</v>
      </c>
      <c r="C100" s="1" t="s">
        <v>103</v>
      </c>
      <c r="D100" s="1" t="s">
        <v>126</v>
      </c>
      <c r="E100" s="1" t="s">
        <v>158</v>
      </c>
      <c r="F100" s="1" t="s">
        <v>106</v>
      </c>
      <c r="G100" s="1" t="s">
        <v>107</v>
      </c>
      <c r="H100" s="1" t="s">
        <v>108</v>
      </c>
      <c r="I100" s="1">
        <v>17.117000000000001</v>
      </c>
      <c r="J100" s="1">
        <v>17.172000000000001</v>
      </c>
      <c r="K100" s="1">
        <v>0.08</v>
      </c>
      <c r="L100" s="1"/>
      <c r="M100" s="1"/>
      <c r="N100" s="1"/>
      <c r="O100" s="1"/>
      <c r="P100" s="1"/>
      <c r="Q100" s="1"/>
      <c r="R100" s="1"/>
      <c r="S100" s="1" t="s">
        <v>109</v>
      </c>
      <c r="T100" s="1">
        <v>0.41899999999999998</v>
      </c>
      <c r="U100" s="1" t="s">
        <v>109</v>
      </c>
      <c r="V100" s="1">
        <v>3</v>
      </c>
      <c r="W100" s="1">
        <v>11</v>
      </c>
      <c r="X100" s="1" t="s">
        <v>110</v>
      </c>
      <c r="Y100" s="1"/>
      <c r="Z100" s="1">
        <v>0.98199999999999998</v>
      </c>
      <c r="AA100" s="1" t="s">
        <v>111</v>
      </c>
      <c r="AB100" s="1" t="s">
        <v>111</v>
      </c>
      <c r="AC100" s="1" t="s">
        <v>111</v>
      </c>
      <c r="AD100" s="1" t="s">
        <v>111</v>
      </c>
      <c r="AE100" s="1" t="s">
        <v>111</v>
      </c>
      <c r="AF100" s="1" t="s">
        <v>111</v>
      </c>
      <c r="AG100" s="1" t="s">
        <v>111</v>
      </c>
      <c r="AH100" s="1" t="s">
        <v>111</v>
      </c>
      <c r="AI100" s="1">
        <v>88.111999999999995</v>
      </c>
      <c r="AJ100" s="1" t="s">
        <v>111</v>
      </c>
      <c r="AK100" s="1"/>
      <c r="AL100" s="1" t="s">
        <v>111</v>
      </c>
      <c r="AM100" s="1"/>
      <c r="AN100" s="1" t="s">
        <v>111</v>
      </c>
      <c r="AO100" s="1"/>
      <c r="AP100" s="1" t="s">
        <v>111</v>
      </c>
    </row>
    <row r="101" spans="1:42" x14ac:dyDescent="0.25">
      <c r="A101" s="1">
        <v>65</v>
      </c>
      <c r="B101" s="1" t="s">
        <v>170</v>
      </c>
      <c r="C101" s="1" t="s">
        <v>103</v>
      </c>
      <c r="D101" s="1" t="s">
        <v>123</v>
      </c>
      <c r="E101" s="1" t="s">
        <v>129</v>
      </c>
      <c r="F101" s="1" t="s">
        <v>106</v>
      </c>
      <c r="G101" s="1" t="s">
        <v>107</v>
      </c>
      <c r="H101" s="1" t="s">
        <v>108</v>
      </c>
      <c r="I101" s="1">
        <v>18.623999999999999</v>
      </c>
      <c r="J101" s="1">
        <v>18.561</v>
      </c>
      <c r="K101" s="1">
        <v>7.2999999999999995E-2</v>
      </c>
      <c r="L101" s="1"/>
      <c r="M101" s="1"/>
      <c r="N101" s="1"/>
      <c r="O101" s="1"/>
      <c r="P101" s="1"/>
      <c r="Q101" s="1"/>
      <c r="R101" s="1"/>
      <c r="S101" s="1" t="s">
        <v>109</v>
      </c>
      <c r="T101" s="1">
        <v>0.34599999999999997</v>
      </c>
      <c r="U101" s="1" t="s">
        <v>109</v>
      </c>
      <c r="V101" s="1">
        <v>3</v>
      </c>
      <c r="W101" s="1">
        <v>12</v>
      </c>
      <c r="X101" s="1" t="s">
        <v>110</v>
      </c>
      <c r="Y101" s="1"/>
      <c r="Z101" s="1">
        <v>0.99099999999999999</v>
      </c>
      <c r="AA101" s="1" t="s">
        <v>111</v>
      </c>
      <c r="AB101" s="1" t="s">
        <v>111</v>
      </c>
      <c r="AC101" s="1" t="s">
        <v>111</v>
      </c>
      <c r="AD101" s="1" t="s">
        <v>111</v>
      </c>
      <c r="AE101" s="1" t="s">
        <v>111</v>
      </c>
      <c r="AF101" s="1" t="s">
        <v>111</v>
      </c>
      <c r="AG101" s="1" t="s">
        <v>111</v>
      </c>
      <c r="AH101" s="1" t="s">
        <v>111</v>
      </c>
      <c r="AI101" s="1">
        <v>82.316000000000003</v>
      </c>
      <c r="AJ101" s="1" t="s">
        <v>111</v>
      </c>
      <c r="AK101" s="1"/>
      <c r="AL101" s="1" t="s">
        <v>111</v>
      </c>
      <c r="AM101" s="1"/>
      <c r="AN101" s="1" t="s">
        <v>111</v>
      </c>
      <c r="AO101" s="1"/>
      <c r="AP101" s="1" t="s">
        <v>111</v>
      </c>
    </row>
    <row r="102" spans="1:42" x14ac:dyDescent="0.25">
      <c r="A102" s="1">
        <v>66</v>
      </c>
      <c r="B102" s="1" t="s">
        <v>171</v>
      </c>
      <c r="C102" s="1" t="s">
        <v>103</v>
      </c>
      <c r="D102" s="1" t="s">
        <v>123</v>
      </c>
      <c r="E102" s="1" t="s">
        <v>129</v>
      </c>
      <c r="F102" s="1" t="s">
        <v>106</v>
      </c>
      <c r="G102" s="1" t="s">
        <v>107</v>
      </c>
      <c r="H102" s="1" t="s">
        <v>108</v>
      </c>
      <c r="I102" s="1">
        <v>18.457000000000001</v>
      </c>
      <c r="J102" s="1">
        <v>18.561</v>
      </c>
      <c r="K102" s="1">
        <v>7.2999999999999995E-2</v>
      </c>
      <c r="L102" s="1"/>
      <c r="M102" s="1"/>
      <c r="N102" s="1"/>
      <c r="O102" s="1"/>
      <c r="P102" s="1"/>
      <c r="Q102" s="1"/>
      <c r="R102" s="1"/>
      <c r="S102" s="1" t="s">
        <v>109</v>
      </c>
      <c r="T102" s="1">
        <v>0.34599999999999997</v>
      </c>
      <c r="U102" s="1" t="s">
        <v>109</v>
      </c>
      <c r="V102" s="1">
        <v>3</v>
      </c>
      <c r="W102" s="1">
        <v>12</v>
      </c>
      <c r="X102" s="1" t="s">
        <v>110</v>
      </c>
      <c r="Y102" s="1"/>
      <c r="Z102" s="1">
        <v>0.99</v>
      </c>
      <c r="AA102" s="1" t="s">
        <v>111</v>
      </c>
      <c r="AB102" s="1" t="s">
        <v>111</v>
      </c>
      <c r="AC102" s="1" t="s">
        <v>111</v>
      </c>
      <c r="AD102" s="1" t="s">
        <v>111</v>
      </c>
      <c r="AE102" s="1" t="s">
        <v>111</v>
      </c>
      <c r="AF102" s="1" t="s">
        <v>111</v>
      </c>
      <c r="AG102" s="1" t="s">
        <v>111</v>
      </c>
      <c r="AH102" s="1" t="s">
        <v>111</v>
      </c>
      <c r="AI102" s="1">
        <v>82.316000000000003</v>
      </c>
      <c r="AJ102" s="1" t="s">
        <v>111</v>
      </c>
      <c r="AK102" s="1"/>
      <c r="AL102" s="1" t="s">
        <v>111</v>
      </c>
      <c r="AM102" s="1"/>
      <c r="AN102" s="1" t="s">
        <v>111</v>
      </c>
      <c r="AO102" s="1"/>
      <c r="AP102" s="1" t="s">
        <v>111</v>
      </c>
    </row>
    <row r="103" spans="1:42" x14ac:dyDescent="0.25">
      <c r="A103" s="1">
        <v>67</v>
      </c>
      <c r="B103" s="1" t="s">
        <v>172</v>
      </c>
      <c r="C103" s="1" t="s">
        <v>103</v>
      </c>
      <c r="D103" s="1" t="s">
        <v>126</v>
      </c>
      <c r="E103" s="1" t="s">
        <v>129</v>
      </c>
      <c r="F103" s="1" t="s">
        <v>106</v>
      </c>
      <c r="G103" s="1" t="s">
        <v>107</v>
      </c>
      <c r="H103" s="1" t="s">
        <v>108</v>
      </c>
      <c r="I103" s="1">
        <v>18.567</v>
      </c>
      <c r="J103" s="1">
        <v>18.501000000000001</v>
      </c>
      <c r="K103" s="1">
        <v>0.123</v>
      </c>
      <c r="L103" s="1"/>
      <c r="M103" s="1"/>
      <c r="N103" s="1"/>
      <c r="O103" s="1"/>
      <c r="P103" s="1"/>
      <c r="Q103" s="1"/>
      <c r="R103" s="1"/>
      <c r="S103" s="1" t="s">
        <v>109</v>
      </c>
      <c r="T103" s="1">
        <v>0.34599999999999997</v>
      </c>
      <c r="U103" s="1" t="s">
        <v>109</v>
      </c>
      <c r="V103" s="1">
        <v>3</v>
      </c>
      <c r="W103" s="1">
        <v>13</v>
      </c>
      <c r="X103" s="1" t="s">
        <v>110</v>
      </c>
      <c r="Y103" s="1"/>
      <c r="Z103" s="1">
        <v>0.98399999999999999</v>
      </c>
      <c r="AA103" s="1" t="s">
        <v>111</v>
      </c>
      <c r="AB103" s="1" t="s">
        <v>111</v>
      </c>
      <c r="AC103" s="1" t="s">
        <v>111</v>
      </c>
      <c r="AD103" s="1" t="s">
        <v>111</v>
      </c>
      <c r="AE103" s="1" t="s">
        <v>111</v>
      </c>
      <c r="AF103" s="1" t="s">
        <v>111</v>
      </c>
      <c r="AG103" s="1" t="s">
        <v>111</v>
      </c>
      <c r="AH103" s="1" t="s">
        <v>111</v>
      </c>
      <c r="AI103" s="1">
        <v>82.316000000000003</v>
      </c>
      <c r="AJ103" s="1" t="s">
        <v>111</v>
      </c>
      <c r="AK103" s="1"/>
      <c r="AL103" s="1" t="s">
        <v>111</v>
      </c>
      <c r="AM103" s="1"/>
      <c r="AN103" s="1" t="s">
        <v>111</v>
      </c>
      <c r="AO103" s="1"/>
      <c r="AP103" s="1" t="s">
        <v>111</v>
      </c>
    </row>
    <row r="104" spans="1:42" x14ac:dyDescent="0.25">
      <c r="A104" s="1">
        <v>68</v>
      </c>
      <c r="B104" s="1" t="s">
        <v>173</v>
      </c>
      <c r="C104" s="1" t="s">
        <v>103</v>
      </c>
      <c r="D104" s="1" t="s">
        <v>126</v>
      </c>
      <c r="E104" s="1" t="s">
        <v>129</v>
      </c>
      <c r="F104" s="1" t="s">
        <v>106</v>
      </c>
      <c r="G104" s="1" t="s">
        <v>107</v>
      </c>
      <c r="H104" s="1" t="s">
        <v>108</v>
      </c>
      <c r="I104" s="1">
        <v>18.332999999999998</v>
      </c>
      <c r="J104" s="1">
        <v>18.501000000000001</v>
      </c>
      <c r="K104" s="1">
        <v>0.123</v>
      </c>
      <c r="L104" s="1"/>
      <c r="M104" s="1"/>
      <c r="N104" s="1"/>
      <c r="O104" s="1"/>
      <c r="P104" s="1"/>
      <c r="Q104" s="1"/>
      <c r="R104" s="1"/>
      <c r="S104" s="1" t="s">
        <v>109</v>
      </c>
      <c r="T104" s="1">
        <v>0.34599999999999997</v>
      </c>
      <c r="U104" s="1" t="s">
        <v>109</v>
      </c>
      <c r="V104" s="1">
        <v>3</v>
      </c>
      <c r="W104" s="1">
        <v>13</v>
      </c>
      <c r="X104" s="1" t="s">
        <v>110</v>
      </c>
      <c r="Y104" s="1"/>
      <c r="Z104" s="1">
        <v>0.98899999999999999</v>
      </c>
      <c r="AA104" s="1" t="s">
        <v>111</v>
      </c>
      <c r="AB104" s="1" t="s">
        <v>111</v>
      </c>
      <c r="AC104" s="1" t="s">
        <v>111</v>
      </c>
      <c r="AD104" s="1" t="s">
        <v>111</v>
      </c>
      <c r="AE104" s="1" t="s">
        <v>111</v>
      </c>
      <c r="AF104" s="1" t="s">
        <v>111</v>
      </c>
      <c r="AG104" s="1" t="s">
        <v>111</v>
      </c>
      <c r="AH104" s="1" t="s">
        <v>111</v>
      </c>
      <c r="AI104" s="1">
        <v>82.316000000000003</v>
      </c>
      <c r="AJ104" s="1" t="s">
        <v>111</v>
      </c>
      <c r="AK104" s="1"/>
      <c r="AL104" s="1" t="s">
        <v>111</v>
      </c>
      <c r="AM104" s="1"/>
      <c r="AN104" s="1" t="s">
        <v>111</v>
      </c>
      <c r="AO104" s="1"/>
      <c r="AP104" s="1" t="s">
        <v>111</v>
      </c>
    </row>
    <row r="105" spans="1:42" x14ac:dyDescent="0.25">
      <c r="A105" s="1">
        <v>73</v>
      </c>
      <c r="B105" s="1" t="s">
        <v>174</v>
      </c>
      <c r="C105" s="1" t="s">
        <v>103</v>
      </c>
      <c r="D105" s="1" t="s">
        <v>104</v>
      </c>
      <c r="E105" s="1" t="s">
        <v>158</v>
      </c>
      <c r="F105" s="1" t="s">
        <v>106</v>
      </c>
      <c r="G105" s="1" t="s">
        <v>107</v>
      </c>
      <c r="H105" s="1" t="s">
        <v>108</v>
      </c>
      <c r="I105" s="1">
        <v>16.472999999999999</v>
      </c>
      <c r="J105" s="1">
        <v>16.489999999999998</v>
      </c>
      <c r="K105" s="1">
        <v>0.11</v>
      </c>
      <c r="L105" s="1"/>
      <c r="M105" s="1"/>
      <c r="N105" s="1"/>
      <c r="O105" s="1"/>
      <c r="P105" s="1"/>
      <c r="Q105" s="1"/>
      <c r="R105" s="1"/>
      <c r="S105" s="1" t="s">
        <v>109</v>
      </c>
      <c r="T105" s="1">
        <v>0.41899999999999998</v>
      </c>
      <c r="U105" s="1" t="s">
        <v>109</v>
      </c>
      <c r="V105" s="1">
        <v>3</v>
      </c>
      <c r="W105" s="1">
        <v>10</v>
      </c>
      <c r="X105" s="1" t="s">
        <v>110</v>
      </c>
      <c r="Y105" s="1"/>
      <c r="Z105" s="1">
        <v>0.98</v>
      </c>
      <c r="AA105" s="1" t="s">
        <v>111</v>
      </c>
      <c r="AB105" s="1" t="s">
        <v>111</v>
      </c>
      <c r="AC105" s="1" t="s">
        <v>111</v>
      </c>
      <c r="AD105" s="1" t="s">
        <v>111</v>
      </c>
      <c r="AE105" s="1" t="s">
        <v>111</v>
      </c>
      <c r="AF105" s="1" t="s">
        <v>111</v>
      </c>
      <c r="AG105" s="1" t="s">
        <v>111</v>
      </c>
      <c r="AH105" s="1" t="s">
        <v>111</v>
      </c>
      <c r="AI105" s="1">
        <v>87.977999999999994</v>
      </c>
      <c r="AJ105" s="1" t="s">
        <v>111</v>
      </c>
      <c r="AK105" s="1"/>
      <c r="AL105" s="1" t="s">
        <v>111</v>
      </c>
      <c r="AM105" s="1"/>
      <c r="AN105" s="1" t="s">
        <v>111</v>
      </c>
      <c r="AO105" s="1"/>
      <c r="AP105" s="1" t="s">
        <v>111</v>
      </c>
    </row>
    <row r="106" spans="1:42" x14ac:dyDescent="0.25">
      <c r="A106" s="1">
        <v>74</v>
      </c>
      <c r="B106" s="1" t="s">
        <v>175</v>
      </c>
      <c r="C106" s="1" t="s">
        <v>103</v>
      </c>
      <c r="D106" s="1" t="s">
        <v>104</v>
      </c>
      <c r="E106" s="1" t="s">
        <v>158</v>
      </c>
      <c r="F106" s="1" t="s">
        <v>106</v>
      </c>
      <c r="G106" s="1" t="s">
        <v>107</v>
      </c>
      <c r="H106" s="1" t="s">
        <v>108</v>
      </c>
      <c r="I106" s="1">
        <v>16.600999999999999</v>
      </c>
      <c r="J106" s="1">
        <v>16.489999999999998</v>
      </c>
      <c r="K106" s="1">
        <v>0.11</v>
      </c>
      <c r="L106" s="1"/>
      <c r="M106" s="1"/>
      <c r="N106" s="1"/>
      <c r="O106" s="1"/>
      <c r="P106" s="1"/>
      <c r="Q106" s="1"/>
      <c r="R106" s="1"/>
      <c r="S106" s="1" t="s">
        <v>109</v>
      </c>
      <c r="T106" s="1">
        <v>0.41899999999999998</v>
      </c>
      <c r="U106" s="1" t="s">
        <v>109</v>
      </c>
      <c r="V106" s="1">
        <v>3</v>
      </c>
      <c r="W106" s="1">
        <v>11</v>
      </c>
      <c r="X106" s="1" t="s">
        <v>110</v>
      </c>
      <c r="Y106" s="1"/>
      <c r="Z106" s="1">
        <v>0.98199999999999998</v>
      </c>
      <c r="AA106" s="1" t="s">
        <v>111</v>
      </c>
      <c r="AB106" s="1" t="s">
        <v>111</v>
      </c>
      <c r="AC106" s="1" t="s">
        <v>111</v>
      </c>
      <c r="AD106" s="1" t="s">
        <v>111</v>
      </c>
      <c r="AE106" s="1" t="s">
        <v>111</v>
      </c>
      <c r="AF106" s="1" t="s">
        <v>111</v>
      </c>
      <c r="AG106" s="1" t="s">
        <v>111</v>
      </c>
      <c r="AH106" s="1" t="s">
        <v>111</v>
      </c>
      <c r="AI106" s="1">
        <v>87.977999999999994</v>
      </c>
      <c r="AJ106" s="1" t="s">
        <v>111</v>
      </c>
      <c r="AK106" s="1"/>
      <c r="AL106" s="1" t="s">
        <v>111</v>
      </c>
      <c r="AM106" s="1"/>
      <c r="AN106" s="1" t="s">
        <v>111</v>
      </c>
      <c r="AO106" s="1"/>
      <c r="AP106" s="1" t="s">
        <v>111</v>
      </c>
    </row>
    <row r="107" spans="1:42" x14ac:dyDescent="0.25">
      <c r="A107" s="1">
        <v>75</v>
      </c>
      <c r="B107" s="1" t="s">
        <v>176</v>
      </c>
      <c r="C107" s="1" t="s">
        <v>103</v>
      </c>
      <c r="D107" s="1" t="s">
        <v>114</v>
      </c>
      <c r="E107" s="1" t="s">
        <v>158</v>
      </c>
      <c r="F107" s="1" t="s">
        <v>106</v>
      </c>
      <c r="G107" s="1" t="s">
        <v>107</v>
      </c>
      <c r="H107" s="1" t="s">
        <v>108</v>
      </c>
      <c r="I107" s="1">
        <v>16.353999999999999</v>
      </c>
      <c r="J107" s="1">
        <v>16.314</v>
      </c>
      <c r="K107" s="1">
        <v>7.2999999999999995E-2</v>
      </c>
      <c r="L107" s="1"/>
      <c r="M107" s="1"/>
      <c r="N107" s="1"/>
      <c r="O107" s="1"/>
      <c r="P107" s="1"/>
      <c r="Q107" s="1"/>
      <c r="R107" s="1"/>
      <c r="S107" s="1" t="s">
        <v>109</v>
      </c>
      <c r="T107" s="1">
        <v>0.41899999999999998</v>
      </c>
      <c r="U107" s="1" t="s">
        <v>109</v>
      </c>
      <c r="V107" s="1">
        <v>3</v>
      </c>
      <c r="W107" s="1">
        <v>10</v>
      </c>
      <c r="X107" s="1" t="s">
        <v>110</v>
      </c>
      <c r="Y107" s="1"/>
      <c r="Z107" s="1">
        <v>0.98699999999999999</v>
      </c>
      <c r="AA107" s="1" t="s">
        <v>111</v>
      </c>
      <c r="AB107" s="1" t="s">
        <v>111</v>
      </c>
      <c r="AC107" s="1" t="s">
        <v>111</v>
      </c>
      <c r="AD107" s="1" t="s">
        <v>111</v>
      </c>
      <c r="AE107" s="1" t="s">
        <v>111</v>
      </c>
      <c r="AF107" s="1" t="s">
        <v>111</v>
      </c>
      <c r="AG107" s="1" t="s">
        <v>111</v>
      </c>
      <c r="AH107" s="1" t="s">
        <v>111</v>
      </c>
      <c r="AI107" s="1">
        <v>88.091999999999999</v>
      </c>
      <c r="AJ107" s="1" t="s">
        <v>111</v>
      </c>
      <c r="AK107" s="1"/>
      <c r="AL107" s="1" t="s">
        <v>111</v>
      </c>
      <c r="AM107" s="1"/>
      <c r="AN107" s="1" t="s">
        <v>111</v>
      </c>
      <c r="AO107" s="1"/>
      <c r="AP107" s="1" t="s">
        <v>111</v>
      </c>
    </row>
    <row r="108" spans="1:42" x14ac:dyDescent="0.25">
      <c r="A108" s="1">
        <v>76</v>
      </c>
      <c r="B108" s="1" t="s">
        <v>177</v>
      </c>
      <c r="C108" s="1" t="s">
        <v>103</v>
      </c>
      <c r="D108" s="1" t="s">
        <v>114</v>
      </c>
      <c r="E108" s="1" t="s">
        <v>158</v>
      </c>
      <c r="F108" s="1" t="s">
        <v>106</v>
      </c>
      <c r="G108" s="1" t="s">
        <v>107</v>
      </c>
      <c r="H108" s="1" t="s">
        <v>108</v>
      </c>
      <c r="I108" s="1">
        <v>16.388000000000002</v>
      </c>
      <c r="J108" s="1">
        <v>16.314</v>
      </c>
      <c r="K108" s="1">
        <v>7.2999999999999995E-2</v>
      </c>
      <c r="L108" s="1"/>
      <c r="M108" s="1"/>
      <c r="N108" s="1"/>
      <c r="O108" s="1"/>
      <c r="P108" s="1"/>
      <c r="Q108" s="1"/>
      <c r="R108" s="1"/>
      <c r="S108" s="1" t="s">
        <v>109</v>
      </c>
      <c r="T108" s="1">
        <v>0.41899999999999998</v>
      </c>
      <c r="U108" s="1" t="s">
        <v>109</v>
      </c>
      <c r="V108" s="1">
        <v>3</v>
      </c>
      <c r="W108" s="1">
        <v>11</v>
      </c>
      <c r="X108" s="1" t="s">
        <v>110</v>
      </c>
      <c r="Y108" s="1"/>
      <c r="Z108" s="1">
        <v>0.98599999999999999</v>
      </c>
      <c r="AA108" s="1" t="s">
        <v>111</v>
      </c>
      <c r="AB108" s="1" t="s">
        <v>111</v>
      </c>
      <c r="AC108" s="1" t="s">
        <v>111</v>
      </c>
      <c r="AD108" s="1" t="s">
        <v>111</v>
      </c>
      <c r="AE108" s="1" t="s">
        <v>111</v>
      </c>
      <c r="AF108" s="1" t="s">
        <v>111</v>
      </c>
      <c r="AG108" s="1" t="s">
        <v>111</v>
      </c>
      <c r="AH108" s="1" t="s">
        <v>111</v>
      </c>
      <c r="AI108" s="1">
        <v>88.091999999999999</v>
      </c>
      <c r="AJ108" s="1" t="s">
        <v>111</v>
      </c>
      <c r="AK108" s="1"/>
      <c r="AL108" s="1" t="s">
        <v>111</v>
      </c>
      <c r="AM108" s="1"/>
      <c r="AN108" s="1" t="s">
        <v>111</v>
      </c>
      <c r="AO108" s="1"/>
      <c r="AP108" s="1" t="s">
        <v>111</v>
      </c>
    </row>
    <row r="109" spans="1:42" x14ac:dyDescent="0.25">
      <c r="A109" s="1">
        <v>77</v>
      </c>
      <c r="B109" s="1" t="s">
        <v>178</v>
      </c>
      <c r="C109" s="1" t="s">
        <v>103</v>
      </c>
      <c r="D109" s="1" t="s">
        <v>117</v>
      </c>
      <c r="E109" s="1" t="s">
        <v>158</v>
      </c>
      <c r="F109" s="1" t="s">
        <v>106</v>
      </c>
      <c r="G109" s="1" t="s">
        <v>107</v>
      </c>
      <c r="H109" s="1" t="s">
        <v>108</v>
      </c>
      <c r="I109" s="1">
        <v>18.785</v>
      </c>
      <c r="J109" s="1">
        <v>18.748999999999999</v>
      </c>
      <c r="K109" s="1">
        <v>8.5999999999999993E-2</v>
      </c>
      <c r="L109" s="1"/>
      <c r="M109" s="1"/>
      <c r="N109" s="1"/>
      <c r="O109" s="1"/>
      <c r="P109" s="1"/>
      <c r="Q109" s="1"/>
      <c r="R109" s="1"/>
      <c r="S109" s="1" t="s">
        <v>109</v>
      </c>
      <c r="T109" s="1">
        <v>0.41899999999999998</v>
      </c>
      <c r="U109" s="1" t="s">
        <v>109</v>
      </c>
      <c r="V109" s="1">
        <v>3</v>
      </c>
      <c r="W109" s="1">
        <v>12</v>
      </c>
      <c r="X109" s="1" t="s">
        <v>110</v>
      </c>
      <c r="Y109" s="1"/>
      <c r="Z109" s="1">
        <v>0.98499999999999999</v>
      </c>
      <c r="AA109" s="1" t="s">
        <v>111</v>
      </c>
      <c r="AB109" s="1" t="s">
        <v>111</v>
      </c>
      <c r="AC109" s="1" t="s">
        <v>111</v>
      </c>
      <c r="AD109" s="1" t="s">
        <v>111</v>
      </c>
      <c r="AE109" s="1" t="s">
        <v>111</v>
      </c>
      <c r="AF109" s="1" t="s">
        <v>111</v>
      </c>
      <c r="AG109" s="1" t="s">
        <v>111</v>
      </c>
      <c r="AH109" s="1" t="s">
        <v>111</v>
      </c>
      <c r="AI109" s="1">
        <v>88.11</v>
      </c>
      <c r="AJ109" s="1" t="s">
        <v>111</v>
      </c>
      <c r="AK109" s="1"/>
      <c r="AL109" s="1" t="s">
        <v>111</v>
      </c>
      <c r="AM109" s="1"/>
      <c r="AN109" s="1" t="s">
        <v>111</v>
      </c>
      <c r="AO109" s="1"/>
      <c r="AP109" s="1" t="s">
        <v>111</v>
      </c>
    </row>
    <row r="110" spans="1:42" x14ac:dyDescent="0.25">
      <c r="A110" s="1">
        <v>78</v>
      </c>
      <c r="B110" s="1" t="s">
        <v>179</v>
      </c>
      <c r="C110" s="1" t="s">
        <v>103</v>
      </c>
      <c r="D110" s="1" t="s">
        <v>117</v>
      </c>
      <c r="E110" s="1" t="s">
        <v>158</v>
      </c>
      <c r="F110" s="1" t="s">
        <v>106</v>
      </c>
      <c r="G110" s="1" t="s">
        <v>107</v>
      </c>
      <c r="H110" s="1" t="s">
        <v>108</v>
      </c>
      <c r="I110" s="1">
        <v>18.649000000000001</v>
      </c>
      <c r="J110" s="1">
        <v>18.748999999999999</v>
      </c>
      <c r="K110" s="1">
        <v>8.5999999999999993E-2</v>
      </c>
      <c r="L110" s="1"/>
      <c r="M110" s="1"/>
      <c r="N110" s="1"/>
      <c r="O110" s="1"/>
      <c r="P110" s="1"/>
      <c r="Q110" s="1"/>
      <c r="R110" s="1"/>
      <c r="S110" s="1" t="s">
        <v>109</v>
      </c>
      <c r="T110" s="1">
        <v>0.41899999999999998</v>
      </c>
      <c r="U110" s="1" t="s">
        <v>109</v>
      </c>
      <c r="V110" s="1">
        <v>3</v>
      </c>
      <c r="W110" s="1">
        <v>12</v>
      </c>
      <c r="X110" s="1" t="s">
        <v>110</v>
      </c>
      <c r="Y110" s="1"/>
      <c r="Z110" s="1">
        <v>0.98199999999999998</v>
      </c>
      <c r="AA110" s="1" t="s">
        <v>111</v>
      </c>
      <c r="AB110" s="1" t="s">
        <v>111</v>
      </c>
      <c r="AC110" s="1" t="s">
        <v>111</v>
      </c>
      <c r="AD110" s="1" t="s">
        <v>111</v>
      </c>
      <c r="AE110" s="1" t="s">
        <v>111</v>
      </c>
      <c r="AF110" s="1" t="s">
        <v>111</v>
      </c>
      <c r="AG110" s="1" t="s">
        <v>111</v>
      </c>
      <c r="AH110" s="1" t="s">
        <v>111</v>
      </c>
      <c r="AI110" s="1">
        <v>88.11</v>
      </c>
      <c r="AJ110" s="1" t="s">
        <v>111</v>
      </c>
      <c r="AK110" s="1"/>
      <c r="AL110" s="1" t="s">
        <v>111</v>
      </c>
      <c r="AM110" s="1"/>
      <c r="AN110" s="1" t="s">
        <v>111</v>
      </c>
      <c r="AO110" s="1"/>
      <c r="AP110" s="1" t="s">
        <v>111</v>
      </c>
    </row>
    <row r="111" spans="1:42" x14ac:dyDescent="0.25">
      <c r="A111" s="1">
        <v>79</v>
      </c>
      <c r="B111" s="1" t="s">
        <v>180</v>
      </c>
      <c r="C111" s="1" t="s">
        <v>103</v>
      </c>
      <c r="D111" s="1" t="s">
        <v>120</v>
      </c>
      <c r="E111" s="1" t="s">
        <v>158</v>
      </c>
      <c r="F111" s="1" t="s">
        <v>106</v>
      </c>
      <c r="G111" s="1" t="s">
        <v>107</v>
      </c>
      <c r="H111" s="1" t="s">
        <v>108</v>
      </c>
      <c r="I111" s="1">
        <v>19.004999999999999</v>
      </c>
      <c r="J111" s="1">
        <v>18.981000000000002</v>
      </c>
      <c r="K111" s="1">
        <v>9.7000000000000003E-2</v>
      </c>
      <c r="L111" s="1"/>
      <c r="M111" s="1"/>
      <c r="N111" s="1"/>
      <c r="O111" s="1"/>
      <c r="P111" s="1"/>
      <c r="Q111" s="1"/>
      <c r="R111" s="1"/>
      <c r="S111" s="1" t="s">
        <v>109</v>
      </c>
      <c r="T111" s="1">
        <v>0.41899999999999998</v>
      </c>
      <c r="U111" s="1" t="s">
        <v>109</v>
      </c>
      <c r="V111" s="1">
        <v>3</v>
      </c>
      <c r="W111" s="1">
        <v>12</v>
      </c>
      <c r="X111" s="1" t="s">
        <v>110</v>
      </c>
      <c r="Y111" s="1"/>
      <c r="Z111" s="1">
        <v>0.98299999999999998</v>
      </c>
      <c r="AA111" s="1" t="s">
        <v>111</v>
      </c>
      <c r="AB111" s="1" t="s">
        <v>111</v>
      </c>
      <c r="AC111" s="1" t="s">
        <v>111</v>
      </c>
      <c r="AD111" s="1" t="s">
        <v>111</v>
      </c>
      <c r="AE111" s="1" t="s">
        <v>111</v>
      </c>
      <c r="AF111" s="1" t="s">
        <v>111</v>
      </c>
      <c r="AG111" s="1" t="s">
        <v>111</v>
      </c>
      <c r="AH111" s="1" t="s">
        <v>111</v>
      </c>
      <c r="AI111" s="1">
        <v>88.11</v>
      </c>
      <c r="AJ111" s="1" t="s">
        <v>111</v>
      </c>
      <c r="AK111" s="1"/>
      <c r="AL111" s="1" t="s">
        <v>111</v>
      </c>
      <c r="AM111" s="1"/>
      <c r="AN111" s="1" t="s">
        <v>111</v>
      </c>
      <c r="AO111" s="1"/>
      <c r="AP111" s="1" t="s">
        <v>111</v>
      </c>
    </row>
    <row r="112" spans="1:42" x14ac:dyDescent="0.25">
      <c r="A112" s="1">
        <v>80</v>
      </c>
      <c r="B112" s="1" t="s">
        <v>181</v>
      </c>
      <c r="C112" s="1" t="s">
        <v>103</v>
      </c>
      <c r="D112" s="1" t="s">
        <v>120</v>
      </c>
      <c r="E112" s="1" t="s">
        <v>158</v>
      </c>
      <c r="F112" s="1" t="s">
        <v>106</v>
      </c>
      <c r="G112" s="1" t="s">
        <v>107</v>
      </c>
      <c r="H112" s="1" t="s">
        <v>108</v>
      </c>
      <c r="I112" s="1">
        <v>18.933</v>
      </c>
      <c r="J112" s="1">
        <v>18.981000000000002</v>
      </c>
      <c r="K112" s="1">
        <v>9.7000000000000003E-2</v>
      </c>
      <c r="L112" s="1"/>
      <c r="M112" s="1"/>
      <c r="N112" s="1"/>
      <c r="O112" s="1"/>
      <c r="P112" s="1"/>
      <c r="Q112" s="1"/>
      <c r="R112" s="1"/>
      <c r="S112" s="1" t="s">
        <v>109</v>
      </c>
      <c r="T112" s="1">
        <v>0.41899999999999998</v>
      </c>
      <c r="U112" s="1" t="s">
        <v>109</v>
      </c>
      <c r="V112" s="1">
        <v>3</v>
      </c>
      <c r="W112" s="1">
        <v>13</v>
      </c>
      <c r="X112" s="1" t="s">
        <v>110</v>
      </c>
      <c r="Y112" s="1"/>
      <c r="Z112" s="1">
        <v>0.98799999999999999</v>
      </c>
      <c r="AA112" s="1" t="s">
        <v>111</v>
      </c>
      <c r="AB112" s="1" t="s">
        <v>111</v>
      </c>
      <c r="AC112" s="1" t="s">
        <v>111</v>
      </c>
      <c r="AD112" s="1" t="s">
        <v>111</v>
      </c>
      <c r="AE112" s="1" t="s">
        <v>111</v>
      </c>
      <c r="AF112" s="1" t="s">
        <v>111</v>
      </c>
      <c r="AG112" s="1" t="s">
        <v>111</v>
      </c>
      <c r="AH112" s="1" t="s">
        <v>111</v>
      </c>
      <c r="AI112" s="1">
        <v>87.997</v>
      </c>
      <c r="AJ112" s="1" t="s">
        <v>111</v>
      </c>
      <c r="AK112" s="1"/>
      <c r="AL112" s="1" t="s">
        <v>111</v>
      </c>
      <c r="AM112" s="1"/>
      <c r="AN112" s="1" t="s">
        <v>111</v>
      </c>
      <c r="AO112" s="1"/>
      <c r="AP112" s="1" t="s">
        <v>111</v>
      </c>
    </row>
    <row r="113" spans="1:42" x14ac:dyDescent="0.25">
      <c r="A113" s="1">
        <v>81</v>
      </c>
      <c r="B113" s="1" t="s">
        <v>182</v>
      </c>
      <c r="C113" s="1" t="s">
        <v>103</v>
      </c>
      <c r="D113" s="1" t="s">
        <v>123</v>
      </c>
      <c r="E113" s="1" t="s">
        <v>158</v>
      </c>
      <c r="F113" s="1" t="s">
        <v>106</v>
      </c>
      <c r="G113" s="1" t="s">
        <v>107</v>
      </c>
      <c r="H113" s="1" t="s">
        <v>108</v>
      </c>
      <c r="I113" s="1">
        <v>17.506</v>
      </c>
      <c r="J113" s="1">
        <v>17.352</v>
      </c>
      <c r="K113" s="1">
        <v>0.124</v>
      </c>
      <c r="L113" s="1"/>
      <c r="M113" s="1"/>
      <c r="N113" s="1"/>
      <c r="O113" s="1"/>
      <c r="P113" s="1"/>
      <c r="Q113" s="1"/>
      <c r="R113" s="1"/>
      <c r="S113" s="1" t="s">
        <v>109</v>
      </c>
      <c r="T113" s="1">
        <v>0.41899999999999998</v>
      </c>
      <c r="U113" s="1" t="s">
        <v>109</v>
      </c>
      <c r="V113" s="1">
        <v>3</v>
      </c>
      <c r="W113" s="1">
        <v>11</v>
      </c>
      <c r="X113" s="1" t="s">
        <v>110</v>
      </c>
      <c r="Y113" s="1"/>
      <c r="Z113" s="1">
        <v>0.97699999999999998</v>
      </c>
      <c r="AA113" s="1" t="s">
        <v>111</v>
      </c>
      <c r="AB113" s="1" t="s">
        <v>111</v>
      </c>
      <c r="AC113" s="1" t="s">
        <v>111</v>
      </c>
      <c r="AD113" s="1" t="s">
        <v>111</v>
      </c>
      <c r="AE113" s="1" t="s">
        <v>111</v>
      </c>
      <c r="AF113" s="1" t="s">
        <v>111</v>
      </c>
      <c r="AG113" s="1" t="s">
        <v>111</v>
      </c>
      <c r="AH113" s="1" t="s">
        <v>111</v>
      </c>
      <c r="AI113" s="1">
        <v>88.111999999999995</v>
      </c>
      <c r="AJ113" s="1" t="s">
        <v>111</v>
      </c>
      <c r="AK113" s="1"/>
      <c r="AL113" s="1" t="s">
        <v>111</v>
      </c>
      <c r="AM113" s="1"/>
      <c r="AN113" s="1" t="s">
        <v>111</v>
      </c>
      <c r="AO113" s="1"/>
      <c r="AP113" s="1" t="s">
        <v>111</v>
      </c>
    </row>
    <row r="114" spans="1:42" x14ac:dyDescent="0.25">
      <c r="A114" s="1">
        <v>82</v>
      </c>
      <c r="B114" s="1" t="s">
        <v>183</v>
      </c>
      <c r="C114" s="1" t="s">
        <v>103</v>
      </c>
      <c r="D114" s="1" t="s">
        <v>123</v>
      </c>
      <c r="E114" s="1" t="s">
        <v>158</v>
      </c>
      <c r="F114" s="1" t="s">
        <v>106</v>
      </c>
      <c r="G114" s="1" t="s">
        <v>107</v>
      </c>
      <c r="H114" s="1" t="s">
        <v>108</v>
      </c>
      <c r="I114" s="1">
        <v>17.209</v>
      </c>
      <c r="J114" s="1">
        <v>17.352</v>
      </c>
      <c r="K114" s="1">
        <v>0.124</v>
      </c>
      <c r="L114" s="1"/>
      <c r="M114" s="1"/>
      <c r="N114" s="1"/>
      <c r="O114" s="1"/>
      <c r="P114" s="1"/>
      <c r="Q114" s="1"/>
      <c r="R114" s="1"/>
      <c r="S114" s="1" t="s">
        <v>109</v>
      </c>
      <c r="T114" s="1">
        <v>0.41899999999999998</v>
      </c>
      <c r="U114" s="1" t="s">
        <v>109</v>
      </c>
      <c r="V114" s="1">
        <v>3</v>
      </c>
      <c r="W114" s="1">
        <v>11</v>
      </c>
      <c r="X114" s="1" t="s">
        <v>110</v>
      </c>
      <c r="Y114" s="1"/>
      <c r="Z114" s="1">
        <v>0.98299999999999998</v>
      </c>
      <c r="AA114" s="1" t="s">
        <v>111</v>
      </c>
      <c r="AB114" s="1" t="s">
        <v>111</v>
      </c>
      <c r="AC114" s="1" t="s">
        <v>111</v>
      </c>
      <c r="AD114" s="1" t="s">
        <v>111</v>
      </c>
      <c r="AE114" s="1" t="s">
        <v>111</v>
      </c>
      <c r="AF114" s="1" t="s">
        <v>111</v>
      </c>
      <c r="AG114" s="1" t="s">
        <v>111</v>
      </c>
      <c r="AH114" s="1" t="s">
        <v>111</v>
      </c>
      <c r="AI114" s="1">
        <v>88.111999999999995</v>
      </c>
      <c r="AJ114" s="1" t="s">
        <v>111</v>
      </c>
      <c r="AK114" s="1"/>
      <c r="AL114" s="1" t="s">
        <v>111</v>
      </c>
      <c r="AM114" s="1"/>
      <c r="AN114" s="1" t="s">
        <v>111</v>
      </c>
      <c r="AO114" s="1"/>
      <c r="AP114" s="1" t="s">
        <v>111</v>
      </c>
    </row>
    <row r="115" spans="1:42" x14ac:dyDescent="0.25">
      <c r="A115" s="1">
        <v>83</v>
      </c>
      <c r="B115" s="1" t="s">
        <v>184</v>
      </c>
      <c r="C115" s="1" t="s">
        <v>103</v>
      </c>
      <c r="D115" s="1" t="s">
        <v>126</v>
      </c>
      <c r="E115" s="1" t="s">
        <v>158</v>
      </c>
      <c r="F115" s="1" t="s">
        <v>106</v>
      </c>
      <c r="G115" s="1" t="s">
        <v>107</v>
      </c>
      <c r="H115" s="1" t="s">
        <v>108</v>
      </c>
      <c r="I115" s="1">
        <v>17.259</v>
      </c>
      <c r="J115" s="1">
        <v>17.172000000000001</v>
      </c>
      <c r="K115" s="1">
        <v>0.08</v>
      </c>
      <c r="L115" s="1"/>
      <c r="M115" s="1"/>
      <c r="N115" s="1"/>
      <c r="O115" s="1"/>
      <c r="P115" s="1"/>
      <c r="Q115" s="1"/>
      <c r="R115" s="1"/>
      <c r="S115" s="1" t="s">
        <v>109</v>
      </c>
      <c r="T115" s="1">
        <v>0.41899999999999998</v>
      </c>
      <c r="U115" s="1" t="s">
        <v>109</v>
      </c>
      <c r="V115" s="1">
        <v>3</v>
      </c>
      <c r="W115" s="1">
        <v>10</v>
      </c>
      <c r="X115" s="1" t="s">
        <v>110</v>
      </c>
      <c r="Y115" s="1"/>
      <c r="Z115" s="1">
        <v>0.98299999999999998</v>
      </c>
      <c r="AA115" s="1" t="s">
        <v>111</v>
      </c>
      <c r="AB115" s="1" t="s">
        <v>111</v>
      </c>
      <c r="AC115" s="1" t="s">
        <v>111</v>
      </c>
      <c r="AD115" s="1" t="s">
        <v>111</v>
      </c>
      <c r="AE115" s="1" t="s">
        <v>111</v>
      </c>
      <c r="AF115" s="1" t="s">
        <v>111</v>
      </c>
      <c r="AG115" s="1" t="s">
        <v>111</v>
      </c>
      <c r="AH115" s="1" t="s">
        <v>111</v>
      </c>
      <c r="AI115" s="1">
        <v>88.111999999999995</v>
      </c>
      <c r="AJ115" s="1" t="s">
        <v>111</v>
      </c>
      <c r="AK115" s="1"/>
      <c r="AL115" s="1" t="s">
        <v>111</v>
      </c>
      <c r="AM115" s="1"/>
      <c r="AN115" s="1" t="s">
        <v>111</v>
      </c>
      <c r="AO115" s="1"/>
      <c r="AP115" s="1" t="s">
        <v>111</v>
      </c>
    </row>
    <row r="116" spans="1:42" x14ac:dyDescent="0.25">
      <c r="A116" s="1">
        <v>84</v>
      </c>
      <c r="B116" s="1" t="s">
        <v>185</v>
      </c>
      <c r="C116" s="1" t="s">
        <v>103</v>
      </c>
      <c r="D116" s="1" t="s">
        <v>126</v>
      </c>
      <c r="E116" s="1" t="s">
        <v>158</v>
      </c>
      <c r="F116" s="1" t="s">
        <v>106</v>
      </c>
      <c r="G116" s="1" t="s">
        <v>107</v>
      </c>
      <c r="H116" s="1" t="s">
        <v>108</v>
      </c>
      <c r="I116" s="1">
        <v>17.091999999999999</v>
      </c>
      <c r="J116" s="1">
        <v>17.172000000000001</v>
      </c>
      <c r="K116" s="1">
        <v>0.08</v>
      </c>
      <c r="L116" s="1"/>
      <c r="M116" s="1"/>
      <c r="N116" s="1"/>
      <c r="O116" s="1"/>
      <c r="P116" s="1"/>
      <c r="Q116" s="1"/>
      <c r="R116" s="1"/>
      <c r="S116" s="1" t="s">
        <v>109</v>
      </c>
      <c r="T116" s="1">
        <v>0.41899999999999998</v>
      </c>
      <c r="U116" s="1" t="s">
        <v>109</v>
      </c>
      <c r="V116" s="1">
        <v>3</v>
      </c>
      <c r="W116" s="1">
        <v>10</v>
      </c>
      <c r="X116" s="1" t="s">
        <v>110</v>
      </c>
      <c r="Y116" s="1"/>
      <c r="Z116" s="1">
        <v>0.98199999999999998</v>
      </c>
      <c r="AA116" s="1" t="s">
        <v>111</v>
      </c>
      <c r="AB116" s="1" t="s">
        <v>111</v>
      </c>
      <c r="AC116" s="1" t="s">
        <v>111</v>
      </c>
      <c r="AD116" s="1" t="s">
        <v>111</v>
      </c>
      <c r="AE116" s="1" t="s">
        <v>111</v>
      </c>
      <c r="AF116" s="1" t="s">
        <v>111</v>
      </c>
      <c r="AG116" s="1" t="s">
        <v>111</v>
      </c>
      <c r="AH116" s="1" t="s">
        <v>111</v>
      </c>
      <c r="AI116" s="1">
        <v>88.111999999999995</v>
      </c>
      <c r="AJ116" s="1" t="s">
        <v>111</v>
      </c>
      <c r="AK116" s="1"/>
      <c r="AL116" s="1" t="s">
        <v>111</v>
      </c>
      <c r="AM116" s="1"/>
      <c r="AN116" s="1" t="s">
        <v>111</v>
      </c>
      <c r="AO116" s="1"/>
      <c r="AP116" s="1" t="s">
        <v>111</v>
      </c>
    </row>
    <row r="117" spans="1:42" x14ac:dyDescent="0.25">
      <c r="A117" s="1">
        <v>89</v>
      </c>
      <c r="B117" s="1" t="s">
        <v>186</v>
      </c>
      <c r="C117" s="1" t="s">
        <v>103</v>
      </c>
      <c r="D117" s="1" t="s">
        <v>123</v>
      </c>
      <c r="E117" s="1" t="s">
        <v>129</v>
      </c>
      <c r="F117" s="1" t="s">
        <v>106</v>
      </c>
      <c r="G117" s="1" t="s">
        <v>107</v>
      </c>
      <c r="H117" s="1" t="s">
        <v>108</v>
      </c>
      <c r="I117" s="1">
        <v>18.565999999999999</v>
      </c>
      <c r="J117" s="1">
        <v>18.561</v>
      </c>
      <c r="K117" s="1">
        <v>7.2999999999999995E-2</v>
      </c>
      <c r="L117" s="1"/>
      <c r="M117" s="1"/>
      <c r="N117" s="1"/>
      <c r="O117" s="1"/>
      <c r="P117" s="1"/>
      <c r="Q117" s="1"/>
      <c r="R117" s="1"/>
      <c r="S117" s="1" t="s">
        <v>109</v>
      </c>
      <c r="T117" s="1">
        <v>0.34599999999999997</v>
      </c>
      <c r="U117" s="1" t="s">
        <v>109</v>
      </c>
      <c r="V117" s="1">
        <v>3</v>
      </c>
      <c r="W117" s="1">
        <v>13</v>
      </c>
      <c r="X117" s="1" t="s">
        <v>110</v>
      </c>
      <c r="Y117" s="1"/>
      <c r="Z117" s="1">
        <v>0.98599999999999999</v>
      </c>
      <c r="AA117" s="1" t="s">
        <v>111</v>
      </c>
      <c r="AB117" s="1" t="s">
        <v>111</v>
      </c>
      <c r="AC117" s="1" t="s">
        <v>111</v>
      </c>
      <c r="AD117" s="1" t="s">
        <v>111</v>
      </c>
      <c r="AE117" s="1" t="s">
        <v>111</v>
      </c>
      <c r="AF117" s="1" t="s">
        <v>111</v>
      </c>
      <c r="AG117" s="1" t="s">
        <v>111</v>
      </c>
      <c r="AH117" s="1" t="s">
        <v>111</v>
      </c>
      <c r="AI117" s="1">
        <v>82.316000000000003</v>
      </c>
      <c r="AJ117" s="1" t="s">
        <v>111</v>
      </c>
      <c r="AK117" s="1"/>
      <c r="AL117" s="1" t="s">
        <v>111</v>
      </c>
      <c r="AM117" s="1"/>
      <c r="AN117" s="1" t="s">
        <v>111</v>
      </c>
      <c r="AO117" s="1"/>
      <c r="AP117" s="1" t="s">
        <v>111</v>
      </c>
    </row>
    <row r="118" spans="1:42" x14ac:dyDescent="0.25">
      <c r="A118" s="1">
        <v>90</v>
      </c>
      <c r="B118" s="1" t="s">
        <v>187</v>
      </c>
      <c r="C118" s="1" t="s">
        <v>103</v>
      </c>
      <c r="D118" s="1" t="s">
        <v>123</v>
      </c>
      <c r="E118" s="1" t="s">
        <v>129</v>
      </c>
      <c r="F118" s="1" t="s">
        <v>106</v>
      </c>
      <c r="G118" s="1" t="s">
        <v>107</v>
      </c>
      <c r="H118" s="1" t="s">
        <v>108</v>
      </c>
      <c r="I118" s="1">
        <v>18.597999999999999</v>
      </c>
      <c r="J118" s="1">
        <v>18.561</v>
      </c>
      <c r="K118" s="1">
        <v>7.2999999999999995E-2</v>
      </c>
      <c r="L118" s="1"/>
      <c r="M118" s="1"/>
      <c r="N118" s="1"/>
      <c r="O118" s="1"/>
      <c r="P118" s="1"/>
      <c r="Q118" s="1"/>
      <c r="R118" s="1"/>
      <c r="S118" s="1" t="s">
        <v>109</v>
      </c>
      <c r="T118" s="1">
        <v>0.34599999999999997</v>
      </c>
      <c r="U118" s="1" t="s">
        <v>109</v>
      </c>
      <c r="V118" s="1">
        <v>3</v>
      </c>
      <c r="W118" s="1">
        <v>12</v>
      </c>
      <c r="X118" s="1" t="s">
        <v>110</v>
      </c>
      <c r="Y118" s="1"/>
      <c r="Z118" s="1">
        <v>0.98899999999999999</v>
      </c>
      <c r="AA118" s="1" t="s">
        <v>111</v>
      </c>
      <c r="AB118" s="1" t="s">
        <v>111</v>
      </c>
      <c r="AC118" s="1" t="s">
        <v>111</v>
      </c>
      <c r="AD118" s="1" t="s">
        <v>111</v>
      </c>
      <c r="AE118" s="1" t="s">
        <v>111</v>
      </c>
      <c r="AF118" s="1" t="s">
        <v>111</v>
      </c>
      <c r="AG118" s="1" t="s">
        <v>111</v>
      </c>
      <c r="AH118" s="1" t="s">
        <v>111</v>
      </c>
      <c r="AI118" s="1">
        <v>82.316000000000003</v>
      </c>
      <c r="AJ118" s="1" t="s">
        <v>111</v>
      </c>
      <c r="AK118" s="1"/>
      <c r="AL118" s="1" t="s">
        <v>111</v>
      </c>
      <c r="AM118" s="1"/>
      <c r="AN118" s="1" t="s">
        <v>111</v>
      </c>
      <c r="AO118" s="1"/>
      <c r="AP118" s="1" t="s">
        <v>111</v>
      </c>
    </row>
    <row r="119" spans="1:42" x14ac:dyDescent="0.25">
      <c r="A119" s="1">
        <v>91</v>
      </c>
      <c r="B119" s="1" t="s">
        <v>188</v>
      </c>
      <c r="C119" s="1" t="s">
        <v>103</v>
      </c>
      <c r="D119" s="1" t="s">
        <v>126</v>
      </c>
      <c r="E119" s="1" t="s">
        <v>129</v>
      </c>
      <c r="F119" s="1" t="s">
        <v>106</v>
      </c>
      <c r="G119" s="1" t="s">
        <v>107</v>
      </c>
      <c r="H119" s="1" t="s">
        <v>108</v>
      </c>
      <c r="I119" s="1">
        <v>18.613</v>
      </c>
      <c r="J119" s="1">
        <v>18.501000000000001</v>
      </c>
      <c r="K119" s="1">
        <v>0.123</v>
      </c>
      <c r="L119" s="1"/>
      <c r="M119" s="1"/>
      <c r="N119" s="1"/>
      <c r="O119" s="1"/>
      <c r="P119" s="1"/>
      <c r="Q119" s="1"/>
      <c r="R119" s="1"/>
      <c r="S119" s="1" t="s">
        <v>109</v>
      </c>
      <c r="T119" s="1">
        <v>0.34599999999999997</v>
      </c>
      <c r="U119" s="1" t="s">
        <v>109</v>
      </c>
      <c r="V119" s="1">
        <v>3</v>
      </c>
      <c r="W119" s="1">
        <v>13</v>
      </c>
      <c r="X119" s="1" t="s">
        <v>110</v>
      </c>
      <c r="Y119" s="1"/>
      <c r="Z119" s="1">
        <v>0.98</v>
      </c>
      <c r="AA119" s="1" t="s">
        <v>111</v>
      </c>
      <c r="AB119" s="1" t="s">
        <v>111</v>
      </c>
      <c r="AC119" s="1" t="s">
        <v>111</v>
      </c>
      <c r="AD119" s="1" t="s">
        <v>111</v>
      </c>
      <c r="AE119" s="1" t="s">
        <v>111</v>
      </c>
      <c r="AF119" s="1" t="s">
        <v>111</v>
      </c>
      <c r="AG119" s="1" t="s">
        <v>111</v>
      </c>
      <c r="AH119" s="1" t="s">
        <v>111</v>
      </c>
      <c r="AI119" s="1">
        <v>82.316000000000003</v>
      </c>
      <c r="AJ119" s="1" t="s">
        <v>111</v>
      </c>
      <c r="AK119" s="1"/>
      <c r="AL119" s="1" t="s">
        <v>111</v>
      </c>
      <c r="AM119" s="1"/>
      <c r="AN119" s="1" t="s">
        <v>111</v>
      </c>
      <c r="AO119" s="1"/>
      <c r="AP119" s="1" t="s">
        <v>111</v>
      </c>
    </row>
    <row r="120" spans="1:42" x14ac:dyDescent="0.25">
      <c r="A120" s="1">
        <v>92</v>
      </c>
      <c r="B120" s="1" t="s">
        <v>189</v>
      </c>
      <c r="C120" s="1" t="s">
        <v>103</v>
      </c>
      <c r="D120" s="1" t="s">
        <v>126</v>
      </c>
      <c r="E120" s="1" t="s">
        <v>129</v>
      </c>
      <c r="F120" s="1" t="s">
        <v>106</v>
      </c>
      <c r="G120" s="1" t="s">
        <v>107</v>
      </c>
      <c r="H120" s="1" t="s">
        <v>108</v>
      </c>
      <c r="I120" s="1">
        <v>18.491</v>
      </c>
      <c r="J120" s="1">
        <v>18.501000000000001</v>
      </c>
      <c r="K120" s="1">
        <v>0.123</v>
      </c>
      <c r="L120" s="1"/>
      <c r="M120" s="1"/>
      <c r="N120" s="1"/>
      <c r="O120" s="1"/>
      <c r="P120" s="1"/>
      <c r="Q120" s="1"/>
      <c r="R120" s="1"/>
      <c r="S120" s="1" t="s">
        <v>109</v>
      </c>
      <c r="T120" s="1">
        <v>0.34599999999999997</v>
      </c>
      <c r="U120" s="1" t="s">
        <v>109</v>
      </c>
      <c r="V120" s="1">
        <v>3</v>
      </c>
      <c r="W120" s="1">
        <v>12</v>
      </c>
      <c r="X120" s="1" t="s">
        <v>110</v>
      </c>
      <c r="Y120" s="1"/>
      <c r="Z120" s="1">
        <v>0.98299999999999998</v>
      </c>
      <c r="AA120" s="1" t="s">
        <v>111</v>
      </c>
      <c r="AB120" s="1" t="s">
        <v>111</v>
      </c>
      <c r="AC120" s="1" t="s">
        <v>111</v>
      </c>
      <c r="AD120" s="1" t="s">
        <v>111</v>
      </c>
      <c r="AE120" s="1" t="s">
        <v>111</v>
      </c>
      <c r="AF120" s="1" t="s">
        <v>111</v>
      </c>
      <c r="AG120" s="1" t="s">
        <v>111</v>
      </c>
      <c r="AH120" s="1" t="s">
        <v>111</v>
      </c>
      <c r="AI120" s="1">
        <v>82.316000000000003</v>
      </c>
      <c r="AJ120" s="1" t="s">
        <v>111</v>
      </c>
      <c r="AK120" s="1"/>
      <c r="AL120" s="1" t="s">
        <v>111</v>
      </c>
      <c r="AM120" s="1"/>
      <c r="AN120" s="1" t="s">
        <v>111</v>
      </c>
      <c r="AO120" s="1"/>
      <c r="AP120" s="1" t="s">
        <v>111</v>
      </c>
    </row>
    <row r="121" spans="1:42" x14ac:dyDescent="0.25">
      <c r="A121" s="1">
        <v>97</v>
      </c>
      <c r="B121" s="1" t="s">
        <v>190</v>
      </c>
      <c r="C121" s="1" t="s">
        <v>103</v>
      </c>
      <c r="D121" s="1" t="s">
        <v>104</v>
      </c>
      <c r="E121" s="1" t="s">
        <v>191</v>
      </c>
      <c r="F121" s="1" t="s">
        <v>106</v>
      </c>
      <c r="G121" s="1" t="s">
        <v>107</v>
      </c>
      <c r="H121" s="1" t="s">
        <v>108</v>
      </c>
      <c r="I121" s="1">
        <v>22.907</v>
      </c>
      <c r="J121" s="1">
        <v>22.951000000000001</v>
      </c>
      <c r="K121" s="1">
        <v>3.6999999999999998E-2</v>
      </c>
      <c r="L121" s="1"/>
      <c r="M121" s="1"/>
      <c r="N121" s="1"/>
      <c r="O121" s="1"/>
      <c r="P121" s="1"/>
      <c r="Q121" s="1"/>
      <c r="R121" s="1"/>
      <c r="S121" s="1" t="s">
        <v>109</v>
      </c>
      <c r="T121" s="1">
        <v>0.56000000000000005</v>
      </c>
      <c r="U121" s="1" t="s">
        <v>109</v>
      </c>
      <c r="V121" s="1">
        <v>3</v>
      </c>
      <c r="W121" s="1">
        <v>17</v>
      </c>
      <c r="X121" s="1" t="s">
        <v>110</v>
      </c>
      <c r="Y121" s="1"/>
      <c r="Z121" s="1">
        <v>0.98699999999999999</v>
      </c>
      <c r="AA121" s="1" t="s">
        <v>111</v>
      </c>
      <c r="AB121" s="1" t="s">
        <v>111</v>
      </c>
      <c r="AC121" s="1" t="s">
        <v>111</v>
      </c>
      <c r="AD121" s="1" t="s">
        <v>111</v>
      </c>
      <c r="AE121" s="1" t="s">
        <v>111</v>
      </c>
      <c r="AF121" s="1" t="s">
        <v>111</v>
      </c>
      <c r="AG121" s="1" t="s">
        <v>111</v>
      </c>
      <c r="AH121" s="1" t="s">
        <v>111</v>
      </c>
      <c r="AI121" s="1">
        <v>89.456999999999994</v>
      </c>
      <c r="AJ121" s="1" t="s">
        <v>111</v>
      </c>
      <c r="AK121" s="1"/>
      <c r="AL121" s="1" t="s">
        <v>111</v>
      </c>
      <c r="AM121" s="1"/>
      <c r="AN121" s="1" t="s">
        <v>111</v>
      </c>
      <c r="AO121" s="1"/>
      <c r="AP121" s="1" t="s">
        <v>111</v>
      </c>
    </row>
    <row r="122" spans="1:42" x14ac:dyDescent="0.25">
      <c r="A122" s="1">
        <v>98</v>
      </c>
      <c r="B122" s="1" t="s">
        <v>192</v>
      </c>
      <c r="C122" s="1" t="s">
        <v>103</v>
      </c>
      <c r="D122" s="1" t="s">
        <v>104</v>
      </c>
      <c r="E122" s="1" t="s">
        <v>191</v>
      </c>
      <c r="F122" s="1" t="s">
        <v>106</v>
      </c>
      <c r="G122" s="1" t="s">
        <v>107</v>
      </c>
      <c r="H122" s="1" t="s">
        <v>108</v>
      </c>
      <c r="I122" s="1">
        <v>22.992999999999999</v>
      </c>
      <c r="J122" s="1">
        <v>22.951000000000001</v>
      </c>
      <c r="K122" s="1">
        <v>3.6999999999999998E-2</v>
      </c>
      <c r="L122" s="1"/>
      <c r="M122" s="1"/>
      <c r="N122" s="1"/>
      <c r="O122" s="1"/>
      <c r="P122" s="1"/>
      <c r="Q122" s="1"/>
      <c r="R122" s="1"/>
      <c r="S122" s="1" t="s">
        <v>109</v>
      </c>
      <c r="T122" s="1">
        <v>0.56000000000000005</v>
      </c>
      <c r="U122" s="1" t="s">
        <v>109</v>
      </c>
      <c r="V122" s="1">
        <v>3</v>
      </c>
      <c r="W122" s="1">
        <v>16</v>
      </c>
      <c r="X122" s="1" t="s">
        <v>110</v>
      </c>
      <c r="Y122" s="1"/>
      <c r="Z122" s="1">
        <v>0.98699999999999999</v>
      </c>
      <c r="AA122" s="1" t="s">
        <v>111</v>
      </c>
      <c r="AB122" s="1" t="s">
        <v>111</v>
      </c>
      <c r="AC122" s="1" t="s">
        <v>111</v>
      </c>
      <c r="AD122" s="1" t="s">
        <v>111</v>
      </c>
      <c r="AE122" s="1" t="s">
        <v>111</v>
      </c>
      <c r="AF122" s="1" t="s">
        <v>111</v>
      </c>
      <c r="AG122" s="1" t="s">
        <v>111</v>
      </c>
      <c r="AH122" s="1" t="s">
        <v>111</v>
      </c>
      <c r="AI122" s="1">
        <v>89.456999999999994</v>
      </c>
      <c r="AJ122" s="1" t="s">
        <v>111</v>
      </c>
      <c r="AK122" s="1"/>
      <c r="AL122" s="1" t="s">
        <v>111</v>
      </c>
      <c r="AM122" s="1"/>
      <c r="AN122" s="1" t="s">
        <v>111</v>
      </c>
      <c r="AO122" s="1"/>
      <c r="AP122" s="1" t="s">
        <v>111</v>
      </c>
    </row>
    <row r="123" spans="1:42" x14ac:dyDescent="0.25">
      <c r="A123" s="1">
        <v>99</v>
      </c>
      <c r="B123" s="1" t="s">
        <v>193</v>
      </c>
      <c r="C123" s="1" t="s">
        <v>103</v>
      </c>
      <c r="D123" s="1" t="s">
        <v>114</v>
      </c>
      <c r="E123" s="1" t="s">
        <v>191</v>
      </c>
      <c r="F123" s="1" t="s">
        <v>106</v>
      </c>
      <c r="G123" s="1" t="s">
        <v>107</v>
      </c>
      <c r="H123" s="1" t="s">
        <v>108</v>
      </c>
      <c r="I123" s="1">
        <v>22.687000000000001</v>
      </c>
      <c r="J123" s="1">
        <v>22.77</v>
      </c>
      <c r="K123" s="1">
        <v>8.1000000000000003E-2</v>
      </c>
      <c r="L123" s="1"/>
      <c r="M123" s="1"/>
      <c r="N123" s="1"/>
      <c r="O123" s="1"/>
      <c r="P123" s="1"/>
      <c r="Q123" s="1"/>
      <c r="R123" s="1"/>
      <c r="S123" s="1" t="s">
        <v>109</v>
      </c>
      <c r="T123" s="1">
        <v>0.56000000000000005</v>
      </c>
      <c r="U123" s="1" t="s">
        <v>109</v>
      </c>
      <c r="V123" s="1">
        <v>3</v>
      </c>
      <c r="W123" s="1">
        <v>16</v>
      </c>
      <c r="X123" s="1" t="s">
        <v>110</v>
      </c>
      <c r="Y123" s="1"/>
      <c r="Z123" s="1">
        <v>0.98399999999999999</v>
      </c>
      <c r="AA123" s="1" t="s">
        <v>111</v>
      </c>
      <c r="AB123" s="1" t="s">
        <v>111</v>
      </c>
      <c r="AC123" s="1" t="s">
        <v>111</v>
      </c>
      <c r="AD123" s="1" t="s">
        <v>111</v>
      </c>
      <c r="AE123" s="1" t="s">
        <v>111</v>
      </c>
      <c r="AF123" s="1" t="s">
        <v>111</v>
      </c>
      <c r="AG123" s="1" t="s">
        <v>111</v>
      </c>
      <c r="AH123" s="1" t="s">
        <v>111</v>
      </c>
      <c r="AI123" s="1">
        <v>89.456999999999994</v>
      </c>
      <c r="AJ123" s="1" t="s">
        <v>111</v>
      </c>
      <c r="AK123" s="1"/>
      <c r="AL123" s="1" t="s">
        <v>111</v>
      </c>
      <c r="AM123" s="1"/>
      <c r="AN123" s="1" t="s">
        <v>111</v>
      </c>
      <c r="AO123" s="1"/>
      <c r="AP123" s="1" t="s">
        <v>111</v>
      </c>
    </row>
    <row r="124" spans="1:42" x14ac:dyDescent="0.25">
      <c r="A124" s="1">
        <v>100</v>
      </c>
      <c r="B124" s="1" t="s">
        <v>194</v>
      </c>
      <c r="C124" s="1" t="s">
        <v>103</v>
      </c>
      <c r="D124" s="1" t="s">
        <v>114</v>
      </c>
      <c r="E124" s="1" t="s">
        <v>191</v>
      </c>
      <c r="F124" s="1" t="s">
        <v>106</v>
      </c>
      <c r="G124" s="1" t="s">
        <v>107</v>
      </c>
      <c r="H124" s="1" t="s">
        <v>108</v>
      </c>
      <c r="I124" s="1">
        <v>22.824000000000002</v>
      </c>
      <c r="J124" s="1">
        <v>22.77</v>
      </c>
      <c r="K124" s="1">
        <v>8.1000000000000003E-2</v>
      </c>
      <c r="L124" s="1"/>
      <c r="M124" s="1"/>
      <c r="N124" s="1"/>
      <c r="O124" s="1"/>
      <c r="P124" s="1"/>
      <c r="Q124" s="1"/>
      <c r="R124" s="1"/>
      <c r="S124" s="1" t="s">
        <v>109</v>
      </c>
      <c r="T124" s="1">
        <v>0.56000000000000005</v>
      </c>
      <c r="U124" s="1" t="s">
        <v>109</v>
      </c>
      <c r="V124" s="1">
        <v>3</v>
      </c>
      <c r="W124" s="1">
        <v>16</v>
      </c>
      <c r="X124" s="1" t="s">
        <v>110</v>
      </c>
      <c r="Y124" s="1"/>
      <c r="Z124" s="1">
        <v>0.98799999999999999</v>
      </c>
      <c r="AA124" s="1" t="s">
        <v>111</v>
      </c>
      <c r="AB124" s="1" t="s">
        <v>111</v>
      </c>
      <c r="AC124" s="1" t="s">
        <v>111</v>
      </c>
      <c r="AD124" s="1" t="s">
        <v>111</v>
      </c>
      <c r="AE124" s="1" t="s">
        <v>111</v>
      </c>
      <c r="AF124" s="1" t="s">
        <v>111</v>
      </c>
      <c r="AG124" s="1" t="s">
        <v>111</v>
      </c>
      <c r="AH124" s="1" t="s">
        <v>111</v>
      </c>
      <c r="AI124" s="1">
        <v>89.57</v>
      </c>
      <c r="AJ124" s="1" t="s">
        <v>111</v>
      </c>
      <c r="AK124" s="1"/>
      <c r="AL124" s="1" t="s">
        <v>111</v>
      </c>
      <c r="AM124" s="1"/>
      <c r="AN124" s="1" t="s">
        <v>111</v>
      </c>
      <c r="AO124" s="1"/>
      <c r="AP124" s="1" t="s">
        <v>111</v>
      </c>
    </row>
    <row r="125" spans="1:42" x14ac:dyDescent="0.25">
      <c r="A125" s="1">
        <v>101</v>
      </c>
      <c r="B125" s="1" t="s">
        <v>195</v>
      </c>
      <c r="C125" s="1" t="s">
        <v>103</v>
      </c>
      <c r="D125" s="1" t="s">
        <v>117</v>
      </c>
      <c r="E125" s="1" t="s">
        <v>191</v>
      </c>
      <c r="F125" s="1" t="s">
        <v>106</v>
      </c>
      <c r="G125" s="1" t="s">
        <v>107</v>
      </c>
      <c r="H125" s="1" t="s">
        <v>108</v>
      </c>
      <c r="I125" s="1">
        <v>20.744</v>
      </c>
      <c r="J125" s="1">
        <v>20.756</v>
      </c>
      <c r="K125" s="1">
        <v>4.8000000000000001E-2</v>
      </c>
      <c r="L125" s="1"/>
      <c r="M125" s="1"/>
      <c r="N125" s="1"/>
      <c r="O125" s="1"/>
      <c r="P125" s="1"/>
      <c r="Q125" s="1"/>
      <c r="R125" s="1"/>
      <c r="S125" s="1" t="s">
        <v>109</v>
      </c>
      <c r="T125" s="1">
        <v>0.56000000000000005</v>
      </c>
      <c r="U125" s="1" t="s">
        <v>109</v>
      </c>
      <c r="V125" s="1">
        <v>3</v>
      </c>
      <c r="W125" s="1">
        <v>14</v>
      </c>
      <c r="X125" s="1" t="s">
        <v>110</v>
      </c>
      <c r="Y125" s="1"/>
      <c r="Z125" s="1">
        <v>0.98399999999999999</v>
      </c>
      <c r="AA125" s="1" t="s">
        <v>111</v>
      </c>
      <c r="AB125" s="1" t="s">
        <v>111</v>
      </c>
      <c r="AC125" s="1" t="s">
        <v>111</v>
      </c>
      <c r="AD125" s="1" t="s">
        <v>111</v>
      </c>
      <c r="AE125" s="1" t="s">
        <v>111</v>
      </c>
      <c r="AF125" s="1" t="s">
        <v>111</v>
      </c>
      <c r="AG125" s="1" t="s">
        <v>111</v>
      </c>
      <c r="AH125" s="1" t="s">
        <v>111</v>
      </c>
      <c r="AI125" s="1">
        <v>89.47</v>
      </c>
      <c r="AJ125" s="1" t="s">
        <v>111</v>
      </c>
      <c r="AK125" s="1"/>
      <c r="AL125" s="1" t="s">
        <v>111</v>
      </c>
      <c r="AM125" s="1"/>
      <c r="AN125" s="1" t="s">
        <v>111</v>
      </c>
      <c r="AO125" s="1"/>
      <c r="AP125" s="1" t="s">
        <v>111</v>
      </c>
    </row>
    <row r="126" spans="1:42" x14ac:dyDescent="0.25">
      <c r="A126" s="1">
        <v>102</v>
      </c>
      <c r="B126" s="1" t="s">
        <v>196</v>
      </c>
      <c r="C126" s="1" t="s">
        <v>103</v>
      </c>
      <c r="D126" s="1" t="s">
        <v>117</v>
      </c>
      <c r="E126" s="1" t="s">
        <v>191</v>
      </c>
      <c r="F126" s="1" t="s">
        <v>106</v>
      </c>
      <c r="G126" s="1" t="s">
        <v>107</v>
      </c>
      <c r="H126" s="1" t="s">
        <v>108</v>
      </c>
      <c r="I126" s="1">
        <v>20.762</v>
      </c>
      <c r="J126" s="1">
        <v>20.756</v>
      </c>
      <c r="K126" s="1">
        <v>4.8000000000000001E-2</v>
      </c>
      <c r="L126" s="1"/>
      <c r="M126" s="1"/>
      <c r="N126" s="1"/>
      <c r="O126" s="1"/>
      <c r="P126" s="1"/>
      <c r="Q126" s="1"/>
      <c r="R126" s="1"/>
      <c r="S126" s="1" t="s">
        <v>109</v>
      </c>
      <c r="T126" s="1">
        <v>0.56000000000000005</v>
      </c>
      <c r="U126" s="1" t="s">
        <v>109</v>
      </c>
      <c r="V126" s="1">
        <v>3</v>
      </c>
      <c r="W126" s="1">
        <v>14</v>
      </c>
      <c r="X126" s="1" t="s">
        <v>110</v>
      </c>
      <c r="Y126" s="1"/>
      <c r="Z126" s="1">
        <v>0.98199999999999998</v>
      </c>
      <c r="AA126" s="1" t="s">
        <v>111</v>
      </c>
      <c r="AB126" s="1" t="s">
        <v>111</v>
      </c>
      <c r="AC126" s="1" t="s">
        <v>111</v>
      </c>
      <c r="AD126" s="1" t="s">
        <v>111</v>
      </c>
      <c r="AE126" s="1" t="s">
        <v>111</v>
      </c>
      <c r="AF126" s="1" t="s">
        <v>111</v>
      </c>
      <c r="AG126" s="1" t="s">
        <v>111</v>
      </c>
      <c r="AH126" s="1" t="s">
        <v>111</v>
      </c>
      <c r="AI126" s="1">
        <v>89.47</v>
      </c>
      <c r="AJ126" s="1" t="s">
        <v>111</v>
      </c>
      <c r="AK126" s="1"/>
      <c r="AL126" s="1" t="s">
        <v>111</v>
      </c>
      <c r="AM126" s="1"/>
      <c r="AN126" s="1" t="s">
        <v>111</v>
      </c>
      <c r="AO126" s="1"/>
      <c r="AP126" s="1" t="s">
        <v>111</v>
      </c>
    </row>
    <row r="127" spans="1:42" x14ac:dyDescent="0.25">
      <c r="A127" s="1">
        <v>103</v>
      </c>
      <c r="B127" s="1" t="s">
        <v>197</v>
      </c>
      <c r="C127" s="1" t="s">
        <v>103</v>
      </c>
      <c r="D127" s="1" t="s">
        <v>120</v>
      </c>
      <c r="E127" s="1" t="s">
        <v>191</v>
      </c>
      <c r="F127" s="1" t="s">
        <v>106</v>
      </c>
      <c r="G127" s="1" t="s">
        <v>107</v>
      </c>
      <c r="H127" s="1" t="s">
        <v>108</v>
      </c>
      <c r="I127" s="1">
        <v>20.864000000000001</v>
      </c>
      <c r="J127" s="1">
        <v>20.917999999999999</v>
      </c>
      <c r="K127" s="1">
        <v>0.104</v>
      </c>
      <c r="L127" s="1"/>
      <c r="M127" s="1"/>
      <c r="N127" s="1"/>
      <c r="O127" s="1"/>
      <c r="P127" s="1"/>
      <c r="Q127" s="1"/>
      <c r="R127" s="1"/>
      <c r="S127" s="1" t="s">
        <v>109</v>
      </c>
      <c r="T127" s="1">
        <v>0.56000000000000005</v>
      </c>
      <c r="U127" s="1" t="s">
        <v>109</v>
      </c>
      <c r="V127" s="1">
        <v>3</v>
      </c>
      <c r="W127" s="1">
        <v>14</v>
      </c>
      <c r="X127" s="1" t="s">
        <v>110</v>
      </c>
      <c r="Y127" s="1"/>
      <c r="Z127" s="1">
        <v>0.98299999999999998</v>
      </c>
      <c r="AA127" s="1" t="s">
        <v>111</v>
      </c>
      <c r="AB127" s="1" t="s">
        <v>111</v>
      </c>
      <c r="AC127" s="1" t="s">
        <v>111</v>
      </c>
      <c r="AD127" s="1" t="s">
        <v>111</v>
      </c>
      <c r="AE127" s="1" t="s">
        <v>111</v>
      </c>
      <c r="AF127" s="1" t="s">
        <v>111</v>
      </c>
      <c r="AG127" s="1" t="s">
        <v>111</v>
      </c>
      <c r="AH127" s="1" t="s">
        <v>111</v>
      </c>
      <c r="AI127" s="1">
        <v>89.47</v>
      </c>
      <c r="AJ127" s="1" t="s">
        <v>111</v>
      </c>
      <c r="AK127" s="1"/>
      <c r="AL127" s="1" t="s">
        <v>111</v>
      </c>
      <c r="AM127" s="1"/>
      <c r="AN127" s="1" t="s">
        <v>111</v>
      </c>
      <c r="AO127" s="1"/>
      <c r="AP127" s="1" t="s">
        <v>111</v>
      </c>
    </row>
    <row r="128" spans="1:42" x14ac:dyDescent="0.25">
      <c r="A128" s="1">
        <v>104</v>
      </c>
      <c r="B128" s="1" t="s">
        <v>198</v>
      </c>
      <c r="C128" s="1" t="s">
        <v>103</v>
      </c>
      <c r="D128" s="1" t="s">
        <v>120</v>
      </c>
      <c r="E128" s="1" t="s">
        <v>191</v>
      </c>
      <c r="F128" s="1" t="s">
        <v>106</v>
      </c>
      <c r="G128" s="1" t="s">
        <v>107</v>
      </c>
      <c r="H128" s="1" t="s">
        <v>108</v>
      </c>
      <c r="I128" s="1">
        <v>20.97</v>
      </c>
      <c r="J128" s="1">
        <v>20.917999999999999</v>
      </c>
      <c r="K128" s="1">
        <v>0.104</v>
      </c>
      <c r="L128" s="1"/>
      <c r="M128" s="1"/>
      <c r="N128" s="1"/>
      <c r="O128" s="1"/>
      <c r="P128" s="1"/>
      <c r="Q128" s="1"/>
      <c r="R128" s="1"/>
      <c r="S128" s="1" t="s">
        <v>109</v>
      </c>
      <c r="T128" s="1">
        <v>0.56000000000000005</v>
      </c>
      <c r="U128" s="1" t="s">
        <v>109</v>
      </c>
      <c r="V128" s="1">
        <v>3</v>
      </c>
      <c r="W128" s="1">
        <v>14</v>
      </c>
      <c r="X128" s="1" t="s">
        <v>110</v>
      </c>
      <c r="Y128" s="1"/>
      <c r="Z128" s="1">
        <v>0.98699999999999999</v>
      </c>
      <c r="AA128" s="1" t="s">
        <v>111</v>
      </c>
      <c r="AB128" s="1" t="s">
        <v>111</v>
      </c>
      <c r="AC128" s="1" t="s">
        <v>111</v>
      </c>
      <c r="AD128" s="1" t="s">
        <v>111</v>
      </c>
      <c r="AE128" s="1" t="s">
        <v>111</v>
      </c>
      <c r="AF128" s="1" t="s">
        <v>111</v>
      </c>
      <c r="AG128" s="1" t="s">
        <v>111</v>
      </c>
      <c r="AH128" s="1" t="s">
        <v>111</v>
      </c>
      <c r="AI128" s="1">
        <v>89.47</v>
      </c>
      <c r="AJ128" s="1" t="s">
        <v>111</v>
      </c>
      <c r="AK128" s="1"/>
      <c r="AL128" s="1" t="s">
        <v>111</v>
      </c>
      <c r="AM128" s="1"/>
      <c r="AN128" s="1" t="s">
        <v>111</v>
      </c>
      <c r="AO128" s="1"/>
      <c r="AP128" s="1" t="s">
        <v>111</v>
      </c>
    </row>
    <row r="129" spans="1:42" x14ac:dyDescent="0.25">
      <c r="A129" s="1">
        <v>105</v>
      </c>
      <c r="B129" s="1" t="s">
        <v>199</v>
      </c>
      <c r="C129" s="1" t="s">
        <v>103</v>
      </c>
      <c r="D129" s="1" t="s">
        <v>123</v>
      </c>
      <c r="E129" s="1" t="s">
        <v>191</v>
      </c>
      <c r="F129" s="1" t="s">
        <v>106</v>
      </c>
      <c r="G129" s="1" t="s">
        <v>107</v>
      </c>
      <c r="H129" s="1" t="s">
        <v>108</v>
      </c>
      <c r="I129" s="1">
        <v>22.98</v>
      </c>
      <c r="J129" s="1">
        <v>22.939</v>
      </c>
      <c r="K129" s="1">
        <v>5.6000000000000001E-2</v>
      </c>
      <c r="L129" s="1"/>
      <c r="M129" s="1"/>
      <c r="N129" s="1"/>
      <c r="O129" s="1"/>
      <c r="P129" s="1"/>
      <c r="Q129" s="1"/>
      <c r="R129" s="1"/>
      <c r="S129" s="1" t="s">
        <v>109</v>
      </c>
      <c r="T129" s="1">
        <v>0.56000000000000005</v>
      </c>
      <c r="U129" s="1" t="s">
        <v>109</v>
      </c>
      <c r="V129" s="1">
        <v>3</v>
      </c>
      <c r="W129" s="1">
        <v>16</v>
      </c>
      <c r="X129" s="1" t="s">
        <v>110</v>
      </c>
      <c r="Y129" s="1"/>
      <c r="Z129" s="1">
        <v>0.98799999999999999</v>
      </c>
      <c r="AA129" s="1" t="s">
        <v>111</v>
      </c>
      <c r="AB129" s="1" t="s">
        <v>111</v>
      </c>
      <c r="AC129" s="1" t="s">
        <v>111</v>
      </c>
      <c r="AD129" s="1" t="s">
        <v>111</v>
      </c>
      <c r="AE129" s="1" t="s">
        <v>111</v>
      </c>
      <c r="AF129" s="1" t="s">
        <v>111</v>
      </c>
      <c r="AG129" s="1" t="s">
        <v>111</v>
      </c>
      <c r="AH129" s="1" t="s">
        <v>111</v>
      </c>
      <c r="AI129" s="1">
        <v>89.590999999999994</v>
      </c>
      <c r="AJ129" s="1" t="s">
        <v>111</v>
      </c>
      <c r="AK129" s="1"/>
      <c r="AL129" s="1" t="s">
        <v>111</v>
      </c>
      <c r="AM129" s="1"/>
      <c r="AN129" s="1" t="s">
        <v>111</v>
      </c>
      <c r="AO129" s="1"/>
      <c r="AP129" s="1" t="s">
        <v>111</v>
      </c>
    </row>
    <row r="130" spans="1:42" x14ac:dyDescent="0.25">
      <c r="A130" s="1">
        <v>106</v>
      </c>
      <c r="B130" s="1" t="s">
        <v>200</v>
      </c>
      <c r="C130" s="1" t="s">
        <v>103</v>
      </c>
      <c r="D130" s="1" t="s">
        <v>123</v>
      </c>
      <c r="E130" s="1" t="s">
        <v>191</v>
      </c>
      <c r="F130" s="1" t="s">
        <v>106</v>
      </c>
      <c r="G130" s="1" t="s">
        <v>107</v>
      </c>
      <c r="H130" s="1" t="s">
        <v>108</v>
      </c>
      <c r="I130" s="1">
        <v>22.907</v>
      </c>
      <c r="J130" s="1">
        <v>22.939</v>
      </c>
      <c r="K130" s="1">
        <v>5.6000000000000001E-2</v>
      </c>
      <c r="L130" s="1"/>
      <c r="M130" s="1"/>
      <c r="N130" s="1"/>
      <c r="O130" s="1"/>
      <c r="P130" s="1"/>
      <c r="Q130" s="1"/>
      <c r="R130" s="1"/>
      <c r="S130" s="1" t="s">
        <v>109</v>
      </c>
      <c r="T130" s="1">
        <v>0.56000000000000005</v>
      </c>
      <c r="U130" s="1" t="s">
        <v>109</v>
      </c>
      <c r="V130" s="1">
        <v>3</v>
      </c>
      <c r="W130" s="1">
        <v>15</v>
      </c>
      <c r="X130" s="1" t="s">
        <v>110</v>
      </c>
      <c r="Y130" s="1"/>
      <c r="Z130" s="1">
        <v>0.98699999999999999</v>
      </c>
      <c r="AA130" s="1" t="s">
        <v>111</v>
      </c>
      <c r="AB130" s="1" t="s">
        <v>111</v>
      </c>
      <c r="AC130" s="1" t="s">
        <v>111</v>
      </c>
      <c r="AD130" s="1" t="s">
        <v>111</v>
      </c>
      <c r="AE130" s="1" t="s">
        <v>111</v>
      </c>
      <c r="AF130" s="1" t="s">
        <v>111</v>
      </c>
      <c r="AG130" s="1" t="s">
        <v>111</v>
      </c>
      <c r="AH130" s="1" t="s">
        <v>111</v>
      </c>
      <c r="AI130" s="1">
        <v>89.590999999999994</v>
      </c>
      <c r="AJ130" s="1" t="s">
        <v>111</v>
      </c>
      <c r="AK130" s="1"/>
      <c r="AL130" s="1" t="s">
        <v>111</v>
      </c>
      <c r="AM130" s="1"/>
      <c r="AN130" s="1" t="s">
        <v>111</v>
      </c>
      <c r="AO130" s="1"/>
      <c r="AP130" s="1" t="s">
        <v>111</v>
      </c>
    </row>
    <row r="131" spans="1:42" x14ac:dyDescent="0.25">
      <c r="A131" s="1">
        <v>107</v>
      </c>
      <c r="B131" s="1" t="s">
        <v>201</v>
      </c>
      <c r="C131" s="1" t="s">
        <v>103</v>
      </c>
      <c r="D131" s="1" t="s">
        <v>126</v>
      </c>
      <c r="E131" s="1" t="s">
        <v>191</v>
      </c>
      <c r="F131" s="1" t="s">
        <v>106</v>
      </c>
      <c r="G131" s="1" t="s">
        <v>107</v>
      </c>
      <c r="H131" s="1" t="s">
        <v>108</v>
      </c>
      <c r="I131" s="1">
        <v>22.808</v>
      </c>
      <c r="J131" s="1">
        <v>22.756</v>
      </c>
      <c r="K131" s="1">
        <v>7.0000000000000007E-2</v>
      </c>
      <c r="L131" s="1"/>
      <c r="M131" s="1"/>
      <c r="N131" s="1"/>
      <c r="O131" s="1"/>
      <c r="P131" s="1"/>
      <c r="Q131" s="1"/>
      <c r="R131" s="1"/>
      <c r="S131" s="1" t="s">
        <v>109</v>
      </c>
      <c r="T131" s="1">
        <v>0.56000000000000005</v>
      </c>
      <c r="U131" s="1" t="s">
        <v>109</v>
      </c>
      <c r="V131" s="1">
        <v>3</v>
      </c>
      <c r="W131" s="1">
        <v>16</v>
      </c>
      <c r="X131" s="1" t="s">
        <v>110</v>
      </c>
      <c r="Y131" s="1"/>
      <c r="Z131" s="1">
        <v>0.98899999999999999</v>
      </c>
      <c r="AA131" s="1" t="s">
        <v>111</v>
      </c>
      <c r="AB131" s="1" t="s">
        <v>111</v>
      </c>
      <c r="AC131" s="1" t="s">
        <v>111</v>
      </c>
      <c r="AD131" s="1" t="s">
        <v>111</v>
      </c>
      <c r="AE131" s="1" t="s">
        <v>111</v>
      </c>
      <c r="AF131" s="1" t="s">
        <v>111</v>
      </c>
      <c r="AG131" s="1" t="s">
        <v>111</v>
      </c>
      <c r="AH131" s="1" t="s">
        <v>111</v>
      </c>
      <c r="AI131" s="1">
        <v>89.590999999999994</v>
      </c>
      <c r="AJ131" s="1" t="s">
        <v>111</v>
      </c>
      <c r="AK131" s="1"/>
      <c r="AL131" s="1" t="s">
        <v>111</v>
      </c>
      <c r="AM131" s="1"/>
      <c r="AN131" s="1" t="s">
        <v>111</v>
      </c>
      <c r="AO131" s="1"/>
      <c r="AP131" s="1" t="s">
        <v>111</v>
      </c>
    </row>
    <row r="132" spans="1:42" x14ac:dyDescent="0.25">
      <c r="A132" s="1">
        <v>108</v>
      </c>
      <c r="B132" s="1" t="s">
        <v>202</v>
      </c>
      <c r="C132" s="1" t="s">
        <v>103</v>
      </c>
      <c r="D132" s="1" t="s">
        <v>126</v>
      </c>
      <c r="E132" s="1" t="s">
        <v>191</v>
      </c>
      <c r="F132" s="1" t="s">
        <v>106</v>
      </c>
      <c r="G132" s="1" t="s">
        <v>107</v>
      </c>
      <c r="H132" s="1" t="s">
        <v>108</v>
      </c>
      <c r="I132" s="1">
        <v>22.815000000000001</v>
      </c>
      <c r="J132" s="1">
        <v>22.756</v>
      </c>
      <c r="K132" s="1">
        <v>7.0000000000000007E-2</v>
      </c>
      <c r="L132" s="1"/>
      <c r="M132" s="1"/>
      <c r="N132" s="1"/>
      <c r="O132" s="1"/>
      <c r="P132" s="1"/>
      <c r="Q132" s="1"/>
      <c r="R132" s="1"/>
      <c r="S132" s="1" t="s">
        <v>109</v>
      </c>
      <c r="T132" s="1">
        <v>0.56000000000000005</v>
      </c>
      <c r="U132" s="1" t="s">
        <v>109</v>
      </c>
      <c r="V132" s="1">
        <v>3</v>
      </c>
      <c r="W132" s="1">
        <v>16</v>
      </c>
      <c r="X132" s="1" t="s">
        <v>110</v>
      </c>
      <c r="Y132" s="1"/>
      <c r="Z132" s="1">
        <v>0.98299999999999998</v>
      </c>
      <c r="AA132" s="1" t="s">
        <v>111</v>
      </c>
      <c r="AB132" s="1" t="s">
        <v>111</v>
      </c>
      <c r="AC132" s="1" t="s">
        <v>111</v>
      </c>
      <c r="AD132" s="1" t="s">
        <v>111</v>
      </c>
      <c r="AE132" s="1" t="s">
        <v>111</v>
      </c>
      <c r="AF132" s="1" t="s">
        <v>111</v>
      </c>
      <c r="AG132" s="1" t="s">
        <v>111</v>
      </c>
      <c r="AH132" s="1" t="s">
        <v>111</v>
      </c>
      <c r="AI132" s="1">
        <v>89.590999999999994</v>
      </c>
      <c r="AJ132" s="1" t="s">
        <v>111</v>
      </c>
      <c r="AK132" s="1"/>
      <c r="AL132" s="1" t="s">
        <v>111</v>
      </c>
      <c r="AM132" s="1"/>
      <c r="AN132" s="1" t="s">
        <v>111</v>
      </c>
      <c r="AO132" s="1"/>
      <c r="AP132" s="1" t="s">
        <v>111</v>
      </c>
    </row>
    <row r="133" spans="1:42" x14ac:dyDescent="0.25">
      <c r="A133" s="1">
        <v>113</v>
      </c>
      <c r="B133" s="1" t="s">
        <v>203</v>
      </c>
      <c r="C133" s="1" t="s">
        <v>103</v>
      </c>
      <c r="D133" s="1" t="s">
        <v>104</v>
      </c>
      <c r="E133" s="1" t="s">
        <v>204</v>
      </c>
      <c r="F133" s="1" t="s">
        <v>106</v>
      </c>
      <c r="G133" s="1" t="s">
        <v>107</v>
      </c>
      <c r="H133" s="1" t="s">
        <v>108</v>
      </c>
      <c r="I133" s="1">
        <v>30.41</v>
      </c>
      <c r="J133" s="1">
        <v>31.010999999999999</v>
      </c>
      <c r="K133" s="1">
        <v>0.54300000000000004</v>
      </c>
      <c r="L133" s="1"/>
      <c r="M133" s="1"/>
      <c r="N133" s="1"/>
      <c r="O133" s="1"/>
      <c r="P133" s="1"/>
      <c r="Q133" s="1"/>
      <c r="R133" s="1"/>
      <c r="S133" s="1" t="s">
        <v>109</v>
      </c>
      <c r="T133" s="1">
        <v>0.32100000000000001</v>
      </c>
      <c r="U133" s="1" t="s">
        <v>109</v>
      </c>
      <c r="V133" s="1">
        <v>3</v>
      </c>
      <c r="W133" s="1">
        <v>24</v>
      </c>
      <c r="X133" s="1" t="s">
        <v>110</v>
      </c>
      <c r="Y133" s="1"/>
      <c r="Z133" s="1">
        <v>0.98599999999999999</v>
      </c>
      <c r="AA133" s="1" t="s">
        <v>111</v>
      </c>
      <c r="AB133" s="1" t="s">
        <v>111</v>
      </c>
      <c r="AC133" s="1" t="s">
        <v>111</v>
      </c>
      <c r="AD133" s="1" t="s">
        <v>205</v>
      </c>
      <c r="AE133" s="1" t="s">
        <v>111</v>
      </c>
      <c r="AF133" s="1" t="s">
        <v>111</v>
      </c>
      <c r="AG133" s="1" t="s">
        <v>111</v>
      </c>
      <c r="AH133" s="1" t="s">
        <v>111</v>
      </c>
      <c r="AI133" s="1">
        <v>80.39</v>
      </c>
      <c r="AJ133" s="1" t="s">
        <v>111</v>
      </c>
      <c r="AK133" s="1"/>
      <c r="AL133" s="1" t="s">
        <v>111</v>
      </c>
      <c r="AM133" s="1"/>
      <c r="AN133" s="1" t="s">
        <v>111</v>
      </c>
      <c r="AO133" s="1"/>
      <c r="AP133" s="1" t="s">
        <v>111</v>
      </c>
    </row>
    <row r="134" spans="1:42" x14ac:dyDescent="0.25">
      <c r="A134" s="1">
        <v>114</v>
      </c>
      <c r="B134" s="1" t="s">
        <v>206</v>
      </c>
      <c r="C134" s="1" t="s">
        <v>103</v>
      </c>
      <c r="D134" s="1" t="s">
        <v>104</v>
      </c>
      <c r="E134" s="1" t="s">
        <v>204</v>
      </c>
      <c r="F134" s="1" t="s">
        <v>106</v>
      </c>
      <c r="G134" s="1" t="s">
        <v>107</v>
      </c>
      <c r="H134" s="1" t="s">
        <v>108</v>
      </c>
      <c r="I134" s="1">
        <v>31.62</v>
      </c>
      <c r="J134" s="1">
        <v>31.010999999999999</v>
      </c>
      <c r="K134" s="1">
        <v>0.54300000000000004</v>
      </c>
      <c r="L134" s="1"/>
      <c r="M134" s="1"/>
      <c r="N134" s="1"/>
      <c r="O134" s="1"/>
      <c r="P134" s="1"/>
      <c r="Q134" s="1"/>
      <c r="R134" s="1"/>
      <c r="S134" s="1" t="s">
        <v>109</v>
      </c>
      <c r="T134" s="1">
        <v>0.32100000000000001</v>
      </c>
      <c r="U134" s="1" t="s">
        <v>109</v>
      </c>
      <c r="V134" s="1">
        <v>3</v>
      </c>
      <c r="W134" s="1">
        <v>25</v>
      </c>
      <c r="X134" s="1" t="s">
        <v>110</v>
      </c>
      <c r="Y134" s="1"/>
      <c r="Z134" s="1">
        <v>0.98699999999999999</v>
      </c>
      <c r="AA134" s="1" t="s">
        <v>111</v>
      </c>
      <c r="AB134" s="1" t="s">
        <v>111</v>
      </c>
      <c r="AC134" s="1" t="s">
        <v>111</v>
      </c>
      <c r="AD134" s="1" t="s">
        <v>205</v>
      </c>
      <c r="AE134" s="1" t="s">
        <v>111</v>
      </c>
      <c r="AF134" s="1" t="s">
        <v>111</v>
      </c>
      <c r="AG134" s="1" t="s">
        <v>111</v>
      </c>
      <c r="AH134" s="1" t="s">
        <v>111</v>
      </c>
      <c r="AI134" s="1">
        <v>80.39</v>
      </c>
      <c r="AJ134" s="1" t="s">
        <v>111</v>
      </c>
      <c r="AK134" s="1"/>
      <c r="AL134" s="1" t="s">
        <v>111</v>
      </c>
      <c r="AM134" s="1"/>
      <c r="AN134" s="1" t="s">
        <v>111</v>
      </c>
      <c r="AO134" s="1"/>
      <c r="AP134" s="1" t="s">
        <v>111</v>
      </c>
    </row>
    <row r="135" spans="1:42" x14ac:dyDescent="0.25">
      <c r="A135" s="1">
        <v>115</v>
      </c>
      <c r="B135" s="1" t="s">
        <v>207</v>
      </c>
      <c r="C135" s="1" t="s">
        <v>103</v>
      </c>
      <c r="D135" s="1" t="s">
        <v>114</v>
      </c>
      <c r="E135" s="1" t="s">
        <v>204</v>
      </c>
      <c r="F135" s="1" t="s">
        <v>106</v>
      </c>
      <c r="G135" s="1" t="s">
        <v>107</v>
      </c>
      <c r="H135" s="1" t="s">
        <v>108</v>
      </c>
      <c r="I135" s="1">
        <v>30.327000000000002</v>
      </c>
      <c r="J135" s="1">
        <v>30.547999999999998</v>
      </c>
      <c r="K135" s="1">
        <v>0.27800000000000002</v>
      </c>
      <c r="L135" s="1"/>
      <c r="M135" s="1"/>
      <c r="N135" s="1"/>
      <c r="O135" s="1"/>
      <c r="P135" s="1"/>
      <c r="Q135" s="1"/>
      <c r="R135" s="1"/>
      <c r="S135" s="1" t="s">
        <v>109</v>
      </c>
      <c r="T135" s="1">
        <v>0.32100000000000001</v>
      </c>
      <c r="U135" s="1" t="s">
        <v>109</v>
      </c>
      <c r="V135" s="1">
        <v>3</v>
      </c>
      <c r="W135" s="1">
        <v>24</v>
      </c>
      <c r="X135" s="1" t="s">
        <v>110</v>
      </c>
      <c r="Y135" s="1"/>
      <c r="Z135" s="1">
        <v>0.98699999999999999</v>
      </c>
      <c r="AA135" s="1" t="s">
        <v>111</v>
      </c>
      <c r="AB135" s="1" t="s">
        <v>111</v>
      </c>
      <c r="AC135" s="1" t="s">
        <v>111</v>
      </c>
      <c r="AD135" s="1" t="s">
        <v>111</v>
      </c>
      <c r="AE135" s="1" t="s">
        <v>111</v>
      </c>
      <c r="AF135" s="1" t="s">
        <v>111</v>
      </c>
      <c r="AG135" s="1" t="s">
        <v>111</v>
      </c>
      <c r="AH135" s="1" t="s">
        <v>111</v>
      </c>
      <c r="AI135" s="1">
        <v>80.277000000000001</v>
      </c>
      <c r="AJ135" s="1" t="s">
        <v>111</v>
      </c>
      <c r="AK135" s="1"/>
      <c r="AL135" s="1" t="s">
        <v>111</v>
      </c>
      <c r="AM135" s="1"/>
      <c r="AN135" s="1" t="s">
        <v>111</v>
      </c>
      <c r="AO135" s="1"/>
      <c r="AP135" s="1" t="s">
        <v>111</v>
      </c>
    </row>
    <row r="136" spans="1:42" x14ac:dyDescent="0.25">
      <c r="A136" s="1">
        <v>116</v>
      </c>
      <c r="B136" s="1" t="s">
        <v>208</v>
      </c>
      <c r="C136" s="1" t="s">
        <v>103</v>
      </c>
      <c r="D136" s="1" t="s">
        <v>114</v>
      </c>
      <c r="E136" s="1" t="s">
        <v>204</v>
      </c>
      <c r="F136" s="1" t="s">
        <v>106</v>
      </c>
      <c r="G136" s="1" t="s">
        <v>107</v>
      </c>
      <c r="H136" s="1" t="s">
        <v>108</v>
      </c>
      <c r="I136" s="1">
        <v>30.936</v>
      </c>
      <c r="J136" s="1">
        <v>30.547999999999998</v>
      </c>
      <c r="K136" s="1">
        <v>0.27800000000000002</v>
      </c>
      <c r="L136" s="1"/>
      <c r="M136" s="1"/>
      <c r="N136" s="1"/>
      <c r="O136" s="1"/>
      <c r="P136" s="1"/>
      <c r="Q136" s="1"/>
      <c r="R136" s="1"/>
      <c r="S136" s="1" t="s">
        <v>109</v>
      </c>
      <c r="T136" s="1">
        <v>0.32100000000000001</v>
      </c>
      <c r="U136" s="1" t="s">
        <v>109</v>
      </c>
      <c r="V136" s="1">
        <v>3</v>
      </c>
      <c r="W136" s="1">
        <v>24</v>
      </c>
      <c r="X136" s="1" t="s">
        <v>110</v>
      </c>
      <c r="Y136" s="1"/>
      <c r="Z136" s="1">
        <v>0.98799999999999999</v>
      </c>
      <c r="AA136" s="1" t="s">
        <v>111</v>
      </c>
      <c r="AB136" s="1" t="s">
        <v>111</v>
      </c>
      <c r="AC136" s="1" t="s">
        <v>111</v>
      </c>
      <c r="AD136" s="1" t="s">
        <v>111</v>
      </c>
      <c r="AE136" s="1" t="s">
        <v>111</v>
      </c>
      <c r="AF136" s="1" t="s">
        <v>111</v>
      </c>
      <c r="AG136" s="1" t="s">
        <v>111</v>
      </c>
      <c r="AH136" s="1" t="s">
        <v>111</v>
      </c>
      <c r="AI136" s="1">
        <v>80.39</v>
      </c>
      <c r="AJ136" s="1" t="s">
        <v>111</v>
      </c>
      <c r="AK136" s="1"/>
      <c r="AL136" s="1" t="s">
        <v>111</v>
      </c>
      <c r="AM136" s="1"/>
      <c r="AN136" s="1" t="s">
        <v>111</v>
      </c>
      <c r="AO136" s="1"/>
      <c r="AP136" s="1" t="s">
        <v>111</v>
      </c>
    </row>
    <row r="137" spans="1:42" x14ac:dyDescent="0.25">
      <c r="A137" s="1">
        <v>117</v>
      </c>
      <c r="B137" s="1" t="s">
        <v>209</v>
      </c>
      <c r="C137" s="1" t="s">
        <v>103</v>
      </c>
      <c r="D137" s="1" t="s">
        <v>117</v>
      </c>
      <c r="E137" s="1" t="s">
        <v>204</v>
      </c>
      <c r="F137" s="1" t="s">
        <v>106</v>
      </c>
      <c r="G137" s="1" t="s">
        <v>107</v>
      </c>
      <c r="H137" s="1" t="s">
        <v>108</v>
      </c>
      <c r="I137" s="1">
        <v>28.061</v>
      </c>
      <c r="J137" s="1">
        <v>27.949000000000002</v>
      </c>
      <c r="K137" s="1">
        <v>0.222</v>
      </c>
      <c r="L137" s="1"/>
      <c r="M137" s="1"/>
      <c r="N137" s="1"/>
      <c r="O137" s="1"/>
      <c r="P137" s="1"/>
      <c r="Q137" s="1"/>
      <c r="R137" s="1"/>
      <c r="S137" s="1" t="s">
        <v>109</v>
      </c>
      <c r="T137" s="1">
        <v>0.32100000000000001</v>
      </c>
      <c r="U137" s="1" t="s">
        <v>109</v>
      </c>
      <c r="V137" s="1">
        <v>3</v>
      </c>
      <c r="W137" s="1">
        <v>22</v>
      </c>
      <c r="X137" s="1" t="s">
        <v>110</v>
      </c>
      <c r="Y137" s="1"/>
      <c r="Z137" s="1">
        <v>0.98099999999999998</v>
      </c>
      <c r="AA137" s="1" t="s">
        <v>111</v>
      </c>
      <c r="AB137" s="1" t="s">
        <v>111</v>
      </c>
      <c r="AC137" s="1" t="s">
        <v>111</v>
      </c>
      <c r="AD137" s="1" t="s">
        <v>111</v>
      </c>
      <c r="AE137" s="1" t="s">
        <v>111</v>
      </c>
      <c r="AF137" s="1" t="s">
        <v>111</v>
      </c>
      <c r="AG137" s="1" t="s">
        <v>111</v>
      </c>
      <c r="AH137" s="1" t="s">
        <v>111</v>
      </c>
      <c r="AI137" s="1">
        <v>80.376999999999995</v>
      </c>
      <c r="AJ137" s="1" t="s">
        <v>111</v>
      </c>
      <c r="AK137" s="1"/>
      <c r="AL137" s="1" t="s">
        <v>111</v>
      </c>
      <c r="AM137" s="1"/>
      <c r="AN137" s="1" t="s">
        <v>111</v>
      </c>
      <c r="AO137" s="1"/>
      <c r="AP137" s="1" t="s">
        <v>111</v>
      </c>
    </row>
    <row r="138" spans="1:42" x14ac:dyDescent="0.25">
      <c r="A138" s="1">
        <v>118</v>
      </c>
      <c r="B138" s="1" t="s">
        <v>210</v>
      </c>
      <c r="C138" s="1" t="s">
        <v>103</v>
      </c>
      <c r="D138" s="1" t="s">
        <v>117</v>
      </c>
      <c r="E138" s="1" t="s">
        <v>204</v>
      </c>
      <c r="F138" s="1" t="s">
        <v>106</v>
      </c>
      <c r="G138" s="1" t="s">
        <v>107</v>
      </c>
      <c r="H138" s="1" t="s">
        <v>108</v>
      </c>
      <c r="I138" s="1">
        <v>28.076000000000001</v>
      </c>
      <c r="J138" s="1">
        <v>27.949000000000002</v>
      </c>
      <c r="K138" s="1">
        <v>0.222</v>
      </c>
      <c r="L138" s="1"/>
      <c r="M138" s="1"/>
      <c r="N138" s="1"/>
      <c r="O138" s="1"/>
      <c r="P138" s="1"/>
      <c r="Q138" s="1"/>
      <c r="R138" s="1"/>
      <c r="S138" s="1" t="s">
        <v>109</v>
      </c>
      <c r="T138" s="1">
        <v>0.32100000000000001</v>
      </c>
      <c r="U138" s="1" t="s">
        <v>109</v>
      </c>
      <c r="V138" s="1">
        <v>3</v>
      </c>
      <c r="W138" s="1">
        <v>22</v>
      </c>
      <c r="X138" s="1" t="s">
        <v>110</v>
      </c>
      <c r="Y138" s="1"/>
      <c r="Z138" s="1">
        <v>0.98599999999999999</v>
      </c>
      <c r="AA138" s="1" t="s">
        <v>111</v>
      </c>
      <c r="AB138" s="1" t="s">
        <v>111</v>
      </c>
      <c r="AC138" s="1" t="s">
        <v>111</v>
      </c>
      <c r="AD138" s="1" t="s">
        <v>111</v>
      </c>
      <c r="AE138" s="1" t="s">
        <v>111</v>
      </c>
      <c r="AF138" s="1" t="s">
        <v>111</v>
      </c>
      <c r="AG138" s="1" t="s">
        <v>111</v>
      </c>
      <c r="AH138" s="1" t="s">
        <v>111</v>
      </c>
      <c r="AI138" s="1">
        <v>80.376999999999995</v>
      </c>
      <c r="AJ138" s="1" t="s">
        <v>111</v>
      </c>
      <c r="AK138" s="1"/>
      <c r="AL138" s="1" t="s">
        <v>111</v>
      </c>
      <c r="AM138" s="1"/>
      <c r="AN138" s="1" t="s">
        <v>111</v>
      </c>
      <c r="AO138" s="1"/>
      <c r="AP138" s="1" t="s">
        <v>111</v>
      </c>
    </row>
    <row r="139" spans="1:42" x14ac:dyDescent="0.25">
      <c r="A139" s="1">
        <v>119</v>
      </c>
      <c r="B139" s="1" t="s">
        <v>211</v>
      </c>
      <c r="C139" s="1" t="s">
        <v>103</v>
      </c>
      <c r="D139" s="1" t="s">
        <v>120</v>
      </c>
      <c r="E139" s="1" t="s">
        <v>204</v>
      </c>
      <c r="F139" s="1" t="s">
        <v>106</v>
      </c>
      <c r="G139" s="1" t="s">
        <v>107</v>
      </c>
      <c r="H139" s="1" t="s">
        <v>108</v>
      </c>
      <c r="I139" s="1">
        <v>27.548999999999999</v>
      </c>
      <c r="J139" s="1">
        <v>27.763999999999999</v>
      </c>
      <c r="K139" s="1">
        <v>0.27800000000000002</v>
      </c>
      <c r="L139" s="1"/>
      <c r="M139" s="1"/>
      <c r="N139" s="1"/>
      <c r="O139" s="1"/>
      <c r="P139" s="1"/>
      <c r="Q139" s="1"/>
      <c r="R139" s="1"/>
      <c r="S139" s="1" t="s">
        <v>109</v>
      </c>
      <c r="T139" s="1">
        <v>0.32100000000000001</v>
      </c>
      <c r="U139" s="1" t="s">
        <v>109</v>
      </c>
      <c r="V139" s="1">
        <v>3</v>
      </c>
      <c r="W139" s="1">
        <v>21</v>
      </c>
      <c r="X139" s="1" t="s">
        <v>110</v>
      </c>
      <c r="Y139" s="1"/>
      <c r="Z139" s="1">
        <v>0.98599999999999999</v>
      </c>
      <c r="AA139" s="1" t="s">
        <v>111</v>
      </c>
      <c r="AB139" s="1" t="s">
        <v>111</v>
      </c>
      <c r="AC139" s="1" t="s">
        <v>111</v>
      </c>
      <c r="AD139" s="1" t="s">
        <v>111</v>
      </c>
      <c r="AE139" s="1" t="s">
        <v>111</v>
      </c>
      <c r="AF139" s="1" t="s">
        <v>111</v>
      </c>
      <c r="AG139" s="1" t="s">
        <v>111</v>
      </c>
      <c r="AH139" s="1" t="s">
        <v>111</v>
      </c>
      <c r="AI139" s="1">
        <v>80.376999999999995</v>
      </c>
      <c r="AJ139" s="1" t="s">
        <v>111</v>
      </c>
      <c r="AK139" s="1"/>
      <c r="AL139" s="1" t="s">
        <v>111</v>
      </c>
      <c r="AM139" s="1"/>
      <c r="AN139" s="1" t="s">
        <v>111</v>
      </c>
      <c r="AO139" s="1"/>
      <c r="AP139" s="1" t="s">
        <v>111</v>
      </c>
    </row>
    <row r="140" spans="1:42" x14ac:dyDescent="0.25">
      <c r="A140" s="1">
        <v>120</v>
      </c>
      <c r="B140" s="1" t="s">
        <v>212</v>
      </c>
      <c r="C140" s="1" t="s">
        <v>103</v>
      </c>
      <c r="D140" s="1" t="s">
        <v>120</v>
      </c>
      <c r="E140" s="1" t="s">
        <v>204</v>
      </c>
      <c r="F140" s="1" t="s">
        <v>106</v>
      </c>
      <c r="G140" s="1" t="s">
        <v>107</v>
      </c>
      <c r="H140" s="1" t="s">
        <v>108</v>
      </c>
      <c r="I140" s="1">
        <v>28.167000000000002</v>
      </c>
      <c r="J140" s="1">
        <v>27.763999999999999</v>
      </c>
      <c r="K140" s="1">
        <v>0.27800000000000002</v>
      </c>
      <c r="L140" s="1"/>
      <c r="M140" s="1"/>
      <c r="N140" s="1"/>
      <c r="O140" s="1"/>
      <c r="P140" s="1"/>
      <c r="Q140" s="1"/>
      <c r="R140" s="1"/>
      <c r="S140" s="1" t="s">
        <v>109</v>
      </c>
      <c r="T140" s="1">
        <v>0.32100000000000001</v>
      </c>
      <c r="U140" s="1" t="s">
        <v>109</v>
      </c>
      <c r="V140" s="1">
        <v>3</v>
      </c>
      <c r="W140" s="1">
        <v>21</v>
      </c>
      <c r="X140" s="1" t="s">
        <v>110</v>
      </c>
      <c r="Y140" s="1"/>
      <c r="Z140" s="1">
        <v>0.97499999999999998</v>
      </c>
      <c r="AA140" s="1" t="s">
        <v>111</v>
      </c>
      <c r="AB140" s="1" t="s">
        <v>111</v>
      </c>
      <c r="AC140" s="1" t="s">
        <v>111</v>
      </c>
      <c r="AD140" s="1" t="s">
        <v>111</v>
      </c>
      <c r="AE140" s="1" t="s">
        <v>111</v>
      </c>
      <c r="AF140" s="1" t="s">
        <v>111</v>
      </c>
      <c r="AG140" s="1" t="s">
        <v>111</v>
      </c>
      <c r="AH140" s="1" t="s">
        <v>111</v>
      </c>
      <c r="AI140" s="1">
        <v>80.489999999999995</v>
      </c>
      <c r="AJ140" s="1" t="s">
        <v>111</v>
      </c>
      <c r="AK140" s="1"/>
      <c r="AL140" s="1" t="s">
        <v>111</v>
      </c>
      <c r="AM140" s="1"/>
      <c r="AN140" s="1" t="s">
        <v>111</v>
      </c>
      <c r="AO140" s="1"/>
      <c r="AP140" s="1" t="s">
        <v>111</v>
      </c>
    </row>
    <row r="141" spans="1:42" x14ac:dyDescent="0.25">
      <c r="A141" s="1">
        <v>121</v>
      </c>
      <c r="B141" s="1" t="s">
        <v>213</v>
      </c>
      <c r="C141" s="1" t="s">
        <v>103</v>
      </c>
      <c r="D141" s="1" t="s">
        <v>104</v>
      </c>
      <c r="E141" s="1" t="s">
        <v>191</v>
      </c>
      <c r="F141" s="1" t="s">
        <v>106</v>
      </c>
      <c r="G141" s="1" t="s">
        <v>107</v>
      </c>
      <c r="H141" s="1" t="s">
        <v>108</v>
      </c>
      <c r="I141" s="1">
        <v>22.937000000000001</v>
      </c>
      <c r="J141" s="1">
        <v>22.951000000000001</v>
      </c>
      <c r="K141" s="1">
        <v>3.6999999999999998E-2</v>
      </c>
      <c r="L141" s="1"/>
      <c r="M141" s="1"/>
      <c r="N141" s="1"/>
      <c r="O141" s="1"/>
      <c r="P141" s="1"/>
      <c r="Q141" s="1"/>
      <c r="R141" s="1"/>
      <c r="S141" s="1" t="s">
        <v>109</v>
      </c>
      <c r="T141" s="1">
        <v>0.56000000000000005</v>
      </c>
      <c r="U141" s="1" t="s">
        <v>109</v>
      </c>
      <c r="V141" s="1">
        <v>3</v>
      </c>
      <c r="W141" s="1">
        <v>16</v>
      </c>
      <c r="X141" s="1" t="s">
        <v>110</v>
      </c>
      <c r="Y141" s="1"/>
      <c r="Z141" s="1">
        <v>0.98799999999999999</v>
      </c>
      <c r="AA141" s="1" t="s">
        <v>111</v>
      </c>
      <c r="AB141" s="1" t="s">
        <v>111</v>
      </c>
      <c r="AC141" s="1" t="s">
        <v>111</v>
      </c>
      <c r="AD141" s="1" t="s">
        <v>111</v>
      </c>
      <c r="AE141" s="1" t="s">
        <v>111</v>
      </c>
      <c r="AF141" s="1" t="s">
        <v>111</v>
      </c>
      <c r="AG141" s="1" t="s">
        <v>111</v>
      </c>
      <c r="AH141" s="1" t="s">
        <v>111</v>
      </c>
      <c r="AI141" s="1">
        <v>89.456999999999994</v>
      </c>
      <c r="AJ141" s="1" t="s">
        <v>111</v>
      </c>
      <c r="AK141" s="1"/>
      <c r="AL141" s="1" t="s">
        <v>111</v>
      </c>
      <c r="AM141" s="1"/>
      <c r="AN141" s="1" t="s">
        <v>111</v>
      </c>
      <c r="AO141" s="1"/>
      <c r="AP141" s="1" t="s">
        <v>111</v>
      </c>
    </row>
    <row r="142" spans="1:42" x14ac:dyDescent="0.25">
      <c r="A142" s="1">
        <v>122</v>
      </c>
      <c r="B142" s="1" t="s">
        <v>214</v>
      </c>
      <c r="C142" s="1" t="s">
        <v>103</v>
      </c>
      <c r="D142" s="1" t="s">
        <v>104</v>
      </c>
      <c r="E142" s="1" t="s">
        <v>191</v>
      </c>
      <c r="F142" s="1" t="s">
        <v>106</v>
      </c>
      <c r="G142" s="1" t="s">
        <v>107</v>
      </c>
      <c r="H142" s="1" t="s">
        <v>108</v>
      </c>
      <c r="I142" s="1">
        <v>22.966999999999999</v>
      </c>
      <c r="J142" s="1">
        <v>22.951000000000001</v>
      </c>
      <c r="K142" s="1">
        <v>3.6999999999999998E-2</v>
      </c>
      <c r="L142" s="1"/>
      <c r="M142" s="1"/>
      <c r="N142" s="1"/>
      <c r="O142" s="1"/>
      <c r="P142" s="1"/>
      <c r="Q142" s="1"/>
      <c r="R142" s="1"/>
      <c r="S142" s="1" t="s">
        <v>109</v>
      </c>
      <c r="T142" s="1">
        <v>0.56000000000000005</v>
      </c>
      <c r="U142" s="1" t="s">
        <v>109</v>
      </c>
      <c r="V142" s="1">
        <v>3</v>
      </c>
      <c r="W142" s="1">
        <v>17</v>
      </c>
      <c r="X142" s="1" t="s">
        <v>110</v>
      </c>
      <c r="Y142" s="1"/>
      <c r="Z142" s="1">
        <v>0.98499999999999999</v>
      </c>
      <c r="AA142" s="1" t="s">
        <v>111</v>
      </c>
      <c r="AB142" s="1" t="s">
        <v>111</v>
      </c>
      <c r="AC142" s="1" t="s">
        <v>111</v>
      </c>
      <c r="AD142" s="1" t="s">
        <v>111</v>
      </c>
      <c r="AE142" s="1" t="s">
        <v>111</v>
      </c>
      <c r="AF142" s="1" t="s">
        <v>111</v>
      </c>
      <c r="AG142" s="1" t="s">
        <v>111</v>
      </c>
      <c r="AH142" s="1" t="s">
        <v>111</v>
      </c>
      <c r="AI142" s="1">
        <v>89.456999999999994</v>
      </c>
      <c r="AJ142" s="1" t="s">
        <v>111</v>
      </c>
      <c r="AK142" s="1"/>
      <c r="AL142" s="1" t="s">
        <v>111</v>
      </c>
      <c r="AM142" s="1"/>
      <c r="AN142" s="1" t="s">
        <v>111</v>
      </c>
      <c r="AO142" s="1"/>
      <c r="AP142" s="1" t="s">
        <v>111</v>
      </c>
    </row>
    <row r="143" spans="1:42" x14ac:dyDescent="0.25">
      <c r="A143" s="1">
        <v>123</v>
      </c>
      <c r="B143" s="1" t="s">
        <v>215</v>
      </c>
      <c r="C143" s="1" t="s">
        <v>103</v>
      </c>
      <c r="D143" s="1" t="s">
        <v>114</v>
      </c>
      <c r="E143" s="1" t="s">
        <v>191</v>
      </c>
      <c r="F143" s="1" t="s">
        <v>106</v>
      </c>
      <c r="G143" s="1" t="s">
        <v>107</v>
      </c>
      <c r="H143" s="1" t="s">
        <v>108</v>
      </c>
      <c r="I143" s="1">
        <v>22.853000000000002</v>
      </c>
      <c r="J143" s="1">
        <v>22.77</v>
      </c>
      <c r="K143" s="1">
        <v>8.1000000000000003E-2</v>
      </c>
      <c r="L143" s="1"/>
      <c r="M143" s="1"/>
      <c r="N143" s="1"/>
      <c r="O143" s="1"/>
      <c r="P143" s="1"/>
      <c r="Q143" s="1"/>
      <c r="R143" s="1"/>
      <c r="S143" s="1" t="s">
        <v>109</v>
      </c>
      <c r="T143" s="1">
        <v>0.56000000000000005</v>
      </c>
      <c r="U143" s="1" t="s">
        <v>109</v>
      </c>
      <c r="V143" s="1">
        <v>3</v>
      </c>
      <c r="W143" s="1">
        <v>16</v>
      </c>
      <c r="X143" s="1" t="s">
        <v>110</v>
      </c>
      <c r="Y143" s="1"/>
      <c r="Z143" s="1">
        <v>0.98599999999999999</v>
      </c>
      <c r="AA143" s="1" t="s">
        <v>111</v>
      </c>
      <c r="AB143" s="1" t="s">
        <v>111</v>
      </c>
      <c r="AC143" s="1" t="s">
        <v>111</v>
      </c>
      <c r="AD143" s="1" t="s">
        <v>111</v>
      </c>
      <c r="AE143" s="1" t="s">
        <v>111</v>
      </c>
      <c r="AF143" s="1" t="s">
        <v>111</v>
      </c>
      <c r="AG143" s="1" t="s">
        <v>111</v>
      </c>
      <c r="AH143" s="1" t="s">
        <v>111</v>
      </c>
      <c r="AI143" s="1">
        <v>89.456999999999994</v>
      </c>
      <c r="AJ143" s="1" t="s">
        <v>111</v>
      </c>
      <c r="AK143" s="1"/>
      <c r="AL143" s="1" t="s">
        <v>111</v>
      </c>
      <c r="AM143" s="1"/>
      <c r="AN143" s="1" t="s">
        <v>111</v>
      </c>
      <c r="AO143" s="1"/>
      <c r="AP143" s="1" t="s">
        <v>111</v>
      </c>
    </row>
    <row r="144" spans="1:42" x14ac:dyDescent="0.25">
      <c r="A144" s="1">
        <v>124</v>
      </c>
      <c r="B144" s="1" t="s">
        <v>216</v>
      </c>
      <c r="C144" s="1" t="s">
        <v>103</v>
      </c>
      <c r="D144" s="1" t="s">
        <v>114</v>
      </c>
      <c r="E144" s="1" t="s">
        <v>191</v>
      </c>
      <c r="F144" s="1" t="s">
        <v>106</v>
      </c>
      <c r="G144" s="1" t="s">
        <v>107</v>
      </c>
      <c r="H144" s="1" t="s">
        <v>108</v>
      </c>
      <c r="I144" s="1">
        <v>22.715</v>
      </c>
      <c r="J144" s="1">
        <v>22.77</v>
      </c>
      <c r="K144" s="1">
        <v>8.1000000000000003E-2</v>
      </c>
      <c r="L144" s="1"/>
      <c r="M144" s="1"/>
      <c r="N144" s="1"/>
      <c r="O144" s="1"/>
      <c r="P144" s="1"/>
      <c r="Q144" s="1"/>
      <c r="R144" s="1"/>
      <c r="S144" s="1" t="s">
        <v>109</v>
      </c>
      <c r="T144" s="1">
        <v>0.56000000000000005</v>
      </c>
      <c r="U144" s="1" t="s">
        <v>109</v>
      </c>
      <c r="V144" s="1">
        <v>3</v>
      </c>
      <c r="W144" s="1">
        <v>16</v>
      </c>
      <c r="X144" s="1" t="s">
        <v>110</v>
      </c>
      <c r="Y144" s="1"/>
      <c r="Z144" s="1">
        <v>0.98399999999999999</v>
      </c>
      <c r="AA144" s="1" t="s">
        <v>111</v>
      </c>
      <c r="AB144" s="1" t="s">
        <v>111</v>
      </c>
      <c r="AC144" s="1" t="s">
        <v>111</v>
      </c>
      <c r="AD144" s="1" t="s">
        <v>111</v>
      </c>
      <c r="AE144" s="1" t="s">
        <v>111</v>
      </c>
      <c r="AF144" s="1" t="s">
        <v>111</v>
      </c>
      <c r="AG144" s="1" t="s">
        <v>111</v>
      </c>
      <c r="AH144" s="1" t="s">
        <v>111</v>
      </c>
      <c r="AI144" s="1">
        <v>89.57</v>
      </c>
      <c r="AJ144" s="1" t="s">
        <v>111</v>
      </c>
      <c r="AK144" s="1"/>
      <c r="AL144" s="1" t="s">
        <v>111</v>
      </c>
      <c r="AM144" s="1"/>
      <c r="AN144" s="1" t="s">
        <v>111</v>
      </c>
      <c r="AO144" s="1"/>
      <c r="AP144" s="1" t="s">
        <v>111</v>
      </c>
    </row>
    <row r="145" spans="1:42" x14ac:dyDescent="0.25">
      <c r="A145" s="1">
        <v>125</v>
      </c>
      <c r="B145" s="1" t="s">
        <v>217</v>
      </c>
      <c r="C145" s="1" t="s">
        <v>103</v>
      </c>
      <c r="D145" s="1" t="s">
        <v>117</v>
      </c>
      <c r="E145" s="1" t="s">
        <v>191</v>
      </c>
      <c r="F145" s="1" t="s">
        <v>106</v>
      </c>
      <c r="G145" s="1" t="s">
        <v>107</v>
      </c>
      <c r="H145" s="1" t="s">
        <v>108</v>
      </c>
      <c r="I145" s="1">
        <v>20.817</v>
      </c>
      <c r="J145" s="1">
        <v>20.756</v>
      </c>
      <c r="K145" s="1">
        <v>4.8000000000000001E-2</v>
      </c>
      <c r="L145" s="1"/>
      <c r="M145" s="1"/>
      <c r="N145" s="1"/>
      <c r="O145" s="1"/>
      <c r="P145" s="1"/>
      <c r="Q145" s="1"/>
      <c r="R145" s="1"/>
      <c r="S145" s="1" t="s">
        <v>109</v>
      </c>
      <c r="T145" s="1">
        <v>0.56000000000000005</v>
      </c>
      <c r="U145" s="1" t="s">
        <v>109</v>
      </c>
      <c r="V145" s="1">
        <v>3</v>
      </c>
      <c r="W145" s="1">
        <v>14</v>
      </c>
      <c r="X145" s="1" t="s">
        <v>110</v>
      </c>
      <c r="Y145" s="1"/>
      <c r="Z145" s="1">
        <v>0.98399999999999999</v>
      </c>
      <c r="AA145" s="1" t="s">
        <v>111</v>
      </c>
      <c r="AB145" s="1" t="s">
        <v>111</v>
      </c>
      <c r="AC145" s="1" t="s">
        <v>111</v>
      </c>
      <c r="AD145" s="1" t="s">
        <v>111</v>
      </c>
      <c r="AE145" s="1" t="s">
        <v>111</v>
      </c>
      <c r="AF145" s="1" t="s">
        <v>111</v>
      </c>
      <c r="AG145" s="1" t="s">
        <v>111</v>
      </c>
      <c r="AH145" s="1" t="s">
        <v>111</v>
      </c>
      <c r="AI145" s="1">
        <v>89.47</v>
      </c>
      <c r="AJ145" s="1" t="s">
        <v>111</v>
      </c>
      <c r="AK145" s="1"/>
      <c r="AL145" s="1" t="s">
        <v>111</v>
      </c>
      <c r="AM145" s="1"/>
      <c r="AN145" s="1" t="s">
        <v>111</v>
      </c>
      <c r="AO145" s="1"/>
      <c r="AP145" s="1" t="s">
        <v>111</v>
      </c>
    </row>
    <row r="146" spans="1:42" x14ac:dyDescent="0.25">
      <c r="A146" s="1">
        <v>126</v>
      </c>
      <c r="B146" s="1" t="s">
        <v>218</v>
      </c>
      <c r="C146" s="1" t="s">
        <v>103</v>
      </c>
      <c r="D146" s="1" t="s">
        <v>117</v>
      </c>
      <c r="E146" s="1" t="s">
        <v>191</v>
      </c>
      <c r="F146" s="1" t="s">
        <v>106</v>
      </c>
      <c r="G146" s="1" t="s">
        <v>107</v>
      </c>
      <c r="H146" s="1" t="s">
        <v>108</v>
      </c>
      <c r="I146" s="1">
        <v>20.7</v>
      </c>
      <c r="J146" s="1">
        <v>20.756</v>
      </c>
      <c r="K146" s="1">
        <v>4.8000000000000001E-2</v>
      </c>
      <c r="L146" s="1"/>
      <c r="M146" s="1"/>
      <c r="N146" s="1"/>
      <c r="O146" s="1"/>
      <c r="P146" s="1"/>
      <c r="Q146" s="1"/>
      <c r="R146" s="1"/>
      <c r="S146" s="1" t="s">
        <v>109</v>
      </c>
      <c r="T146" s="1">
        <v>0.56000000000000005</v>
      </c>
      <c r="U146" s="1" t="s">
        <v>109</v>
      </c>
      <c r="V146" s="1">
        <v>3</v>
      </c>
      <c r="W146" s="1">
        <v>14</v>
      </c>
      <c r="X146" s="1" t="s">
        <v>110</v>
      </c>
      <c r="Y146" s="1"/>
      <c r="Z146" s="1">
        <v>0.98099999999999998</v>
      </c>
      <c r="AA146" s="1" t="s">
        <v>111</v>
      </c>
      <c r="AB146" s="1" t="s">
        <v>111</v>
      </c>
      <c r="AC146" s="1" t="s">
        <v>111</v>
      </c>
      <c r="AD146" s="1" t="s">
        <v>111</v>
      </c>
      <c r="AE146" s="1" t="s">
        <v>111</v>
      </c>
      <c r="AF146" s="1" t="s">
        <v>111</v>
      </c>
      <c r="AG146" s="1" t="s">
        <v>111</v>
      </c>
      <c r="AH146" s="1" t="s">
        <v>111</v>
      </c>
      <c r="AI146" s="1">
        <v>89.47</v>
      </c>
      <c r="AJ146" s="1" t="s">
        <v>111</v>
      </c>
      <c r="AK146" s="1"/>
      <c r="AL146" s="1" t="s">
        <v>111</v>
      </c>
      <c r="AM146" s="1"/>
      <c r="AN146" s="1" t="s">
        <v>111</v>
      </c>
      <c r="AO146" s="1"/>
      <c r="AP146" s="1" t="s">
        <v>111</v>
      </c>
    </row>
    <row r="147" spans="1:42" x14ac:dyDescent="0.25">
      <c r="A147" s="1">
        <v>127</v>
      </c>
      <c r="B147" s="1" t="s">
        <v>219</v>
      </c>
      <c r="C147" s="1" t="s">
        <v>103</v>
      </c>
      <c r="D147" s="1" t="s">
        <v>120</v>
      </c>
      <c r="E147" s="1" t="s">
        <v>191</v>
      </c>
      <c r="F147" s="1" t="s">
        <v>106</v>
      </c>
      <c r="G147" s="1" t="s">
        <v>107</v>
      </c>
      <c r="H147" s="1" t="s">
        <v>108</v>
      </c>
      <c r="I147" s="1">
        <v>21.036000000000001</v>
      </c>
      <c r="J147" s="1">
        <v>20.917999999999999</v>
      </c>
      <c r="K147" s="1">
        <v>0.104</v>
      </c>
      <c r="L147" s="1"/>
      <c r="M147" s="1"/>
      <c r="N147" s="1"/>
      <c r="O147" s="1"/>
      <c r="P147" s="1"/>
      <c r="Q147" s="1"/>
      <c r="R147" s="1"/>
      <c r="S147" s="1" t="s">
        <v>109</v>
      </c>
      <c r="T147" s="1">
        <v>0.56000000000000005</v>
      </c>
      <c r="U147" s="1" t="s">
        <v>109</v>
      </c>
      <c r="V147" s="1">
        <v>3</v>
      </c>
      <c r="W147" s="1">
        <v>14</v>
      </c>
      <c r="X147" s="1" t="s">
        <v>110</v>
      </c>
      <c r="Y147" s="1"/>
      <c r="Z147" s="1">
        <v>0.98</v>
      </c>
      <c r="AA147" s="1" t="s">
        <v>111</v>
      </c>
      <c r="AB147" s="1" t="s">
        <v>111</v>
      </c>
      <c r="AC147" s="1" t="s">
        <v>111</v>
      </c>
      <c r="AD147" s="1" t="s">
        <v>111</v>
      </c>
      <c r="AE147" s="1" t="s">
        <v>111</v>
      </c>
      <c r="AF147" s="1" t="s">
        <v>111</v>
      </c>
      <c r="AG147" s="1" t="s">
        <v>111</v>
      </c>
      <c r="AH147" s="1" t="s">
        <v>111</v>
      </c>
      <c r="AI147" s="1">
        <v>89.47</v>
      </c>
      <c r="AJ147" s="1" t="s">
        <v>111</v>
      </c>
      <c r="AK147" s="1"/>
      <c r="AL147" s="1" t="s">
        <v>111</v>
      </c>
      <c r="AM147" s="1"/>
      <c r="AN147" s="1" t="s">
        <v>111</v>
      </c>
      <c r="AO147" s="1"/>
      <c r="AP147" s="1" t="s">
        <v>111</v>
      </c>
    </row>
    <row r="148" spans="1:42" x14ac:dyDescent="0.25">
      <c r="A148" s="1">
        <v>128</v>
      </c>
      <c r="B148" s="1" t="s">
        <v>220</v>
      </c>
      <c r="C148" s="1" t="s">
        <v>103</v>
      </c>
      <c r="D148" s="1" t="s">
        <v>120</v>
      </c>
      <c r="E148" s="1" t="s">
        <v>191</v>
      </c>
      <c r="F148" s="1" t="s">
        <v>106</v>
      </c>
      <c r="G148" s="1" t="s">
        <v>107</v>
      </c>
      <c r="H148" s="1" t="s">
        <v>108</v>
      </c>
      <c r="I148" s="1">
        <v>20.803000000000001</v>
      </c>
      <c r="J148" s="1">
        <v>20.917999999999999</v>
      </c>
      <c r="K148" s="1">
        <v>0.104</v>
      </c>
      <c r="L148" s="1"/>
      <c r="M148" s="1"/>
      <c r="N148" s="1"/>
      <c r="O148" s="1"/>
      <c r="P148" s="1"/>
      <c r="Q148" s="1"/>
      <c r="R148" s="1"/>
      <c r="S148" s="1" t="s">
        <v>109</v>
      </c>
      <c r="T148" s="1">
        <v>0.56000000000000005</v>
      </c>
      <c r="U148" s="1" t="s">
        <v>109</v>
      </c>
      <c r="V148" s="1">
        <v>3</v>
      </c>
      <c r="W148" s="1">
        <v>14</v>
      </c>
      <c r="X148" s="1" t="s">
        <v>110</v>
      </c>
      <c r="Y148" s="1"/>
      <c r="Z148" s="1">
        <v>0.98399999999999999</v>
      </c>
      <c r="AA148" s="1" t="s">
        <v>111</v>
      </c>
      <c r="AB148" s="1" t="s">
        <v>111</v>
      </c>
      <c r="AC148" s="1" t="s">
        <v>111</v>
      </c>
      <c r="AD148" s="1" t="s">
        <v>111</v>
      </c>
      <c r="AE148" s="1" t="s">
        <v>111</v>
      </c>
      <c r="AF148" s="1" t="s">
        <v>111</v>
      </c>
      <c r="AG148" s="1" t="s">
        <v>111</v>
      </c>
      <c r="AH148" s="1" t="s">
        <v>111</v>
      </c>
      <c r="AI148" s="1">
        <v>89.47</v>
      </c>
      <c r="AJ148" s="1" t="s">
        <v>111</v>
      </c>
      <c r="AK148" s="1"/>
      <c r="AL148" s="1" t="s">
        <v>111</v>
      </c>
      <c r="AM148" s="1"/>
      <c r="AN148" s="1" t="s">
        <v>111</v>
      </c>
      <c r="AO148" s="1"/>
      <c r="AP148" s="1" t="s">
        <v>111</v>
      </c>
    </row>
    <row r="149" spans="1:42" x14ac:dyDescent="0.25">
      <c r="A149" s="1">
        <v>129</v>
      </c>
      <c r="B149" s="1" t="s">
        <v>221</v>
      </c>
      <c r="C149" s="1" t="s">
        <v>103</v>
      </c>
      <c r="D149" s="1" t="s">
        <v>123</v>
      </c>
      <c r="E149" s="1" t="s">
        <v>191</v>
      </c>
      <c r="F149" s="1" t="s">
        <v>106</v>
      </c>
      <c r="G149" s="1" t="s">
        <v>107</v>
      </c>
      <c r="H149" s="1" t="s">
        <v>108</v>
      </c>
      <c r="I149" s="1">
        <v>22.992000000000001</v>
      </c>
      <c r="J149" s="1">
        <v>22.939</v>
      </c>
      <c r="K149" s="1">
        <v>5.6000000000000001E-2</v>
      </c>
      <c r="L149" s="1"/>
      <c r="M149" s="1"/>
      <c r="N149" s="1"/>
      <c r="O149" s="1"/>
      <c r="P149" s="1"/>
      <c r="Q149" s="1"/>
      <c r="R149" s="1"/>
      <c r="S149" s="1" t="s">
        <v>109</v>
      </c>
      <c r="T149" s="1">
        <v>0.56000000000000005</v>
      </c>
      <c r="U149" s="1" t="s">
        <v>109</v>
      </c>
      <c r="V149" s="1">
        <v>3</v>
      </c>
      <c r="W149" s="1">
        <v>16</v>
      </c>
      <c r="X149" s="1" t="s">
        <v>110</v>
      </c>
      <c r="Y149" s="1"/>
      <c r="Z149" s="1">
        <v>0.98499999999999999</v>
      </c>
      <c r="AA149" s="1" t="s">
        <v>111</v>
      </c>
      <c r="AB149" s="1" t="s">
        <v>111</v>
      </c>
      <c r="AC149" s="1" t="s">
        <v>111</v>
      </c>
      <c r="AD149" s="1" t="s">
        <v>111</v>
      </c>
      <c r="AE149" s="1" t="s">
        <v>111</v>
      </c>
      <c r="AF149" s="1" t="s">
        <v>111</v>
      </c>
      <c r="AG149" s="1" t="s">
        <v>111</v>
      </c>
      <c r="AH149" s="1" t="s">
        <v>111</v>
      </c>
      <c r="AI149" s="1">
        <v>89.590999999999994</v>
      </c>
      <c r="AJ149" s="1" t="s">
        <v>111</v>
      </c>
      <c r="AK149" s="1"/>
      <c r="AL149" s="1" t="s">
        <v>111</v>
      </c>
      <c r="AM149" s="1"/>
      <c r="AN149" s="1" t="s">
        <v>111</v>
      </c>
      <c r="AO149" s="1"/>
      <c r="AP149" s="1" t="s">
        <v>111</v>
      </c>
    </row>
    <row r="150" spans="1:42" x14ac:dyDescent="0.25">
      <c r="A150" s="1">
        <v>130</v>
      </c>
      <c r="B150" s="1" t="s">
        <v>222</v>
      </c>
      <c r="C150" s="1" t="s">
        <v>103</v>
      </c>
      <c r="D150" s="1" t="s">
        <v>123</v>
      </c>
      <c r="E150" s="1" t="s">
        <v>191</v>
      </c>
      <c r="F150" s="1" t="s">
        <v>106</v>
      </c>
      <c r="G150" s="1" t="s">
        <v>107</v>
      </c>
      <c r="H150" s="1" t="s">
        <v>108</v>
      </c>
      <c r="I150" s="1">
        <v>22.876000000000001</v>
      </c>
      <c r="J150" s="1">
        <v>22.939</v>
      </c>
      <c r="K150" s="1">
        <v>5.6000000000000001E-2</v>
      </c>
      <c r="L150" s="1"/>
      <c r="M150" s="1"/>
      <c r="N150" s="1"/>
      <c r="O150" s="1"/>
      <c r="P150" s="1"/>
      <c r="Q150" s="1"/>
      <c r="R150" s="1"/>
      <c r="S150" s="1" t="s">
        <v>109</v>
      </c>
      <c r="T150" s="1">
        <v>0.56000000000000005</v>
      </c>
      <c r="U150" s="1" t="s">
        <v>109</v>
      </c>
      <c r="V150" s="1">
        <v>3</v>
      </c>
      <c r="W150" s="1">
        <v>16</v>
      </c>
      <c r="X150" s="1" t="s">
        <v>110</v>
      </c>
      <c r="Y150" s="1"/>
      <c r="Z150" s="1">
        <v>0.98599999999999999</v>
      </c>
      <c r="AA150" s="1" t="s">
        <v>111</v>
      </c>
      <c r="AB150" s="1" t="s">
        <v>111</v>
      </c>
      <c r="AC150" s="1" t="s">
        <v>111</v>
      </c>
      <c r="AD150" s="1" t="s">
        <v>111</v>
      </c>
      <c r="AE150" s="1" t="s">
        <v>111</v>
      </c>
      <c r="AF150" s="1" t="s">
        <v>111</v>
      </c>
      <c r="AG150" s="1" t="s">
        <v>111</v>
      </c>
      <c r="AH150" s="1" t="s">
        <v>111</v>
      </c>
      <c r="AI150" s="1">
        <v>89.590999999999994</v>
      </c>
      <c r="AJ150" s="1" t="s">
        <v>111</v>
      </c>
      <c r="AK150" s="1"/>
      <c r="AL150" s="1" t="s">
        <v>111</v>
      </c>
      <c r="AM150" s="1"/>
      <c r="AN150" s="1" t="s">
        <v>111</v>
      </c>
      <c r="AO150" s="1"/>
      <c r="AP150" s="1" t="s">
        <v>111</v>
      </c>
    </row>
    <row r="151" spans="1:42" x14ac:dyDescent="0.25">
      <c r="A151" s="1">
        <v>131</v>
      </c>
      <c r="B151" s="1" t="s">
        <v>223</v>
      </c>
      <c r="C151" s="1" t="s">
        <v>103</v>
      </c>
      <c r="D151" s="1" t="s">
        <v>126</v>
      </c>
      <c r="E151" s="1" t="s">
        <v>191</v>
      </c>
      <c r="F151" s="1" t="s">
        <v>106</v>
      </c>
      <c r="G151" s="1" t="s">
        <v>107</v>
      </c>
      <c r="H151" s="1" t="s">
        <v>108</v>
      </c>
      <c r="I151" s="1">
        <v>22.734999999999999</v>
      </c>
      <c r="J151" s="1">
        <v>22.756</v>
      </c>
      <c r="K151" s="1">
        <v>7.0000000000000007E-2</v>
      </c>
      <c r="L151" s="1"/>
      <c r="M151" s="1"/>
      <c r="N151" s="1"/>
      <c r="O151" s="1"/>
      <c r="P151" s="1"/>
      <c r="Q151" s="1"/>
      <c r="R151" s="1"/>
      <c r="S151" s="1" t="s">
        <v>109</v>
      </c>
      <c r="T151" s="1">
        <v>0.56000000000000005</v>
      </c>
      <c r="U151" s="1" t="s">
        <v>109</v>
      </c>
      <c r="V151" s="1">
        <v>3</v>
      </c>
      <c r="W151" s="1">
        <v>16</v>
      </c>
      <c r="X151" s="1" t="s">
        <v>110</v>
      </c>
      <c r="Y151" s="1"/>
      <c r="Z151" s="1">
        <v>0.98799999999999999</v>
      </c>
      <c r="AA151" s="1" t="s">
        <v>111</v>
      </c>
      <c r="AB151" s="1" t="s">
        <v>111</v>
      </c>
      <c r="AC151" s="1" t="s">
        <v>111</v>
      </c>
      <c r="AD151" s="1" t="s">
        <v>111</v>
      </c>
      <c r="AE151" s="1" t="s">
        <v>111</v>
      </c>
      <c r="AF151" s="1" t="s">
        <v>111</v>
      </c>
      <c r="AG151" s="1" t="s">
        <v>111</v>
      </c>
      <c r="AH151" s="1" t="s">
        <v>111</v>
      </c>
      <c r="AI151" s="1">
        <v>89.590999999999994</v>
      </c>
      <c r="AJ151" s="1" t="s">
        <v>111</v>
      </c>
      <c r="AK151" s="1"/>
      <c r="AL151" s="1" t="s">
        <v>111</v>
      </c>
      <c r="AM151" s="1"/>
      <c r="AN151" s="1" t="s">
        <v>111</v>
      </c>
      <c r="AO151" s="1"/>
      <c r="AP151" s="1" t="s">
        <v>111</v>
      </c>
    </row>
    <row r="152" spans="1:42" x14ac:dyDescent="0.25">
      <c r="A152" s="1">
        <v>132</v>
      </c>
      <c r="B152" s="1" t="s">
        <v>224</v>
      </c>
      <c r="C152" s="1" t="s">
        <v>103</v>
      </c>
      <c r="D152" s="1" t="s">
        <v>126</v>
      </c>
      <c r="E152" s="1" t="s">
        <v>191</v>
      </c>
      <c r="F152" s="1" t="s">
        <v>106</v>
      </c>
      <c r="G152" s="1" t="s">
        <v>107</v>
      </c>
      <c r="H152" s="1" t="s">
        <v>108</v>
      </c>
      <c r="I152" s="1">
        <v>22.667000000000002</v>
      </c>
      <c r="J152" s="1">
        <v>22.756</v>
      </c>
      <c r="K152" s="1">
        <v>7.0000000000000007E-2</v>
      </c>
      <c r="L152" s="1"/>
      <c r="M152" s="1"/>
      <c r="N152" s="1"/>
      <c r="O152" s="1"/>
      <c r="P152" s="1"/>
      <c r="Q152" s="1"/>
      <c r="R152" s="1"/>
      <c r="S152" s="1" t="s">
        <v>109</v>
      </c>
      <c r="T152" s="1">
        <v>0.56000000000000005</v>
      </c>
      <c r="U152" s="1" t="s">
        <v>109</v>
      </c>
      <c r="V152" s="1">
        <v>3</v>
      </c>
      <c r="W152" s="1">
        <v>16</v>
      </c>
      <c r="X152" s="1" t="s">
        <v>110</v>
      </c>
      <c r="Y152" s="1"/>
      <c r="Z152" s="1">
        <v>0.98499999999999999</v>
      </c>
      <c r="AA152" s="1" t="s">
        <v>111</v>
      </c>
      <c r="AB152" s="1" t="s">
        <v>111</v>
      </c>
      <c r="AC152" s="1" t="s">
        <v>111</v>
      </c>
      <c r="AD152" s="1" t="s">
        <v>111</v>
      </c>
      <c r="AE152" s="1" t="s">
        <v>111</v>
      </c>
      <c r="AF152" s="1" t="s">
        <v>111</v>
      </c>
      <c r="AG152" s="1" t="s">
        <v>111</v>
      </c>
      <c r="AH152" s="1" t="s">
        <v>111</v>
      </c>
      <c r="AI152" s="1">
        <v>89.590999999999994</v>
      </c>
      <c r="AJ152" s="1" t="s">
        <v>111</v>
      </c>
      <c r="AK152" s="1"/>
      <c r="AL152" s="1" t="s">
        <v>111</v>
      </c>
      <c r="AM152" s="1"/>
      <c r="AN152" s="1" t="s">
        <v>111</v>
      </c>
      <c r="AO152" s="1"/>
      <c r="AP152" s="1" t="s">
        <v>111</v>
      </c>
    </row>
    <row r="153" spans="1:42" x14ac:dyDescent="0.25">
      <c r="A153" s="1">
        <v>137</v>
      </c>
      <c r="B153" s="1" t="s">
        <v>225</v>
      </c>
      <c r="C153" s="1" t="s">
        <v>103</v>
      </c>
      <c r="D153" s="1" t="s">
        <v>104</v>
      </c>
      <c r="E153" s="1" t="s">
        <v>204</v>
      </c>
      <c r="F153" s="1" t="s">
        <v>106</v>
      </c>
      <c r="G153" s="1" t="s">
        <v>107</v>
      </c>
      <c r="H153" s="1" t="s">
        <v>108</v>
      </c>
      <c r="I153" s="1">
        <v>31.282</v>
      </c>
      <c r="J153" s="1">
        <v>31.010999999999999</v>
      </c>
      <c r="K153" s="1">
        <v>0.54300000000000004</v>
      </c>
      <c r="L153" s="1"/>
      <c r="M153" s="1"/>
      <c r="N153" s="1"/>
      <c r="O153" s="1"/>
      <c r="P153" s="1"/>
      <c r="Q153" s="1"/>
      <c r="R153" s="1"/>
      <c r="S153" s="1" t="s">
        <v>109</v>
      </c>
      <c r="T153" s="1">
        <v>0.32100000000000001</v>
      </c>
      <c r="U153" s="1" t="s">
        <v>109</v>
      </c>
      <c r="V153" s="1">
        <v>3</v>
      </c>
      <c r="W153" s="1">
        <v>25</v>
      </c>
      <c r="X153" s="1" t="s">
        <v>110</v>
      </c>
      <c r="Y153" s="1"/>
      <c r="Z153" s="1">
        <v>0.98</v>
      </c>
      <c r="AA153" s="1" t="s">
        <v>111</v>
      </c>
      <c r="AB153" s="1" t="s">
        <v>111</v>
      </c>
      <c r="AC153" s="1" t="s">
        <v>111</v>
      </c>
      <c r="AD153" s="1" t="s">
        <v>205</v>
      </c>
      <c r="AE153" s="1" t="s">
        <v>111</v>
      </c>
      <c r="AF153" s="1" t="s">
        <v>111</v>
      </c>
      <c r="AG153" s="1" t="s">
        <v>111</v>
      </c>
      <c r="AH153" s="1" t="s">
        <v>111</v>
      </c>
      <c r="AI153" s="1">
        <v>80.39</v>
      </c>
      <c r="AJ153" s="1" t="s">
        <v>111</v>
      </c>
      <c r="AK153" s="1"/>
      <c r="AL153" s="1" t="s">
        <v>111</v>
      </c>
      <c r="AM153" s="1"/>
      <c r="AN153" s="1" t="s">
        <v>111</v>
      </c>
      <c r="AO153" s="1"/>
      <c r="AP153" s="1" t="s">
        <v>111</v>
      </c>
    </row>
    <row r="154" spans="1:42" x14ac:dyDescent="0.25">
      <c r="A154" s="1">
        <v>138</v>
      </c>
      <c r="B154" s="1" t="s">
        <v>226</v>
      </c>
      <c r="C154" s="1" t="s">
        <v>103</v>
      </c>
      <c r="D154" s="1" t="s">
        <v>104</v>
      </c>
      <c r="E154" s="1" t="s">
        <v>204</v>
      </c>
      <c r="F154" s="1" t="s">
        <v>106</v>
      </c>
      <c r="G154" s="1" t="s">
        <v>107</v>
      </c>
      <c r="H154" s="1" t="s">
        <v>108</v>
      </c>
      <c r="I154" s="1">
        <v>30.731000000000002</v>
      </c>
      <c r="J154" s="1">
        <v>31.010999999999999</v>
      </c>
      <c r="K154" s="1">
        <v>0.54300000000000004</v>
      </c>
      <c r="L154" s="1"/>
      <c r="M154" s="1"/>
      <c r="N154" s="1"/>
      <c r="O154" s="1"/>
      <c r="P154" s="1"/>
      <c r="Q154" s="1"/>
      <c r="R154" s="1"/>
      <c r="S154" s="1" t="s">
        <v>109</v>
      </c>
      <c r="T154" s="1">
        <v>0.32100000000000001</v>
      </c>
      <c r="U154" s="1" t="s">
        <v>109</v>
      </c>
      <c r="V154" s="1">
        <v>3</v>
      </c>
      <c r="W154" s="1">
        <v>25</v>
      </c>
      <c r="X154" s="1" t="s">
        <v>110</v>
      </c>
      <c r="Y154" s="1"/>
      <c r="Z154" s="1">
        <v>0.98599999999999999</v>
      </c>
      <c r="AA154" s="1" t="s">
        <v>111</v>
      </c>
      <c r="AB154" s="1" t="s">
        <v>111</v>
      </c>
      <c r="AC154" s="1" t="s">
        <v>111</v>
      </c>
      <c r="AD154" s="1" t="s">
        <v>205</v>
      </c>
      <c r="AE154" s="1" t="s">
        <v>111</v>
      </c>
      <c r="AF154" s="1" t="s">
        <v>111</v>
      </c>
      <c r="AG154" s="1" t="s">
        <v>111</v>
      </c>
      <c r="AH154" s="1" t="s">
        <v>111</v>
      </c>
      <c r="AI154" s="1">
        <v>80.39</v>
      </c>
      <c r="AJ154" s="1" t="s">
        <v>111</v>
      </c>
      <c r="AK154" s="1"/>
      <c r="AL154" s="1" t="s">
        <v>111</v>
      </c>
      <c r="AM154" s="1"/>
      <c r="AN154" s="1" t="s">
        <v>111</v>
      </c>
      <c r="AO154" s="1"/>
      <c r="AP154" s="1" t="s">
        <v>111</v>
      </c>
    </row>
    <row r="155" spans="1:42" x14ac:dyDescent="0.25">
      <c r="A155" s="1">
        <v>139</v>
      </c>
      <c r="B155" s="1" t="s">
        <v>227</v>
      </c>
      <c r="C155" s="1" t="s">
        <v>103</v>
      </c>
      <c r="D155" s="1" t="s">
        <v>114</v>
      </c>
      <c r="E155" s="1" t="s">
        <v>204</v>
      </c>
      <c r="F155" s="1" t="s">
        <v>106</v>
      </c>
      <c r="G155" s="1" t="s">
        <v>107</v>
      </c>
      <c r="H155" s="1" t="s">
        <v>108</v>
      </c>
      <c r="I155" s="1">
        <v>30.562000000000001</v>
      </c>
      <c r="J155" s="1">
        <v>30.547999999999998</v>
      </c>
      <c r="K155" s="1">
        <v>0.27800000000000002</v>
      </c>
      <c r="L155" s="1"/>
      <c r="M155" s="1"/>
      <c r="N155" s="1"/>
      <c r="O155" s="1"/>
      <c r="P155" s="1"/>
      <c r="Q155" s="1"/>
      <c r="R155" s="1"/>
      <c r="S155" s="1" t="s">
        <v>109</v>
      </c>
      <c r="T155" s="1">
        <v>0.32100000000000001</v>
      </c>
      <c r="U155" s="1" t="s">
        <v>109</v>
      </c>
      <c r="V155" s="1">
        <v>3</v>
      </c>
      <c r="W155" s="1">
        <v>24</v>
      </c>
      <c r="X155" s="1" t="s">
        <v>110</v>
      </c>
      <c r="Y155" s="1"/>
      <c r="Z155" s="1">
        <v>0.98699999999999999</v>
      </c>
      <c r="AA155" s="1" t="s">
        <v>111</v>
      </c>
      <c r="AB155" s="1" t="s">
        <v>111</v>
      </c>
      <c r="AC155" s="1" t="s">
        <v>111</v>
      </c>
      <c r="AD155" s="1" t="s">
        <v>111</v>
      </c>
      <c r="AE155" s="1" t="s">
        <v>111</v>
      </c>
      <c r="AF155" s="1" t="s">
        <v>111</v>
      </c>
      <c r="AG155" s="1" t="s">
        <v>111</v>
      </c>
      <c r="AH155" s="1" t="s">
        <v>111</v>
      </c>
      <c r="AI155" s="1">
        <v>80.39</v>
      </c>
      <c r="AJ155" s="1" t="s">
        <v>111</v>
      </c>
      <c r="AK155" s="1"/>
      <c r="AL155" s="1" t="s">
        <v>111</v>
      </c>
      <c r="AM155" s="1"/>
      <c r="AN155" s="1" t="s">
        <v>111</v>
      </c>
      <c r="AO155" s="1"/>
      <c r="AP155" s="1" t="s">
        <v>111</v>
      </c>
    </row>
    <row r="156" spans="1:42" x14ac:dyDescent="0.25">
      <c r="A156" s="1">
        <v>140</v>
      </c>
      <c r="B156" s="1" t="s">
        <v>228</v>
      </c>
      <c r="C156" s="1" t="s">
        <v>103</v>
      </c>
      <c r="D156" s="1" t="s">
        <v>114</v>
      </c>
      <c r="E156" s="1" t="s">
        <v>204</v>
      </c>
      <c r="F156" s="1" t="s">
        <v>106</v>
      </c>
      <c r="G156" s="1" t="s">
        <v>107</v>
      </c>
      <c r="H156" s="1" t="s">
        <v>108</v>
      </c>
      <c r="I156" s="1">
        <v>30.367999999999999</v>
      </c>
      <c r="J156" s="1">
        <v>30.547999999999998</v>
      </c>
      <c r="K156" s="1">
        <v>0.27800000000000002</v>
      </c>
      <c r="L156" s="1"/>
      <c r="M156" s="1"/>
      <c r="N156" s="1"/>
      <c r="O156" s="1"/>
      <c r="P156" s="1"/>
      <c r="Q156" s="1"/>
      <c r="R156" s="1"/>
      <c r="S156" s="1" t="s">
        <v>109</v>
      </c>
      <c r="T156" s="1">
        <v>0.32100000000000001</v>
      </c>
      <c r="U156" s="1" t="s">
        <v>109</v>
      </c>
      <c r="V156" s="1">
        <v>3</v>
      </c>
      <c r="W156" s="1">
        <v>24</v>
      </c>
      <c r="X156" s="1" t="s">
        <v>110</v>
      </c>
      <c r="Y156" s="1"/>
      <c r="Z156" s="1">
        <v>0.98499999999999999</v>
      </c>
      <c r="AA156" s="1" t="s">
        <v>111</v>
      </c>
      <c r="AB156" s="1" t="s">
        <v>111</v>
      </c>
      <c r="AC156" s="1" t="s">
        <v>111</v>
      </c>
      <c r="AD156" s="1" t="s">
        <v>111</v>
      </c>
      <c r="AE156" s="1" t="s">
        <v>111</v>
      </c>
      <c r="AF156" s="1" t="s">
        <v>111</v>
      </c>
      <c r="AG156" s="1" t="s">
        <v>111</v>
      </c>
      <c r="AH156" s="1" t="s">
        <v>111</v>
      </c>
      <c r="AI156" s="1">
        <v>80.39</v>
      </c>
      <c r="AJ156" s="1" t="s">
        <v>111</v>
      </c>
      <c r="AK156" s="1"/>
      <c r="AL156" s="1" t="s">
        <v>111</v>
      </c>
      <c r="AM156" s="1"/>
      <c r="AN156" s="1" t="s">
        <v>111</v>
      </c>
      <c r="AO156" s="1"/>
      <c r="AP156" s="1" t="s">
        <v>111</v>
      </c>
    </row>
    <row r="157" spans="1:42" x14ac:dyDescent="0.25">
      <c r="A157" s="1">
        <v>141</v>
      </c>
      <c r="B157" s="1" t="s">
        <v>229</v>
      </c>
      <c r="C157" s="1" t="s">
        <v>103</v>
      </c>
      <c r="D157" s="1" t="s">
        <v>117</v>
      </c>
      <c r="E157" s="1" t="s">
        <v>204</v>
      </c>
      <c r="F157" s="1" t="s">
        <v>106</v>
      </c>
      <c r="G157" s="1" t="s">
        <v>107</v>
      </c>
      <c r="H157" s="1" t="s">
        <v>108</v>
      </c>
      <c r="I157" s="1">
        <v>27.617000000000001</v>
      </c>
      <c r="J157" s="1">
        <v>27.949000000000002</v>
      </c>
      <c r="K157" s="1">
        <v>0.222</v>
      </c>
      <c r="L157" s="1"/>
      <c r="M157" s="1"/>
      <c r="N157" s="1"/>
      <c r="O157" s="1"/>
      <c r="P157" s="1"/>
      <c r="Q157" s="1"/>
      <c r="R157" s="1"/>
      <c r="S157" s="1" t="s">
        <v>109</v>
      </c>
      <c r="T157" s="1">
        <v>0.32100000000000001</v>
      </c>
      <c r="U157" s="1" t="s">
        <v>109</v>
      </c>
      <c r="V157" s="1">
        <v>3</v>
      </c>
      <c r="W157" s="1">
        <v>21</v>
      </c>
      <c r="X157" s="1" t="s">
        <v>110</v>
      </c>
      <c r="Y157" s="1"/>
      <c r="Z157" s="1">
        <v>0.98599999999999999</v>
      </c>
      <c r="AA157" s="1" t="s">
        <v>111</v>
      </c>
      <c r="AB157" s="1" t="s">
        <v>111</v>
      </c>
      <c r="AC157" s="1" t="s">
        <v>111</v>
      </c>
      <c r="AD157" s="1" t="s">
        <v>111</v>
      </c>
      <c r="AE157" s="1" t="s">
        <v>111</v>
      </c>
      <c r="AF157" s="1" t="s">
        <v>111</v>
      </c>
      <c r="AG157" s="1" t="s">
        <v>205</v>
      </c>
      <c r="AH157" s="1" t="s">
        <v>111</v>
      </c>
      <c r="AI157" s="1">
        <v>80.376999999999995</v>
      </c>
      <c r="AJ157" s="1" t="s">
        <v>111</v>
      </c>
      <c r="AK157" s="1"/>
      <c r="AL157" s="1" t="s">
        <v>111</v>
      </c>
      <c r="AM157" s="1"/>
      <c r="AN157" s="1" t="s">
        <v>111</v>
      </c>
      <c r="AO157" s="1"/>
      <c r="AP157" s="1" t="s">
        <v>111</v>
      </c>
    </row>
    <row r="158" spans="1:42" x14ac:dyDescent="0.25">
      <c r="A158" s="1">
        <v>142</v>
      </c>
      <c r="B158" s="1" t="s">
        <v>230</v>
      </c>
      <c r="C158" s="1" t="s">
        <v>103</v>
      </c>
      <c r="D158" s="1" t="s">
        <v>117</v>
      </c>
      <c r="E158" s="1" t="s">
        <v>204</v>
      </c>
      <c r="F158" s="1" t="s">
        <v>106</v>
      </c>
      <c r="G158" s="1" t="s">
        <v>107</v>
      </c>
      <c r="H158" s="1" t="s">
        <v>108</v>
      </c>
      <c r="I158" s="1">
        <v>28.042000000000002</v>
      </c>
      <c r="J158" s="1">
        <v>27.949000000000002</v>
      </c>
      <c r="K158" s="1">
        <v>0.222</v>
      </c>
      <c r="L158" s="1"/>
      <c r="M158" s="1"/>
      <c r="N158" s="1"/>
      <c r="O158" s="1"/>
      <c r="P158" s="1"/>
      <c r="Q158" s="1"/>
      <c r="R158" s="1"/>
      <c r="S158" s="1" t="s">
        <v>109</v>
      </c>
      <c r="T158" s="1">
        <v>0.32100000000000001</v>
      </c>
      <c r="U158" s="1" t="s">
        <v>109</v>
      </c>
      <c r="V158" s="1">
        <v>3</v>
      </c>
      <c r="W158" s="1">
        <v>21</v>
      </c>
      <c r="X158" s="1" t="s">
        <v>110</v>
      </c>
      <c r="Y158" s="1"/>
      <c r="Z158" s="1">
        <v>0.98399999999999999</v>
      </c>
      <c r="AA158" s="1" t="s">
        <v>111</v>
      </c>
      <c r="AB158" s="1" t="s">
        <v>111</v>
      </c>
      <c r="AC158" s="1" t="s">
        <v>111</v>
      </c>
      <c r="AD158" s="1" t="s">
        <v>111</v>
      </c>
      <c r="AE158" s="1" t="s">
        <v>111</v>
      </c>
      <c r="AF158" s="1" t="s">
        <v>111</v>
      </c>
      <c r="AG158" s="1" t="s">
        <v>111</v>
      </c>
      <c r="AH158" s="1" t="s">
        <v>111</v>
      </c>
      <c r="AI158" s="1">
        <v>80.376999999999995</v>
      </c>
      <c r="AJ158" s="1" t="s">
        <v>111</v>
      </c>
      <c r="AK158" s="1"/>
      <c r="AL158" s="1" t="s">
        <v>111</v>
      </c>
      <c r="AM158" s="1"/>
      <c r="AN158" s="1" t="s">
        <v>111</v>
      </c>
      <c r="AO158" s="1"/>
      <c r="AP158" s="1" t="s">
        <v>111</v>
      </c>
    </row>
    <row r="159" spans="1:42" x14ac:dyDescent="0.25">
      <c r="A159" s="1">
        <v>143</v>
      </c>
      <c r="B159" s="1" t="s">
        <v>231</v>
      </c>
      <c r="C159" s="1" t="s">
        <v>103</v>
      </c>
      <c r="D159" s="1" t="s">
        <v>120</v>
      </c>
      <c r="E159" s="1" t="s">
        <v>204</v>
      </c>
      <c r="F159" s="1" t="s">
        <v>106</v>
      </c>
      <c r="G159" s="1" t="s">
        <v>107</v>
      </c>
      <c r="H159" s="1" t="s">
        <v>108</v>
      </c>
      <c r="I159" s="1">
        <v>27.719000000000001</v>
      </c>
      <c r="J159" s="1">
        <v>27.763999999999999</v>
      </c>
      <c r="K159" s="1">
        <v>0.27800000000000002</v>
      </c>
      <c r="L159" s="1"/>
      <c r="M159" s="1"/>
      <c r="N159" s="1"/>
      <c r="O159" s="1"/>
      <c r="P159" s="1"/>
      <c r="Q159" s="1"/>
      <c r="R159" s="1"/>
      <c r="S159" s="1" t="s">
        <v>109</v>
      </c>
      <c r="T159" s="1">
        <v>0.32100000000000001</v>
      </c>
      <c r="U159" s="1" t="s">
        <v>109</v>
      </c>
      <c r="V159" s="1">
        <v>3</v>
      </c>
      <c r="W159" s="1">
        <v>22</v>
      </c>
      <c r="X159" s="1" t="s">
        <v>110</v>
      </c>
      <c r="Y159" s="1"/>
      <c r="Z159" s="1">
        <v>0.98899999999999999</v>
      </c>
      <c r="AA159" s="1" t="s">
        <v>111</v>
      </c>
      <c r="AB159" s="1" t="s">
        <v>111</v>
      </c>
      <c r="AC159" s="1" t="s">
        <v>111</v>
      </c>
      <c r="AD159" s="1" t="s">
        <v>111</v>
      </c>
      <c r="AE159" s="1" t="s">
        <v>111</v>
      </c>
      <c r="AF159" s="1" t="s">
        <v>111</v>
      </c>
      <c r="AG159" s="1" t="s">
        <v>111</v>
      </c>
      <c r="AH159" s="1" t="s">
        <v>111</v>
      </c>
      <c r="AI159" s="1">
        <v>80.376999999999995</v>
      </c>
      <c r="AJ159" s="1" t="s">
        <v>111</v>
      </c>
      <c r="AK159" s="1"/>
      <c r="AL159" s="1" t="s">
        <v>111</v>
      </c>
      <c r="AM159" s="1"/>
      <c r="AN159" s="1" t="s">
        <v>111</v>
      </c>
      <c r="AO159" s="1"/>
      <c r="AP159" s="1" t="s">
        <v>111</v>
      </c>
    </row>
    <row r="160" spans="1:42" x14ac:dyDescent="0.25">
      <c r="A160" s="1">
        <v>144</v>
      </c>
      <c r="B160" s="1" t="s">
        <v>232</v>
      </c>
      <c r="C160" s="1" t="s">
        <v>103</v>
      </c>
      <c r="D160" s="1" t="s">
        <v>120</v>
      </c>
      <c r="E160" s="1" t="s">
        <v>204</v>
      </c>
      <c r="F160" s="1" t="s">
        <v>106</v>
      </c>
      <c r="G160" s="1" t="s">
        <v>107</v>
      </c>
      <c r="H160" s="1" t="s">
        <v>108</v>
      </c>
      <c r="I160" s="1">
        <v>27.62</v>
      </c>
      <c r="J160" s="1">
        <v>27.763999999999999</v>
      </c>
      <c r="K160" s="1">
        <v>0.27800000000000002</v>
      </c>
      <c r="L160" s="1"/>
      <c r="M160" s="1"/>
      <c r="N160" s="1"/>
      <c r="O160" s="1"/>
      <c r="P160" s="1"/>
      <c r="Q160" s="1"/>
      <c r="R160" s="1"/>
      <c r="S160" s="1" t="s">
        <v>109</v>
      </c>
      <c r="T160" s="1">
        <v>0.32100000000000001</v>
      </c>
      <c r="U160" s="1" t="s">
        <v>109</v>
      </c>
      <c r="V160" s="1">
        <v>3</v>
      </c>
      <c r="W160" s="1">
        <v>22</v>
      </c>
      <c r="X160" s="1" t="s">
        <v>110</v>
      </c>
      <c r="Y160" s="1"/>
      <c r="Z160" s="1">
        <v>0.99</v>
      </c>
      <c r="AA160" s="1" t="s">
        <v>111</v>
      </c>
      <c r="AB160" s="1" t="s">
        <v>111</v>
      </c>
      <c r="AC160" s="1" t="s">
        <v>111</v>
      </c>
      <c r="AD160" s="1" t="s">
        <v>111</v>
      </c>
      <c r="AE160" s="1" t="s">
        <v>111</v>
      </c>
      <c r="AF160" s="1" t="s">
        <v>111</v>
      </c>
      <c r="AG160" s="1" t="s">
        <v>111</v>
      </c>
      <c r="AH160" s="1" t="s">
        <v>111</v>
      </c>
      <c r="AI160" s="1">
        <v>80.376999999999995</v>
      </c>
      <c r="AJ160" s="1" t="s">
        <v>111</v>
      </c>
      <c r="AK160" s="1"/>
      <c r="AL160" s="1" t="s">
        <v>111</v>
      </c>
      <c r="AM160" s="1"/>
      <c r="AN160" s="1" t="s">
        <v>111</v>
      </c>
      <c r="AO160" s="1"/>
      <c r="AP160" s="1" t="s">
        <v>111</v>
      </c>
    </row>
    <row r="161" spans="1:42" x14ac:dyDescent="0.25">
      <c r="A161" s="1">
        <v>145</v>
      </c>
      <c r="B161" s="1" t="s">
        <v>233</v>
      </c>
      <c r="C161" s="1" t="s">
        <v>103</v>
      </c>
      <c r="D161" s="1" t="s">
        <v>104</v>
      </c>
      <c r="E161" s="1" t="s">
        <v>234</v>
      </c>
      <c r="F161" s="1" t="s">
        <v>106</v>
      </c>
      <c r="G161" s="1" t="s">
        <v>107</v>
      </c>
      <c r="H161" s="1" t="s">
        <v>108</v>
      </c>
      <c r="I161" s="1" t="s">
        <v>235</v>
      </c>
      <c r="J161" s="1"/>
      <c r="K161" s="1"/>
      <c r="L161" s="1"/>
      <c r="M161" s="1"/>
      <c r="N161" s="1"/>
      <c r="O161" s="1"/>
      <c r="P161" s="1"/>
      <c r="Q161" s="1"/>
      <c r="R161" s="1"/>
      <c r="S161" s="1" t="s">
        <v>109</v>
      </c>
      <c r="T161" s="1">
        <v>0.20300000000000001</v>
      </c>
      <c r="U161" s="1" t="s">
        <v>109</v>
      </c>
      <c r="V161" s="1">
        <v>3</v>
      </c>
      <c r="W161" s="1">
        <v>39</v>
      </c>
      <c r="X161" s="1" t="s">
        <v>236</v>
      </c>
      <c r="Y161" s="1"/>
      <c r="Z161" s="1">
        <v>0</v>
      </c>
      <c r="AA161" s="1" t="s">
        <v>205</v>
      </c>
      <c r="AB161" s="1" t="s">
        <v>111</v>
      </c>
      <c r="AC161" s="1" t="s">
        <v>205</v>
      </c>
      <c r="AD161" s="1" t="s">
        <v>111</v>
      </c>
      <c r="AE161" s="1" t="s">
        <v>111</v>
      </c>
      <c r="AF161" s="1" t="s">
        <v>111</v>
      </c>
      <c r="AG161" s="1" t="s">
        <v>111</v>
      </c>
      <c r="AH161" s="1" t="s">
        <v>111</v>
      </c>
      <c r="AI161" s="1">
        <v>60</v>
      </c>
      <c r="AJ161" s="1" t="s">
        <v>111</v>
      </c>
      <c r="AK161" s="1"/>
      <c r="AL161" s="1" t="s">
        <v>205</v>
      </c>
      <c r="AM161" s="1"/>
      <c r="AN161" s="1" t="s">
        <v>111</v>
      </c>
      <c r="AO161" s="1"/>
      <c r="AP161" s="1" t="s">
        <v>111</v>
      </c>
    </row>
    <row r="162" spans="1:42" x14ac:dyDescent="0.25">
      <c r="A162" s="1">
        <v>146</v>
      </c>
      <c r="B162" s="1" t="s">
        <v>237</v>
      </c>
      <c r="C162" s="1" t="s">
        <v>103</v>
      </c>
      <c r="D162" s="1" t="s">
        <v>104</v>
      </c>
      <c r="E162" s="1" t="s">
        <v>234</v>
      </c>
      <c r="F162" s="1" t="s">
        <v>106</v>
      </c>
      <c r="G162" s="1" t="s">
        <v>107</v>
      </c>
      <c r="H162" s="1" t="s">
        <v>108</v>
      </c>
      <c r="I162" s="1" t="s">
        <v>235</v>
      </c>
      <c r="J162" s="1"/>
      <c r="K162" s="1"/>
      <c r="L162" s="1"/>
      <c r="M162" s="1"/>
      <c r="N162" s="1"/>
      <c r="O162" s="1"/>
      <c r="P162" s="1"/>
      <c r="Q162" s="1"/>
      <c r="R162" s="1"/>
      <c r="S162" s="1" t="s">
        <v>109</v>
      </c>
      <c r="T162" s="1">
        <v>0.20300000000000001</v>
      </c>
      <c r="U162" s="1" t="s">
        <v>109</v>
      </c>
      <c r="V162" s="1">
        <v>3</v>
      </c>
      <c r="W162" s="1">
        <v>39</v>
      </c>
      <c r="X162" s="1" t="s">
        <v>236</v>
      </c>
      <c r="Y162" s="1"/>
      <c r="Z162" s="1">
        <v>0</v>
      </c>
      <c r="AA162" s="1" t="s">
        <v>205</v>
      </c>
      <c r="AB162" s="1" t="s">
        <v>111</v>
      </c>
      <c r="AC162" s="1" t="s">
        <v>205</v>
      </c>
      <c r="AD162" s="1" t="s">
        <v>111</v>
      </c>
      <c r="AE162" s="1" t="s">
        <v>111</v>
      </c>
      <c r="AF162" s="1" t="s">
        <v>111</v>
      </c>
      <c r="AG162" s="1" t="s">
        <v>111</v>
      </c>
      <c r="AH162" s="1" t="s">
        <v>111</v>
      </c>
      <c r="AI162" s="1">
        <v>60</v>
      </c>
      <c r="AJ162" s="1" t="s">
        <v>111</v>
      </c>
      <c r="AK162" s="1"/>
      <c r="AL162" s="1" t="s">
        <v>205</v>
      </c>
      <c r="AM162" s="1"/>
      <c r="AN162" s="1" t="s">
        <v>111</v>
      </c>
      <c r="AO162" s="1"/>
      <c r="AP162" s="1" t="s">
        <v>111</v>
      </c>
    </row>
    <row r="163" spans="1:42" x14ac:dyDescent="0.25">
      <c r="A163" s="1">
        <v>147</v>
      </c>
      <c r="B163" s="1" t="s">
        <v>238</v>
      </c>
      <c r="C163" s="1" t="s">
        <v>103</v>
      </c>
      <c r="D163" s="1" t="s">
        <v>114</v>
      </c>
      <c r="E163" s="1" t="s">
        <v>234</v>
      </c>
      <c r="F163" s="1" t="s">
        <v>106</v>
      </c>
      <c r="G163" s="1" t="s">
        <v>107</v>
      </c>
      <c r="H163" s="1" t="s">
        <v>108</v>
      </c>
      <c r="I163" s="1" t="s">
        <v>235</v>
      </c>
      <c r="J163" s="1"/>
      <c r="K163" s="1"/>
      <c r="L163" s="1"/>
      <c r="M163" s="1"/>
      <c r="N163" s="1"/>
      <c r="O163" s="1"/>
      <c r="P163" s="1"/>
      <c r="Q163" s="1"/>
      <c r="R163" s="1"/>
      <c r="S163" s="1" t="s">
        <v>109</v>
      </c>
      <c r="T163" s="1">
        <v>0.20300000000000001</v>
      </c>
      <c r="U163" s="1" t="s">
        <v>109</v>
      </c>
      <c r="V163" s="1">
        <v>3</v>
      </c>
      <c r="W163" s="1">
        <v>39</v>
      </c>
      <c r="X163" s="1" t="s">
        <v>236</v>
      </c>
      <c r="Y163" s="1"/>
      <c r="Z163" s="1">
        <v>0</v>
      </c>
      <c r="AA163" s="1" t="s">
        <v>205</v>
      </c>
      <c r="AB163" s="1" t="s">
        <v>111</v>
      </c>
      <c r="AC163" s="1" t="s">
        <v>205</v>
      </c>
      <c r="AD163" s="1" t="s">
        <v>111</v>
      </c>
      <c r="AE163" s="1" t="s">
        <v>111</v>
      </c>
      <c r="AF163" s="1" t="s">
        <v>111</v>
      </c>
      <c r="AG163" s="1" t="s">
        <v>111</v>
      </c>
      <c r="AH163" s="1" t="s">
        <v>111</v>
      </c>
      <c r="AI163" s="1">
        <v>60</v>
      </c>
      <c r="AJ163" s="1" t="s">
        <v>111</v>
      </c>
      <c r="AK163" s="1"/>
      <c r="AL163" s="1" t="s">
        <v>205</v>
      </c>
      <c r="AM163" s="1"/>
      <c r="AN163" s="1" t="s">
        <v>111</v>
      </c>
      <c r="AO163" s="1"/>
      <c r="AP163" s="1" t="s">
        <v>111</v>
      </c>
    </row>
    <row r="164" spans="1:42" x14ac:dyDescent="0.25">
      <c r="A164" s="1">
        <v>148</v>
      </c>
      <c r="B164" s="1" t="s">
        <v>239</v>
      </c>
      <c r="C164" s="1" t="s">
        <v>103</v>
      </c>
      <c r="D164" s="1" t="s">
        <v>114</v>
      </c>
      <c r="E164" s="1" t="s">
        <v>234</v>
      </c>
      <c r="F164" s="1" t="s">
        <v>106</v>
      </c>
      <c r="G164" s="1" t="s">
        <v>107</v>
      </c>
      <c r="H164" s="1" t="s">
        <v>108</v>
      </c>
      <c r="I164" s="1" t="s">
        <v>235</v>
      </c>
      <c r="J164" s="1"/>
      <c r="K164" s="1"/>
      <c r="L164" s="1"/>
      <c r="M164" s="1"/>
      <c r="N164" s="1"/>
      <c r="O164" s="1"/>
      <c r="P164" s="1"/>
      <c r="Q164" s="1"/>
      <c r="R164" s="1"/>
      <c r="S164" s="1" t="s">
        <v>109</v>
      </c>
      <c r="T164" s="1">
        <v>0.20300000000000001</v>
      </c>
      <c r="U164" s="1" t="s">
        <v>109</v>
      </c>
      <c r="V164" s="1">
        <v>3</v>
      </c>
      <c r="W164" s="1">
        <v>39</v>
      </c>
      <c r="X164" s="1" t="s">
        <v>236</v>
      </c>
      <c r="Y164" s="1"/>
      <c r="Z164" s="1">
        <v>0</v>
      </c>
      <c r="AA164" s="1" t="s">
        <v>205</v>
      </c>
      <c r="AB164" s="1" t="s">
        <v>111</v>
      </c>
      <c r="AC164" s="1" t="s">
        <v>205</v>
      </c>
      <c r="AD164" s="1" t="s">
        <v>111</v>
      </c>
      <c r="AE164" s="1" t="s">
        <v>111</v>
      </c>
      <c r="AF164" s="1" t="s">
        <v>111</v>
      </c>
      <c r="AG164" s="1" t="s">
        <v>111</v>
      </c>
      <c r="AH164" s="1" t="s">
        <v>111</v>
      </c>
      <c r="AI164" s="1">
        <v>60</v>
      </c>
      <c r="AJ164" s="1" t="s">
        <v>111</v>
      </c>
      <c r="AK164" s="1"/>
      <c r="AL164" s="1" t="s">
        <v>205</v>
      </c>
      <c r="AM164" s="1"/>
      <c r="AN164" s="1" t="s">
        <v>111</v>
      </c>
      <c r="AO164" s="1"/>
      <c r="AP164" s="1" t="s">
        <v>111</v>
      </c>
    </row>
    <row r="165" spans="1:42" x14ac:dyDescent="0.25">
      <c r="A165" s="1">
        <v>149</v>
      </c>
      <c r="B165" s="1" t="s">
        <v>240</v>
      </c>
      <c r="C165" s="1" t="s">
        <v>103</v>
      </c>
      <c r="D165" s="1" t="s">
        <v>117</v>
      </c>
      <c r="E165" s="1" t="s">
        <v>234</v>
      </c>
      <c r="F165" s="1" t="s">
        <v>106</v>
      </c>
      <c r="G165" s="1" t="s">
        <v>107</v>
      </c>
      <c r="H165" s="1" t="s">
        <v>108</v>
      </c>
      <c r="I165" s="1">
        <v>32.381999999999998</v>
      </c>
      <c r="J165" s="1">
        <v>32.92</v>
      </c>
      <c r="K165" s="1">
        <v>0.95899999999999996</v>
      </c>
      <c r="L165" s="1"/>
      <c r="M165" s="1"/>
      <c r="N165" s="1"/>
      <c r="O165" s="1"/>
      <c r="P165" s="1"/>
      <c r="Q165" s="1"/>
      <c r="R165" s="1"/>
      <c r="S165" s="1" t="s">
        <v>109</v>
      </c>
      <c r="T165" s="1">
        <v>0.20300000000000001</v>
      </c>
      <c r="U165" s="1" t="s">
        <v>109</v>
      </c>
      <c r="V165" s="1">
        <v>3</v>
      </c>
      <c r="W165" s="1">
        <v>27</v>
      </c>
      <c r="X165" s="1" t="s">
        <v>110</v>
      </c>
      <c r="Y165" s="1"/>
      <c r="Z165" s="1">
        <v>0.98499999999999999</v>
      </c>
      <c r="AA165" s="1" t="s">
        <v>111</v>
      </c>
      <c r="AB165" s="1" t="s">
        <v>111</v>
      </c>
      <c r="AC165" s="1" t="s">
        <v>111</v>
      </c>
      <c r="AD165" s="1" t="s">
        <v>205</v>
      </c>
      <c r="AE165" s="1" t="s">
        <v>111</v>
      </c>
      <c r="AF165" s="1" t="s">
        <v>111</v>
      </c>
      <c r="AG165" s="1" t="s">
        <v>111</v>
      </c>
      <c r="AH165" s="1" t="s">
        <v>205</v>
      </c>
      <c r="AI165" s="1">
        <v>88.563000000000002</v>
      </c>
      <c r="AJ165" s="1" t="s">
        <v>111</v>
      </c>
      <c r="AK165" s="1">
        <v>84.256</v>
      </c>
      <c r="AL165" s="1" t="s">
        <v>111</v>
      </c>
      <c r="AM165" s="1"/>
      <c r="AN165" s="1" t="s">
        <v>111</v>
      </c>
      <c r="AO165" s="1"/>
      <c r="AP165" s="1" t="s">
        <v>111</v>
      </c>
    </row>
    <row r="166" spans="1:42" x14ac:dyDescent="0.25">
      <c r="A166" s="1">
        <v>150</v>
      </c>
      <c r="B166" s="1" t="s">
        <v>241</v>
      </c>
      <c r="C166" s="1" t="s">
        <v>103</v>
      </c>
      <c r="D166" s="1" t="s">
        <v>117</v>
      </c>
      <c r="E166" s="1" t="s">
        <v>234</v>
      </c>
      <c r="F166" s="1" t="s">
        <v>106</v>
      </c>
      <c r="G166" s="1" t="s">
        <v>107</v>
      </c>
      <c r="H166" s="1" t="s">
        <v>108</v>
      </c>
      <c r="I166" s="1">
        <v>31.878</v>
      </c>
      <c r="J166" s="1">
        <v>32.92</v>
      </c>
      <c r="K166" s="1">
        <v>0.95899999999999996</v>
      </c>
      <c r="L166" s="1"/>
      <c r="M166" s="1"/>
      <c r="N166" s="1"/>
      <c r="O166" s="1"/>
      <c r="P166" s="1"/>
      <c r="Q166" s="1"/>
      <c r="R166" s="1"/>
      <c r="S166" s="1" t="s">
        <v>109</v>
      </c>
      <c r="T166" s="1">
        <v>0.20300000000000001</v>
      </c>
      <c r="U166" s="1" t="s">
        <v>109</v>
      </c>
      <c r="V166" s="1">
        <v>3</v>
      </c>
      <c r="W166" s="1">
        <v>26</v>
      </c>
      <c r="X166" s="1" t="s">
        <v>110</v>
      </c>
      <c r="Y166" s="1"/>
      <c r="Z166" s="1">
        <v>0.98599999999999999</v>
      </c>
      <c r="AA166" s="1" t="s">
        <v>111</v>
      </c>
      <c r="AB166" s="1" t="s">
        <v>111</v>
      </c>
      <c r="AC166" s="1" t="s">
        <v>111</v>
      </c>
      <c r="AD166" s="1" t="s">
        <v>205</v>
      </c>
      <c r="AE166" s="1" t="s">
        <v>111</v>
      </c>
      <c r="AF166" s="1" t="s">
        <v>111</v>
      </c>
      <c r="AG166" s="1" t="s">
        <v>111</v>
      </c>
      <c r="AH166" s="1" t="s">
        <v>205</v>
      </c>
      <c r="AI166" s="1">
        <v>88.563000000000002</v>
      </c>
      <c r="AJ166" s="1" t="s">
        <v>111</v>
      </c>
      <c r="AK166" s="1">
        <v>84.483000000000004</v>
      </c>
      <c r="AL166" s="1" t="s">
        <v>111</v>
      </c>
      <c r="AM166" s="1"/>
      <c r="AN166" s="1" t="s">
        <v>111</v>
      </c>
      <c r="AO166" s="1"/>
      <c r="AP166" s="1" t="s">
        <v>111</v>
      </c>
    </row>
    <row r="167" spans="1:42" x14ac:dyDescent="0.25">
      <c r="A167" s="1">
        <v>151</v>
      </c>
      <c r="B167" s="1" t="s">
        <v>242</v>
      </c>
      <c r="C167" s="1" t="s">
        <v>103</v>
      </c>
      <c r="D167" s="1" t="s">
        <v>120</v>
      </c>
      <c r="E167" s="1" t="s">
        <v>234</v>
      </c>
      <c r="F167" s="1" t="s">
        <v>106</v>
      </c>
      <c r="G167" s="1" t="s">
        <v>107</v>
      </c>
      <c r="H167" s="1" t="s">
        <v>108</v>
      </c>
      <c r="I167" s="1">
        <v>32.207999999999998</v>
      </c>
      <c r="J167" s="1">
        <v>32.165999999999997</v>
      </c>
      <c r="K167" s="1">
        <v>0.72699999999999998</v>
      </c>
      <c r="L167" s="1"/>
      <c r="M167" s="1"/>
      <c r="N167" s="1"/>
      <c r="O167" s="1"/>
      <c r="P167" s="1"/>
      <c r="Q167" s="1"/>
      <c r="R167" s="1"/>
      <c r="S167" s="1" t="s">
        <v>109</v>
      </c>
      <c r="T167" s="1">
        <v>0.20300000000000001</v>
      </c>
      <c r="U167" s="1" t="s">
        <v>109</v>
      </c>
      <c r="V167" s="1">
        <v>3</v>
      </c>
      <c r="W167" s="1">
        <v>26</v>
      </c>
      <c r="X167" s="1" t="s">
        <v>110</v>
      </c>
      <c r="Y167" s="1"/>
      <c r="Z167" s="1">
        <v>0.98699999999999999</v>
      </c>
      <c r="AA167" s="1" t="s">
        <v>111</v>
      </c>
      <c r="AB167" s="1" t="s">
        <v>111</v>
      </c>
      <c r="AC167" s="1" t="s">
        <v>111</v>
      </c>
      <c r="AD167" s="1" t="s">
        <v>205</v>
      </c>
      <c r="AE167" s="1" t="s">
        <v>111</v>
      </c>
      <c r="AF167" s="1" t="s">
        <v>111</v>
      </c>
      <c r="AG167" s="1" t="s">
        <v>111</v>
      </c>
      <c r="AH167" s="1" t="s">
        <v>205</v>
      </c>
      <c r="AI167" s="1">
        <v>88.563000000000002</v>
      </c>
      <c r="AJ167" s="1" t="s">
        <v>111</v>
      </c>
      <c r="AK167" s="1">
        <v>84.369</v>
      </c>
      <c r="AL167" s="1" t="s">
        <v>111</v>
      </c>
      <c r="AM167" s="1"/>
      <c r="AN167" s="1" t="s">
        <v>111</v>
      </c>
      <c r="AO167" s="1"/>
      <c r="AP167" s="1" t="s">
        <v>111</v>
      </c>
    </row>
    <row r="168" spans="1:42" x14ac:dyDescent="0.25">
      <c r="A168" s="1">
        <v>152</v>
      </c>
      <c r="B168" s="1" t="s">
        <v>243</v>
      </c>
      <c r="C168" s="1" t="s">
        <v>103</v>
      </c>
      <c r="D168" s="1" t="s">
        <v>120</v>
      </c>
      <c r="E168" s="1" t="s">
        <v>234</v>
      </c>
      <c r="F168" s="1" t="s">
        <v>106</v>
      </c>
      <c r="G168" s="1" t="s">
        <v>107</v>
      </c>
      <c r="H168" s="1" t="s">
        <v>108</v>
      </c>
      <c r="I168" s="1">
        <v>32.965000000000003</v>
      </c>
      <c r="J168" s="1">
        <v>32.165999999999997</v>
      </c>
      <c r="K168" s="1">
        <v>0.72699999999999998</v>
      </c>
      <c r="L168" s="1"/>
      <c r="M168" s="1"/>
      <c r="N168" s="1"/>
      <c r="O168" s="1"/>
      <c r="P168" s="1"/>
      <c r="Q168" s="1"/>
      <c r="R168" s="1"/>
      <c r="S168" s="1" t="s">
        <v>109</v>
      </c>
      <c r="T168" s="1">
        <v>0.20300000000000001</v>
      </c>
      <c r="U168" s="1" t="s">
        <v>109</v>
      </c>
      <c r="V168" s="1">
        <v>3</v>
      </c>
      <c r="W168" s="1">
        <v>28</v>
      </c>
      <c r="X168" s="1" t="s">
        <v>110</v>
      </c>
      <c r="Y168" s="1"/>
      <c r="Z168" s="1">
        <v>0.98899999999999999</v>
      </c>
      <c r="AA168" s="1" t="s">
        <v>111</v>
      </c>
      <c r="AB168" s="1" t="s">
        <v>111</v>
      </c>
      <c r="AC168" s="1" t="s">
        <v>111</v>
      </c>
      <c r="AD168" s="1" t="s">
        <v>205</v>
      </c>
      <c r="AE168" s="1" t="s">
        <v>111</v>
      </c>
      <c r="AF168" s="1" t="s">
        <v>111</v>
      </c>
      <c r="AG168" s="1" t="s">
        <v>111</v>
      </c>
      <c r="AH168" s="1" t="s">
        <v>205</v>
      </c>
      <c r="AI168" s="1">
        <v>88.563000000000002</v>
      </c>
      <c r="AJ168" s="1" t="s">
        <v>111</v>
      </c>
      <c r="AK168" s="1">
        <v>65.100999999999999</v>
      </c>
      <c r="AL168" s="1" t="s">
        <v>111</v>
      </c>
      <c r="AM168" s="1">
        <v>84.483000000000004</v>
      </c>
      <c r="AN168" s="1" t="s">
        <v>111</v>
      </c>
      <c r="AO168" s="1"/>
      <c r="AP168" s="1" t="s">
        <v>111</v>
      </c>
    </row>
    <row r="169" spans="1:42" x14ac:dyDescent="0.25">
      <c r="A169" s="1">
        <v>153</v>
      </c>
      <c r="B169" s="1" t="s">
        <v>244</v>
      </c>
      <c r="C169" s="1" t="s">
        <v>103</v>
      </c>
      <c r="D169" s="1" t="s">
        <v>123</v>
      </c>
      <c r="E169" s="1" t="s">
        <v>234</v>
      </c>
      <c r="F169" s="1" t="s">
        <v>106</v>
      </c>
      <c r="G169" s="1" t="s">
        <v>107</v>
      </c>
      <c r="H169" s="1" t="s">
        <v>108</v>
      </c>
      <c r="I169" s="1">
        <v>30.741</v>
      </c>
      <c r="J169" s="1">
        <v>31.085000000000001</v>
      </c>
      <c r="K169" s="1">
        <v>0.36599999999999999</v>
      </c>
      <c r="L169" s="1"/>
      <c r="M169" s="1"/>
      <c r="N169" s="1"/>
      <c r="O169" s="1"/>
      <c r="P169" s="1"/>
      <c r="Q169" s="1"/>
      <c r="R169" s="1"/>
      <c r="S169" s="1" t="s">
        <v>109</v>
      </c>
      <c r="T169" s="1">
        <v>0.20300000000000001</v>
      </c>
      <c r="U169" s="1" t="s">
        <v>109</v>
      </c>
      <c r="V169" s="1">
        <v>3</v>
      </c>
      <c r="W169" s="1">
        <v>25</v>
      </c>
      <c r="X169" s="1" t="s">
        <v>110</v>
      </c>
      <c r="Y169" s="1"/>
      <c r="Z169" s="1">
        <v>0.99</v>
      </c>
      <c r="AA169" s="1" t="s">
        <v>111</v>
      </c>
      <c r="AB169" s="1" t="s">
        <v>111</v>
      </c>
      <c r="AC169" s="1" t="s">
        <v>111</v>
      </c>
      <c r="AD169" s="1" t="s">
        <v>111</v>
      </c>
      <c r="AE169" s="1" t="s">
        <v>111</v>
      </c>
      <c r="AF169" s="1" t="s">
        <v>111</v>
      </c>
      <c r="AG169" s="1" t="s">
        <v>111</v>
      </c>
      <c r="AH169" s="1" t="s">
        <v>111</v>
      </c>
      <c r="AI169" s="1">
        <v>88.680999999999997</v>
      </c>
      <c r="AJ169" s="1" t="s">
        <v>111</v>
      </c>
      <c r="AK169" s="1"/>
      <c r="AL169" s="1" t="s">
        <v>111</v>
      </c>
      <c r="AM169" s="1"/>
      <c r="AN169" s="1" t="s">
        <v>111</v>
      </c>
      <c r="AO169" s="1"/>
      <c r="AP169" s="1" t="s">
        <v>111</v>
      </c>
    </row>
    <row r="170" spans="1:42" x14ac:dyDescent="0.25">
      <c r="A170" s="1">
        <v>154</v>
      </c>
      <c r="B170" s="1" t="s">
        <v>245</v>
      </c>
      <c r="C170" s="1" t="s">
        <v>103</v>
      </c>
      <c r="D170" s="1" t="s">
        <v>123</v>
      </c>
      <c r="E170" s="1" t="s">
        <v>234</v>
      </c>
      <c r="F170" s="1" t="s">
        <v>106</v>
      </c>
      <c r="G170" s="1" t="s">
        <v>107</v>
      </c>
      <c r="H170" s="1" t="s">
        <v>108</v>
      </c>
      <c r="I170" s="1">
        <v>30.847999999999999</v>
      </c>
      <c r="J170" s="1">
        <v>31.085000000000001</v>
      </c>
      <c r="K170" s="1">
        <v>0.36599999999999999</v>
      </c>
      <c r="L170" s="1"/>
      <c r="M170" s="1"/>
      <c r="N170" s="1"/>
      <c r="O170" s="1"/>
      <c r="P170" s="1"/>
      <c r="Q170" s="1"/>
      <c r="R170" s="1"/>
      <c r="S170" s="1" t="s">
        <v>109</v>
      </c>
      <c r="T170" s="1">
        <v>0.20300000000000001</v>
      </c>
      <c r="U170" s="1" t="s">
        <v>109</v>
      </c>
      <c r="V170" s="1">
        <v>3</v>
      </c>
      <c r="W170" s="1">
        <v>26</v>
      </c>
      <c r="X170" s="1" t="s">
        <v>110</v>
      </c>
      <c r="Y170" s="1"/>
      <c r="Z170" s="1">
        <v>0.98899999999999999</v>
      </c>
      <c r="AA170" s="1" t="s">
        <v>111</v>
      </c>
      <c r="AB170" s="1" t="s">
        <v>111</v>
      </c>
      <c r="AC170" s="1" t="s">
        <v>111</v>
      </c>
      <c r="AD170" s="1" t="s">
        <v>111</v>
      </c>
      <c r="AE170" s="1" t="s">
        <v>111</v>
      </c>
      <c r="AF170" s="1" t="s">
        <v>111</v>
      </c>
      <c r="AG170" s="1" t="s">
        <v>111</v>
      </c>
      <c r="AH170" s="1" t="s">
        <v>205</v>
      </c>
      <c r="AI170" s="1">
        <v>88.680999999999997</v>
      </c>
      <c r="AJ170" s="1" t="s">
        <v>111</v>
      </c>
      <c r="AK170" s="1">
        <v>84.584000000000003</v>
      </c>
      <c r="AL170" s="1" t="s">
        <v>111</v>
      </c>
      <c r="AM170" s="1"/>
      <c r="AN170" s="1" t="s">
        <v>111</v>
      </c>
      <c r="AO170" s="1"/>
      <c r="AP170" s="1" t="s">
        <v>111</v>
      </c>
    </row>
    <row r="171" spans="1:42" x14ac:dyDescent="0.25">
      <c r="A171" s="1">
        <v>155</v>
      </c>
      <c r="B171" s="1" t="s">
        <v>246</v>
      </c>
      <c r="C171" s="1" t="s">
        <v>103</v>
      </c>
      <c r="D171" s="1" t="s">
        <v>126</v>
      </c>
      <c r="E171" s="1" t="s">
        <v>234</v>
      </c>
      <c r="F171" s="1" t="s">
        <v>106</v>
      </c>
      <c r="G171" s="1" t="s">
        <v>107</v>
      </c>
      <c r="H171" s="1" t="s">
        <v>108</v>
      </c>
      <c r="I171" s="1">
        <v>30.803000000000001</v>
      </c>
      <c r="J171" s="1">
        <v>31.773</v>
      </c>
      <c r="K171" s="1">
        <v>0.86199999999999999</v>
      </c>
      <c r="L171" s="1"/>
      <c r="M171" s="1"/>
      <c r="N171" s="1"/>
      <c r="O171" s="1"/>
      <c r="P171" s="1"/>
      <c r="Q171" s="1"/>
      <c r="R171" s="1"/>
      <c r="S171" s="1" t="s">
        <v>109</v>
      </c>
      <c r="T171" s="1">
        <v>0.20300000000000001</v>
      </c>
      <c r="U171" s="1" t="s">
        <v>109</v>
      </c>
      <c r="V171" s="1">
        <v>3</v>
      </c>
      <c r="W171" s="1">
        <v>26</v>
      </c>
      <c r="X171" s="1" t="s">
        <v>110</v>
      </c>
      <c r="Y171" s="1"/>
      <c r="Z171" s="1">
        <v>0.99199999999999999</v>
      </c>
      <c r="AA171" s="1" t="s">
        <v>111</v>
      </c>
      <c r="AB171" s="1" t="s">
        <v>111</v>
      </c>
      <c r="AC171" s="1" t="s">
        <v>111</v>
      </c>
      <c r="AD171" s="1" t="s">
        <v>205</v>
      </c>
      <c r="AE171" s="1" t="s">
        <v>111</v>
      </c>
      <c r="AF171" s="1" t="s">
        <v>111</v>
      </c>
      <c r="AG171" s="1" t="s">
        <v>111</v>
      </c>
      <c r="AH171" s="1" t="s">
        <v>111</v>
      </c>
      <c r="AI171" s="1">
        <v>88.680999999999997</v>
      </c>
      <c r="AJ171" s="1" t="s">
        <v>111</v>
      </c>
      <c r="AK171" s="1"/>
      <c r="AL171" s="1" t="s">
        <v>111</v>
      </c>
      <c r="AM171" s="1"/>
      <c r="AN171" s="1" t="s">
        <v>111</v>
      </c>
      <c r="AO171" s="1"/>
      <c r="AP171" s="1" t="s">
        <v>111</v>
      </c>
    </row>
    <row r="172" spans="1:42" x14ac:dyDescent="0.25">
      <c r="A172" s="1">
        <v>156</v>
      </c>
      <c r="B172" s="1" t="s">
        <v>247</v>
      </c>
      <c r="C172" s="1" t="s">
        <v>103</v>
      </c>
      <c r="D172" s="1" t="s">
        <v>126</v>
      </c>
      <c r="E172" s="1" t="s">
        <v>234</v>
      </c>
      <c r="F172" s="1" t="s">
        <v>106</v>
      </c>
      <c r="G172" s="1" t="s">
        <v>107</v>
      </c>
      <c r="H172" s="1" t="s">
        <v>108</v>
      </c>
      <c r="I172" s="1">
        <v>32.86</v>
      </c>
      <c r="J172" s="1">
        <v>31.773</v>
      </c>
      <c r="K172" s="1">
        <v>0.86199999999999999</v>
      </c>
      <c r="L172" s="1"/>
      <c r="M172" s="1"/>
      <c r="N172" s="1"/>
      <c r="O172" s="1"/>
      <c r="P172" s="1"/>
      <c r="Q172" s="1"/>
      <c r="R172" s="1"/>
      <c r="S172" s="1" t="s">
        <v>109</v>
      </c>
      <c r="T172" s="1">
        <v>0.20300000000000001</v>
      </c>
      <c r="U172" s="1" t="s">
        <v>109</v>
      </c>
      <c r="V172" s="1">
        <v>3</v>
      </c>
      <c r="W172" s="1">
        <v>27</v>
      </c>
      <c r="X172" s="1" t="s">
        <v>110</v>
      </c>
      <c r="Y172" s="1"/>
      <c r="Z172" s="1">
        <v>0.99</v>
      </c>
      <c r="AA172" s="1" t="s">
        <v>111</v>
      </c>
      <c r="AB172" s="1" t="s">
        <v>111</v>
      </c>
      <c r="AC172" s="1" t="s">
        <v>111</v>
      </c>
      <c r="AD172" s="1" t="s">
        <v>205</v>
      </c>
      <c r="AE172" s="1" t="s">
        <v>111</v>
      </c>
      <c r="AF172" s="1" t="s">
        <v>111</v>
      </c>
      <c r="AG172" s="1" t="s">
        <v>111</v>
      </c>
      <c r="AH172" s="1" t="s">
        <v>205</v>
      </c>
      <c r="AI172" s="1">
        <v>88.566999999999993</v>
      </c>
      <c r="AJ172" s="1" t="s">
        <v>111</v>
      </c>
      <c r="AK172" s="1">
        <v>84.355999999999995</v>
      </c>
      <c r="AL172" s="1" t="s">
        <v>111</v>
      </c>
      <c r="AM172" s="1"/>
      <c r="AN172" s="1" t="s">
        <v>111</v>
      </c>
      <c r="AO172" s="1"/>
      <c r="AP172" s="1" t="s">
        <v>111</v>
      </c>
    </row>
    <row r="173" spans="1:42" x14ac:dyDescent="0.25">
      <c r="A173" s="1">
        <v>161</v>
      </c>
      <c r="B173" s="1" t="s">
        <v>248</v>
      </c>
      <c r="C173" s="1" t="s">
        <v>103</v>
      </c>
      <c r="D173" s="1" t="s">
        <v>123</v>
      </c>
      <c r="E173" s="1" t="s">
        <v>204</v>
      </c>
      <c r="F173" s="1" t="s">
        <v>106</v>
      </c>
      <c r="G173" s="1" t="s">
        <v>107</v>
      </c>
      <c r="H173" s="1" t="s">
        <v>108</v>
      </c>
      <c r="I173" s="1">
        <v>27.856999999999999</v>
      </c>
      <c r="J173" s="1">
        <v>27.902999999999999</v>
      </c>
      <c r="K173" s="1">
        <v>6.3E-2</v>
      </c>
      <c r="L173" s="1"/>
      <c r="M173" s="1"/>
      <c r="N173" s="1"/>
      <c r="O173" s="1"/>
      <c r="P173" s="1"/>
      <c r="Q173" s="1"/>
      <c r="R173" s="1"/>
      <c r="S173" s="1" t="s">
        <v>109</v>
      </c>
      <c r="T173" s="1">
        <v>0.32100000000000001</v>
      </c>
      <c r="U173" s="1" t="s">
        <v>109</v>
      </c>
      <c r="V173" s="1">
        <v>3</v>
      </c>
      <c r="W173" s="1">
        <v>22</v>
      </c>
      <c r="X173" s="1" t="s">
        <v>110</v>
      </c>
      <c r="Y173" s="1"/>
      <c r="Z173" s="1">
        <v>0.98599999999999999</v>
      </c>
      <c r="AA173" s="1" t="s">
        <v>111</v>
      </c>
      <c r="AB173" s="1" t="s">
        <v>111</v>
      </c>
      <c r="AC173" s="1" t="s">
        <v>111</v>
      </c>
      <c r="AD173" s="1" t="s">
        <v>111</v>
      </c>
      <c r="AE173" s="1" t="s">
        <v>111</v>
      </c>
      <c r="AF173" s="1" t="s">
        <v>111</v>
      </c>
      <c r="AG173" s="1" t="s">
        <v>111</v>
      </c>
      <c r="AH173" s="1" t="s">
        <v>111</v>
      </c>
      <c r="AI173" s="1">
        <v>80.39</v>
      </c>
      <c r="AJ173" s="1" t="s">
        <v>111</v>
      </c>
      <c r="AK173" s="1"/>
      <c r="AL173" s="1" t="s">
        <v>111</v>
      </c>
      <c r="AM173" s="1"/>
      <c r="AN173" s="1" t="s">
        <v>111</v>
      </c>
      <c r="AO173" s="1"/>
      <c r="AP173" s="1" t="s">
        <v>111</v>
      </c>
    </row>
    <row r="174" spans="1:42" x14ac:dyDescent="0.25">
      <c r="A174" s="1">
        <v>162</v>
      </c>
      <c r="B174" s="1" t="s">
        <v>249</v>
      </c>
      <c r="C174" s="1" t="s">
        <v>103</v>
      </c>
      <c r="D174" s="1" t="s">
        <v>123</v>
      </c>
      <c r="E174" s="1" t="s">
        <v>204</v>
      </c>
      <c r="F174" s="1" t="s">
        <v>106</v>
      </c>
      <c r="G174" s="1" t="s">
        <v>107</v>
      </c>
      <c r="H174" s="1" t="s">
        <v>108</v>
      </c>
      <c r="I174" s="1">
        <v>27.992000000000001</v>
      </c>
      <c r="J174" s="1">
        <v>27.902999999999999</v>
      </c>
      <c r="K174" s="1">
        <v>6.3E-2</v>
      </c>
      <c r="L174" s="1"/>
      <c r="M174" s="1"/>
      <c r="N174" s="1"/>
      <c r="O174" s="1"/>
      <c r="P174" s="1"/>
      <c r="Q174" s="1"/>
      <c r="R174" s="1"/>
      <c r="S174" s="1" t="s">
        <v>109</v>
      </c>
      <c r="T174" s="1">
        <v>0.32100000000000001</v>
      </c>
      <c r="U174" s="1" t="s">
        <v>109</v>
      </c>
      <c r="V174" s="1">
        <v>3</v>
      </c>
      <c r="W174" s="1">
        <v>22</v>
      </c>
      <c r="X174" s="1" t="s">
        <v>110</v>
      </c>
      <c r="Y174" s="1"/>
      <c r="Z174" s="1">
        <v>0.98399999999999999</v>
      </c>
      <c r="AA174" s="1" t="s">
        <v>111</v>
      </c>
      <c r="AB174" s="1" t="s">
        <v>111</v>
      </c>
      <c r="AC174" s="1" t="s">
        <v>111</v>
      </c>
      <c r="AD174" s="1" t="s">
        <v>111</v>
      </c>
      <c r="AE174" s="1" t="s">
        <v>111</v>
      </c>
      <c r="AF174" s="1" t="s">
        <v>111</v>
      </c>
      <c r="AG174" s="1" t="s">
        <v>111</v>
      </c>
      <c r="AH174" s="1" t="s">
        <v>111</v>
      </c>
      <c r="AI174" s="1">
        <v>80.39</v>
      </c>
      <c r="AJ174" s="1" t="s">
        <v>111</v>
      </c>
      <c r="AK174" s="1"/>
      <c r="AL174" s="1" t="s">
        <v>111</v>
      </c>
      <c r="AM174" s="1"/>
      <c r="AN174" s="1" t="s">
        <v>111</v>
      </c>
      <c r="AO174" s="1"/>
      <c r="AP174" s="1" t="s">
        <v>111</v>
      </c>
    </row>
    <row r="175" spans="1:42" x14ac:dyDescent="0.25">
      <c r="A175" s="1">
        <v>163</v>
      </c>
      <c r="B175" s="1" t="s">
        <v>250</v>
      </c>
      <c r="C175" s="1" t="s">
        <v>103</v>
      </c>
      <c r="D175" s="1" t="s">
        <v>126</v>
      </c>
      <c r="E175" s="1" t="s">
        <v>204</v>
      </c>
      <c r="F175" s="1" t="s">
        <v>106</v>
      </c>
      <c r="G175" s="1" t="s">
        <v>107</v>
      </c>
      <c r="H175" s="1" t="s">
        <v>108</v>
      </c>
      <c r="I175" s="1">
        <v>27.821000000000002</v>
      </c>
      <c r="J175" s="1">
        <v>27.701000000000001</v>
      </c>
      <c r="K175" s="1">
        <v>0.155</v>
      </c>
      <c r="L175" s="1"/>
      <c r="M175" s="1"/>
      <c r="N175" s="1"/>
      <c r="O175" s="1"/>
      <c r="P175" s="1"/>
      <c r="Q175" s="1"/>
      <c r="R175" s="1"/>
      <c r="S175" s="1" t="s">
        <v>109</v>
      </c>
      <c r="T175" s="1">
        <v>0.32100000000000001</v>
      </c>
      <c r="U175" s="1" t="s">
        <v>109</v>
      </c>
      <c r="V175" s="1">
        <v>3</v>
      </c>
      <c r="W175" s="1">
        <v>21</v>
      </c>
      <c r="X175" s="1" t="s">
        <v>110</v>
      </c>
      <c r="Y175" s="1"/>
      <c r="Z175" s="1">
        <v>0.98399999999999999</v>
      </c>
      <c r="AA175" s="1" t="s">
        <v>111</v>
      </c>
      <c r="AB175" s="1" t="s">
        <v>111</v>
      </c>
      <c r="AC175" s="1" t="s">
        <v>111</v>
      </c>
      <c r="AD175" s="1" t="s">
        <v>111</v>
      </c>
      <c r="AE175" s="1" t="s">
        <v>111</v>
      </c>
      <c r="AF175" s="1" t="s">
        <v>111</v>
      </c>
      <c r="AG175" s="1" t="s">
        <v>111</v>
      </c>
      <c r="AH175" s="1" t="s">
        <v>111</v>
      </c>
      <c r="AI175" s="1">
        <v>80.39</v>
      </c>
      <c r="AJ175" s="1" t="s">
        <v>111</v>
      </c>
      <c r="AK175" s="1"/>
      <c r="AL175" s="1" t="s">
        <v>111</v>
      </c>
      <c r="AM175" s="1"/>
      <c r="AN175" s="1" t="s">
        <v>111</v>
      </c>
      <c r="AO175" s="1"/>
      <c r="AP175" s="1" t="s">
        <v>111</v>
      </c>
    </row>
    <row r="176" spans="1:42" x14ac:dyDescent="0.25">
      <c r="A176" s="1">
        <v>164</v>
      </c>
      <c r="B176" s="1" t="s">
        <v>251</v>
      </c>
      <c r="C176" s="1" t="s">
        <v>103</v>
      </c>
      <c r="D176" s="1" t="s">
        <v>126</v>
      </c>
      <c r="E176" s="1" t="s">
        <v>204</v>
      </c>
      <c r="F176" s="1" t="s">
        <v>106</v>
      </c>
      <c r="G176" s="1" t="s">
        <v>107</v>
      </c>
      <c r="H176" s="1" t="s">
        <v>108</v>
      </c>
      <c r="I176" s="1">
        <v>27.684000000000001</v>
      </c>
      <c r="J176" s="1">
        <v>27.701000000000001</v>
      </c>
      <c r="K176" s="1">
        <v>0.155</v>
      </c>
      <c r="L176" s="1"/>
      <c r="M176" s="1"/>
      <c r="N176" s="1"/>
      <c r="O176" s="1"/>
      <c r="P176" s="1"/>
      <c r="Q176" s="1"/>
      <c r="R176" s="1"/>
      <c r="S176" s="1" t="s">
        <v>109</v>
      </c>
      <c r="T176" s="1">
        <v>0.32100000000000001</v>
      </c>
      <c r="U176" s="1" t="s">
        <v>109</v>
      </c>
      <c r="V176" s="1">
        <v>3</v>
      </c>
      <c r="W176" s="1">
        <v>22</v>
      </c>
      <c r="X176" s="1" t="s">
        <v>110</v>
      </c>
      <c r="Y176" s="1"/>
      <c r="Z176" s="1">
        <v>0.98399999999999999</v>
      </c>
      <c r="AA176" s="1" t="s">
        <v>111</v>
      </c>
      <c r="AB176" s="1" t="s">
        <v>111</v>
      </c>
      <c r="AC176" s="1" t="s">
        <v>111</v>
      </c>
      <c r="AD176" s="1" t="s">
        <v>111</v>
      </c>
      <c r="AE176" s="1" t="s">
        <v>111</v>
      </c>
      <c r="AF176" s="1" t="s">
        <v>111</v>
      </c>
      <c r="AG176" s="1" t="s">
        <v>111</v>
      </c>
      <c r="AH176" s="1" t="s">
        <v>111</v>
      </c>
      <c r="AI176" s="1">
        <v>80.39</v>
      </c>
      <c r="AJ176" s="1" t="s">
        <v>111</v>
      </c>
      <c r="AK176" s="1"/>
      <c r="AL176" s="1" t="s">
        <v>111</v>
      </c>
      <c r="AM176" s="1"/>
      <c r="AN176" s="1" t="s">
        <v>111</v>
      </c>
      <c r="AO176" s="1"/>
      <c r="AP176" s="1" t="s">
        <v>111</v>
      </c>
    </row>
    <row r="177" spans="1:42" x14ac:dyDescent="0.25">
      <c r="A177" s="1">
        <v>169</v>
      </c>
      <c r="B177" s="1" t="s">
        <v>252</v>
      </c>
      <c r="C177" s="1" t="s">
        <v>103</v>
      </c>
      <c r="D177" s="1" t="s">
        <v>104</v>
      </c>
      <c r="E177" s="1" t="s">
        <v>234</v>
      </c>
      <c r="F177" s="1" t="s">
        <v>106</v>
      </c>
      <c r="G177" s="1" t="s">
        <v>107</v>
      </c>
      <c r="H177" s="1" t="s">
        <v>108</v>
      </c>
      <c r="I177" s="1" t="s">
        <v>235</v>
      </c>
      <c r="J177" s="1"/>
      <c r="K177" s="1"/>
      <c r="L177" s="1"/>
      <c r="M177" s="1"/>
      <c r="N177" s="1"/>
      <c r="O177" s="1"/>
      <c r="P177" s="1"/>
      <c r="Q177" s="1"/>
      <c r="R177" s="1"/>
      <c r="S177" s="1" t="s">
        <v>109</v>
      </c>
      <c r="T177" s="1">
        <v>0.20300000000000001</v>
      </c>
      <c r="U177" s="1" t="s">
        <v>109</v>
      </c>
      <c r="V177" s="1">
        <v>3</v>
      </c>
      <c r="W177" s="1">
        <v>39</v>
      </c>
      <c r="X177" s="1" t="s">
        <v>236</v>
      </c>
      <c r="Y177" s="1"/>
      <c r="Z177" s="1">
        <v>0</v>
      </c>
      <c r="AA177" s="1" t="s">
        <v>205</v>
      </c>
      <c r="AB177" s="1" t="s">
        <v>111</v>
      </c>
      <c r="AC177" s="1" t="s">
        <v>205</v>
      </c>
      <c r="AD177" s="1" t="s">
        <v>111</v>
      </c>
      <c r="AE177" s="1" t="s">
        <v>111</v>
      </c>
      <c r="AF177" s="1" t="s">
        <v>111</v>
      </c>
      <c r="AG177" s="1" t="s">
        <v>111</v>
      </c>
      <c r="AH177" s="1" t="s">
        <v>111</v>
      </c>
      <c r="AI177" s="1">
        <v>60</v>
      </c>
      <c r="AJ177" s="1" t="s">
        <v>111</v>
      </c>
      <c r="AK177" s="1"/>
      <c r="AL177" s="1" t="s">
        <v>205</v>
      </c>
      <c r="AM177" s="1"/>
      <c r="AN177" s="1" t="s">
        <v>111</v>
      </c>
      <c r="AO177" s="1"/>
      <c r="AP177" s="1" t="s">
        <v>111</v>
      </c>
    </row>
    <row r="178" spans="1:42" x14ac:dyDescent="0.25">
      <c r="A178" s="1">
        <v>170</v>
      </c>
      <c r="B178" s="1" t="s">
        <v>253</v>
      </c>
      <c r="C178" s="1" t="s">
        <v>103</v>
      </c>
      <c r="D178" s="1" t="s">
        <v>104</v>
      </c>
      <c r="E178" s="1" t="s">
        <v>234</v>
      </c>
      <c r="F178" s="1" t="s">
        <v>106</v>
      </c>
      <c r="G178" s="1" t="s">
        <v>107</v>
      </c>
      <c r="H178" s="1" t="s">
        <v>108</v>
      </c>
      <c r="I178" s="1" t="s">
        <v>235</v>
      </c>
      <c r="J178" s="1"/>
      <c r="K178" s="1"/>
      <c r="L178" s="1"/>
      <c r="M178" s="1"/>
      <c r="N178" s="1"/>
      <c r="O178" s="1"/>
      <c r="P178" s="1"/>
      <c r="Q178" s="1"/>
      <c r="R178" s="1"/>
      <c r="S178" s="1" t="s">
        <v>109</v>
      </c>
      <c r="T178" s="1">
        <v>0.20300000000000001</v>
      </c>
      <c r="U178" s="1" t="s">
        <v>109</v>
      </c>
      <c r="V178" s="1">
        <v>3</v>
      </c>
      <c r="W178" s="1">
        <v>39</v>
      </c>
      <c r="X178" s="1" t="s">
        <v>236</v>
      </c>
      <c r="Y178" s="1"/>
      <c r="Z178" s="1">
        <v>0</v>
      </c>
      <c r="AA178" s="1" t="s">
        <v>205</v>
      </c>
      <c r="AB178" s="1" t="s">
        <v>111</v>
      </c>
      <c r="AC178" s="1" t="s">
        <v>205</v>
      </c>
      <c r="AD178" s="1" t="s">
        <v>111</v>
      </c>
      <c r="AE178" s="1" t="s">
        <v>111</v>
      </c>
      <c r="AF178" s="1" t="s">
        <v>111</v>
      </c>
      <c r="AG178" s="1" t="s">
        <v>111</v>
      </c>
      <c r="AH178" s="1" t="s">
        <v>111</v>
      </c>
      <c r="AI178" s="1">
        <v>60</v>
      </c>
      <c r="AJ178" s="1" t="s">
        <v>111</v>
      </c>
      <c r="AK178" s="1"/>
      <c r="AL178" s="1" t="s">
        <v>205</v>
      </c>
      <c r="AM178" s="1"/>
      <c r="AN178" s="1" t="s">
        <v>111</v>
      </c>
      <c r="AO178" s="1"/>
      <c r="AP178" s="1" t="s">
        <v>111</v>
      </c>
    </row>
    <row r="179" spans="1:42" x14ac:dyDescent="0.25">
      <c r="A179" s="1">
        <v>171</v>
      </c>
      <c r="B179" s="1" t="s">
        <v>254</v>
      </c>
      <c r="C179" s="1" t="s">
        <v>103</v>
      </c>
      <c r="D179" s="1" t="s">
        <v>114</v>
      </c>
      <c r="E179" s="1" t="s">
        <v>234</v>
      </c>
      <c r="F179" s="1" t="s">
        <v>106</v>
      </c>
      <c r="G179" s="1" t="s">
        <v>107</v>
      </c>
      <c r="H179" s="1" t="s">
        <v>108</v>
      </c>
      <c r="I179" s="1" t="s">
        <v>235</v>
      </c>
      <c r="J179" s="1"/>
      <c r="K179" s="1"/>
      <c r="L179" s="1"/>
      <c r="M179" s="1"/>
      <c r="N179" s="1"/>
      <c r="O179" s="1"/>
      <c r="P179" s="1"/>
      <c r="Q179" s="1"/>
      <c r="R179" s="1"/>
      <c r="S179" s="1" t="s">
        <v>109</v>
      </c>
      <c r="T179" s="1">
        <v>0.20300000000000001</v>
      </c>
      <c r="U179" s="1" t="s">
        <v>109</v>
      </c>
      <c r="V179" s="1">
        <v>3</v>
      </c>
      <c r="W179" s="1">
        <v>39</v>
      </c>
      <c r="X179" s="1" t="s">
        <v>236</v>
      </c>
      <c r="Y179" s="1"/>
      <c r="Z179" s="1">
        <v>0</v>
      </c>
      <c r="AA179" s="1" t="s">
        <v>205</v>
      </c>
      <c r="AB179" s="1" t="s">
        <v>111</v>
      </c>
      <c r="AC179" s="1" t="s">
        <v>205</v>
      </c>
      <c r="AD179" s="1" t="s">
        <v>111</v>
      </c>
      <c r="AE179" s="1" t="s">
        <v>111</v>
      </c>
      <c r="AF179" s="1" t="s">
        <v>111</v>
      </c>
      <c r="AG179" s="1" t="s">
        <v>111</v>
      </c>
      <c r="AH179" s="1" t="s">
        <v>111</v>
      </c>
      <c r="AI179" s="1">
        <v>60.226999999999997</v>
      </c>
      <c r="AJ179" s="1" t="s">
        <v>111</v>
      </c>
      <c r="AK179" s="1"/>
      <c r="AL179" s="1" t="s">
        <v>205</v>
      </c>
      <c r="AM179" s="1"/>
      <c r="AN179" s="1" t="s">
        <v>111</v>
      </c>
      <c r="AO179" s="1"/>
      <c r="AP179" s="1" t="s">
        <v>111</v>
      </c>
    </row>
    <row r="180" spans="1:42" x14ac:dyDescent="0.25">
      <c r="A180" s="1">
        <v>172</v>
      </c>
      <c r="B180" s="1" t="s">
        <v>255</v>
      </c>
      <c r="C180" s="1" t="s">
        <v>103</v>
      </c>
      <c r="D180" s="1" t="s">
        <v>114</v>
      </c>
      <c r="E180" s="1" t="s">
        <v>234</v>
      </c>
      <c r="F180" s="1" t="s">
        <v>106</v>
      </c>
      <c r="G180" s="1" t="s">
        <v>107</v>
      </c>
      <c r="H180" s="1" t="s">
        <v>108</v>
      </c>
      <c r="I180" s="1" t="s">
        <v>235</v>
      </c>
      <c r="J180" s="1"/>
      <c r="K180" s="1"/>
      <c r="L180" s="1"/>
      <c r="M180" s="1"/>
      <c r="N180" s="1"/>
      <c r="O180" s="1"/>
      <c r="P180" s="1"/>
      <c r="Q180" s="1"/>
      <c r="R180" s="1"/>
      <c r="S180" s="1" t="s">
        <v>109</v>
      </c>
      <c r="T180" s="1">
        <v>0.20300000000000001</v>
      </c>
      <c r="U180" s="1" t="s">
        <v>109</v>
      </c>
      <c r="V180" s="1">
        <v>3</v>
      </c>
      <c r="W180" s="1">
        <v>39</v>
      </c>
      <c r="X180" s="1" t="s">
        <v>236</v>
      </c>
      <c r="Y180" s="1"/>
      <c r="Z180" s="1">
        <v>0</v>
      </c>
      <c r="AA180" s="1" t="s">
        <v>205</v>
      </c>
      <c r="AB180" s="1" t="s">
        <v>111</v>
      </c>
      <c r="AC180" s="1" t="s">
        <v>205</v>
      </c>
      <c r="AD180" s="1" t="s">
        <v>111</v>
      </c>
      <c r="AE180" s="1" t="s">
        <v>111</v>
      </c>
      <c r="AF180" s="1" t="s">
        <v>111</v>
      </c>
      <c r="AG180" s="1" t="s">
        <v>111</v>
      </c>
      <c r="AH180" s="1" t="s">
        <v>111</v>
      </c>
      <c r="AI180" s="1">
        <v>60</v>
      </c>
      <c r="AJ180" s="1" t="s">
        <v>111</v>
      </c>
      <c r="AK180" s="1"/>
      <c r="AL180" s="1" t="s">
        <v>205</v>
      </c>
      <c r="AM180" s="1"/>
      <c r="AN180" s="1" t="s">
        <v>111</v>
      </c>
      <c r="AO180" s="1"/>
      <c r="AP180" s="1" t="s">
        <v>111</v>
      </c>
    </row>
    <row r="181" spans="1:42" x14ac:dyDescent="0.25">
      <c r="A181" s="1">
        <v>173</v>
      </c>
      <c r="B181" s="1" t="s">
        <v>256</v>
      </c>
      <c r="C181" s="1" t="s">
        <v>103</v>
      </c>
      <c r="D181" s="1" t="s">
        <v>117</v>
      </c>
      <c r="E181" s="1" t="s">
        <v>234</v>
      </c>
      <c r="F181" s="1" t="s">
        <v>106</v>
      </c>
      <c r="G181" s="1" t="s">
        <v>107</v>
      </c>
      <c r="H181" s="1" t="s">
        <v>108</v>
      </c>
      <c r="I181" s="1">
        <v>33.448999999999998</v>
      </c>
      <c r="J181" s="1">
        <v>32.92</v>
      </c>
      <c r="K181" s="1">
        <v>0.95899999999999996</v>
      </c>
      <c r="L181" s="1"/>
      <c r="M181" s="1"/>
      <c r="N181" s="1"/>
      <c r="O181" s="1"/>
      <c r="P181" s="1"/>
      <c r="Q181" s="1"/>
      <c r="R181" s="1"/>
      <c r="S181" s="1" t="s">
        <v>109</v>
      </c>
      <c r="T181" s="1">
        <v>0.20300000000000001</v>
      </c>
      <c r="U181" s="1" t="s">
        <v>109</v>
      </c>
      <c r="V181" s="1">
        <v>3</v>
      </c>
      <c r="W181" s="1">
        <v>27</v>
      </c>
      <c r="X181" s="1" t="s">
        <v>110</v>
      </c>
      <c r="Y181" s="1"/>
      <c r="Z181" s="1">
        <v>0.87</v>
      </c>
      <c r="AA181" s="1" t="s">
        <v>111</v>
      </c>
      <c r="AB181" s="1" t="s">
        <v>111</v>
      </c>
      <c r="AC181" s="1" t="s">
        <v>111</v>
      </c>
      <c r="AD181" s="1" t="s">
        <v>205</v>
      </c>
      <c r="AE181" s="1" t="s">
        <v>111</v>
      </c>
      <c r="AF181" s="1" t="s">
        <v>111</v>
      </c>
      <c r="AG181" s="1" t="s">
        <v>111</v>
      </c>
      <c r="AH181" s="1" t="s">
        <v>205</v>
      </c>
      <c r="AI181" s="1">
        <v>88.45</v>
      </c>
      <c r="AJ181" s="1" t="s">
        <v>111</v>
      </c>
      <c r="AK181" s="1">
        <v>84.256</v>
      </c>
      <c r="AL181" s="1" t="s">
        <v>111</v>
      </c>
      <c r="AM181" s="1"/>
      <c r="AN181" s="1" t="s">
        <v>111</v>
      </c>
      <c r="AO181" s="1"/>
      <c r="AP181" s="1" t="s">
        <v>111</v>
      </c>
    </row>
    <row r="182" spans="1:42" x14ac:dyDescent="0.25">
      <c r="A182" s="1">
        <v>174</v>
      </c>
      <c r="B182" s="1" t="s">
        <v>257</v>
      </c>
      <c r="C182" s="1" t="s">
        <v>103</v>
      </c>
      <c r="D182" s="1" t="s">
        <v>117</v>
      </c>
      <c r="E182" s="1" t="s">
        <v>234</v>
      </c>
      <c r="F182" s="1" t="s">
        <v>106</v>
      </c>
      <c r="G182" s="1" t="s">
        <v>107</v>
      </c>
      <c r="H182" s="1" t="s">
        <v>108</v>
      </c>
      <c r="I182" s="1">
        <v>33.970999999999997</v>
      </c>
      <c r="J182" s="1">
        <v>32.92</v>
      </c>
      <c r="K182" s="1">
        <v>0.95899999999999996</v>
      </c>
      <c r="L182" s="1"/>
      <c r="M182" s="1"/>
      <c r="N182" s="1"/>
      <c r="O182" s="1"/>
      <c r="P182" s="1"/>
      <c r="Q182" s="1"/>
      <c r="R182" s="1"/>
      <c r="S182" s="1" t="s">
        <v>109</v>
      </c>
      <c r="T182" s="1">
        <v>0.20300000000000001</v>
      </c>
      <c r="U182" s="1" t="s">
        <v>109</v>
      </c>
      <c r="V182" s="1">
        <v>3</v>
      </c>
      <c r="W182" s="1">
        <v>29</v>
      </c>
      <c r="X182" s="1" t="s">
        <v>110</v>
      </c>
      <c r="Y182" s="1"/>
      <c r="Z182" s="1">
        <v>0.98799999999999999</v>
      </c>
      <c r="AA182" s="1" t="s">
        <v>111</v>
      </c>
      <c r="AB182" s="1" t="s">
        <v>111</v>
      </c>
      <c r="AC182" s="1" t="s">
        <v>111</v>
      </c>
      <c r="AD182" s="1" t="s">
        <v>205</v>
      </c>
      <c r="AE182" s="1" t="s">
        <v>111</v>
      </c>
      <c r="AF182" s="1" t="s">
        <v>111</v>
      </c>
      <c r="AG182" s="1" t="s">
        <v>111</v>
      </c>
      <c r="AH182" s="1" t="s">
        <v>205</v>
      </c>
      <c r="AI182" s="1">
        <v>88.563000000000002</v>
      </c>
      <c r="AJ182" s="1" t="s">
        <v>111</v>
      </c>
      <c r="AK182" s="1">
        <v>84.369</v>
      </c>
      <c r="AL182" s="1" t="s">
        <v>111</v>
      </c>
      <c r="AM182" s="1"/>
      <c r="AN182" s="1" t="s">
        <v>111</v>
      </c>
      <c r="AO182" s="1"/>
      <c r="AP182" s="1" t="s">
        <v>111</v>
      </c>
    </row>
    <row r="183" spans="1:42" x14ac:dyDescent="0.25">
      <c r="A183" s="1">
        <v>175</v>
      </c>
      <c r="B183" s="1" t="s">
        <v>258</v>
      </c>
      <c r="C183" s="1" t="s">
        <v>103</v>
      </c>
      <c r="D183" s="1" t="s">
        <v>120</v>
      </c>
      <c r="E183" s="1" t="s">
        <v>234</v>
      </c>
      <c r="F183" s="1" t="s">
        <v>106</v>
      </c>
      <c r="G183" s="1" t="s">
        <v>107</v>
      </c>
      <c r="H183" s="1" t="s">
        <v>108</v>
      </c>
      <c r="I183" s="1">
        <v>31.202000000000002</v>
      </c>
      <c r="J183" s="1">
        <v>32.165999999999997</v>
      </c>
      <c r="K183" s="1">
        <v>0.72699999999999998</v>
      </c>
      <c r="L183" s="1"/>
      <c r="M183" s="1"/>
      <c r="N183" s="1"/>
      <c r="O183" s="1"/>
      <c r="P183" s="1"/>
      <c r="Q183" s="1"/>
      <c r="R183" s="1"/>
      <c r="S183" s="1" t="s">
        <v>109</v>
      </c>
      <c r="T183" s="1">
        <v>0.20300000000000001</v>
      </c>
      <c r="U183" s="1" t="s">
        <v>109</v>
      </c>
      <c r="V183" s="1">
        <v>3</v>
      </c>
      <c r="W183" s="1">
        <v>26</v>
      </c>
      <c r="X183" s="1" t="s">
        <v>110</v>
      </c>
      <c r="Y183" s="1"/>
      <c r="Z183" s="1">
        <v>0.98499999999999999</v>
      </c>
      <c r="AA183" s="1" t="s">
        <v>111</v>
      </c>
      <c r="AB183" s="1" t="s">
        <v>111</v>
      </c>
      <c r="AC183" s="1" t="s">
        <v>111</v>
      </c>
      <c r="AD183" s="1" t="s">
        <v>205</v>
      </c>
      <c r="AE183" s="1" t="s">
        <v>111</v>
      </c>
      <c r="AF183" s="1" t="s">
        <v>111</v>
      </c>
      <c r="AG183" s="1" t="s">
        <v>111</v>
      </c>
      <c r="AH183" s="1" t="s">
        <v>205</v>
      </c>
      <c r="AI183" s="1">
        <v>88.563000000000002</v>
      </c>
      <c r="AJ183" s="1" t="s">
        <v>111</v>
      </c>
      <c r="AK183" s="1">
        <v>84.369</v>
      </c>
      <c r="AL183" s="1" t="s">
        <v>111</v>
      </c>
      <c r="AM183" s="1"/>
      <c r="AN183" s="1" t="s">
        <v>111</v>
      </c>
      <c r="AO183" s="1"/>
      <c r="AP183" s="1" t="s">
        <v>111</v>
      </c>
    </row>
    <row r="184" spans="1:42" x14ac:dyDescent="0.25">
      <c r="A184" s="1">
        <v>176</v>
      </c>
      <c r="B184" s="1" t="s">
        <v>259</v>
      </c>
      <c r="C184" s="1" t="s">
        <v>103</v>
      </c>
      <c r="D184" s="1" t="s">
        <v>120</v>
      </c>
      <c r="E184" s="1" t="s">
        <v>234</v>
      </c>
      <c r="F184" s="1" t="s">
        <v>106</v>
      </c>
      <c r="G184" s="1" t="s">
        <v>107</v>
      </c>
      <c r="H184" s="1" t="s">
        <v>108</v>
      </c>
      <c r="I184" s="1">
        <v>32.29</v>
      </c>
      <c r="J184" s="1">
        <v>32.165999999999997</v>
      </c>
      <c r="K184" s="1">
        <v>0.72699999999999998</v>
      </c>
      <c r="L184" s="1"/>
      <c r="M184" s="1"/>
      <c r="N184" s="1"/>
      <c r="O184" s="1"/>
      <c r="P184" s="1"/>
      <c r="Q184" s="1"/>
      <c r="R184" s="1"/>
      <c r="S184" s="1" t="s">
        <v>109</v>
      </c>
      <c r="T184" s="1">
        <v>0.20300000000000001</v>
      </c>
      <c r="U184" s="1" t="s">
        <v>109</v>
      </c>
      <c r="V184" s="1">
        <v>3</v>
      </c>
      <c r="W184" s="1">
        <v>27</v>
      </c>
      <c r="X184" s="1" t="s">
        <v>110</v>
      </c>
      <c r="Y184" s="1"/>
      <c r="Z184" s="1">
        <v>0.98799999999999999</v>
      </c>
      <c r="AA184" s="1" t="s">
        <v>111</v>
      </c>
      <c r="AB184" s="1" t="s">
        <v>111</v>
      </c>
      <c r="AC184" s="1" t="s">
        <v>111</v>
      </c>
      <c r="AD184" s="1" t="s">
        <v>205</v>
      </c>
      <c r="AE184" s="1" t="s">
        <v>111</v>
      </c>
      <c r="AF184" s="1" t="s">
        <v>111</v>
      </c>
      <c r="AG184" s="1" t="s">
        <v>111</v>
      </c>
      <c r="AH184" s="1" t="s">
        <v>205</v>
      </c>
      <c r="AI184" s="1">
        <v>88.563000000000002</v>
      </c>
      <c r="AJ184" s="1" t="s">
        <v>111</v>
      </c>
      <c r="AK184" s="1">
        <v>84.369</v>
      </c>
      <c r="AL184" s="1" t="s">
        <v>111</v>
      </c>
      <c r="AM184" s="1"/>
      <c r="AN184" s="1" t="s">
        <v>111</v>
      </c>
      <c r="AO184" s="1"/>
      <c r="AP184" s="1" t="s">
        <v>111</v>
      </c>
    </row>
    <row r="185" spans="1:42" x14ac:dyDescent="0.25">
      <c r="A185" s="1">
        <v>177</v>
      </c>
      <c r="B185" s="1" t="s">
        <v>260</v>
      </c>
      <c r="C185" s="1" t="s">
        <v>103</v>
      </c>
      <c r="D185" s="1" t="s">
        <v>123</v>
      </c>
      <c r="E185" s="1" t="s">
        <v>234</v>
      </c>
      <c r="F185" s="1" t="s">
        <v>106</v>
      </c>
      <c r="G185" s="1" t="s">
        <v>107</v>
      </c>
      <c r="H185" s="1" t="s">
        <v>108</v>
      </c>
      <c r="I185" s="1">
        <v>31.202000000000002</v>
      </c>
      <c r="J185" s="1">
        <v>31.085000000000001</v>
      </c>
      <c r="K185" s="1">
        <v>0.36599999999999999</v>
      </c>
      <c r="L185" s="1"/>
      <c r="M185" s="1"/>
      <c r="N185" s="1"/>
      <c r="O185" s="1"/>
      <c r="P185" s="1"/>
      <c r="Q185" s="1"/>
      <c r="R185" s="1"/>
      <c r="S185" s="1" t="s">
        <v>109</v>
      </c>
      <c r="T185" s="1">
        <v>0.20300000000000001</v>
      </c>
      <c r="U185" s="1" t="s">
        <v>109</v>
      </c>
      <c r="V185" s="1">
        <v>3</v>
      </c>
      <c r="W185" s="1">
        <v>26</v>
      </c>
      <c r="X185" s="1" t="s">
        <v>110</v>
      </c>
      <c r="Y185" s="1"/>
      <c r="Z185" s="1">
        <v>0.98899999999999999</v>
      </c>
      <c r="AA185" s="1" t="s">
        <v>111</v>
      </c>
      <c r="AB185" s="1" t="s">
        <v>111</v>
      </c>
      <c r="AC185" s="1" t="s">
        <v>111</v>
      </c>
      <c r="AD185" s="1" t="s">
        <v>111</v>
      </c>
      <c r="AE185" s="1" t="s">
        <v>111</v>
      </c>
      <c r="AF185" s="1" t="s">
        <v>111</v>
      </c>
      <c r="AG185" s="1" t="s">
        <v>111</v>
      </c>
      <c r="AH185" s="1" t="s">
        <v>111</v>
      </c>
      <c r="AI185" s="1">
        <v>88.680999999999997</v>
      </c>
      <c r="AJ185" s="1" t="s">
        <v>111</v>
      </c>
      <c r="AK185" s="1"/>
      <c r="AL185" s="1" t="s">
        <v>111</v>
      </c>
      <c r="AM185" s="1"/>
      <c r="AN185" s="1" t="s">
        <v>111</v>
      </c>
      <c r="AO185" s="1"/>
      <c r="AP185" s="1" t="s">
        <v>111</v>
      </c>
    </row>
    <row r="186" spans="1:42" x14ac:dyDescent="0.25">
      <c r="A186" s="1">
        <v>178</v>
      </c>
      <c r="B186" s="1" t="s">
        <v>261</v>
      </c>
      <c r="C186" s="1" t="s">
        <v>103</v>
      </c>
      <c r="D186" s="1" t="s">
        <v>123</v>
      </c>
      <c r="E186" s="1" t="s">
        <v>234</v>
      </c>
      <c r="F186" s="1" t="s">
        <v>106</v>
      </c>
      <c r="G186" s="1" t="s">
        <v>107</v>
      </c>
      <c r="H186" s="1" t="s">
        <v>108</v>
      </c>
      <c r="I186" s="1">
        <v>31.547999999999998</v>
      </c>
      <c r="J186" s="1">
        <v>31.085000000000001</v>
      </c>
      <c r="K186" s="1">
        <v>0.36599999999999999</v>
      </c>
      <c r="L186" s="1"/>
      <c r="M186" s="1"/>
      <c r="N186" s="1"/>
      <c r="O186" s="1"/>
      <c r="P186" s="1"/>
      <c r="Q186" s="1"/>
      <c r="R186" s="1"/>
      <c r="S186" s="1" t="s">
        <v>109</v>
      </c>
      <c r="T186" s="1">
        <v>0.20300000000000001</v>
      </c>
      <c r="U186" s="1" t="s">
        <v>109</v>
      </c>
      <c r="V186" s="1">
        <v>3</v>
      </c>
      <c r="W186" s="1">
        <v>27</v>
      </c>
      <c r="X186" s="1" t="s">
        <v>110</v>
      </c>
      <c r="Y186" s="1"/>
      <c r="Z186" s="1">
        <v>0.99099999999999999</v>
      </c>
      <c r="AA186" s="1" t="s">
        <v>111</v>
      </c>
      <c r="AB186" s="1" t="s">
        <v>111</v>
      </c>
      <c r="AC186" s="1" t="s">
        <v>111</v>
      </c>
      <c r="AD186" s="1" t="s">
        <v>111</v>
      </c>
      <c r="AE186" s="1" t="s">
        <v>111</v>
      </c>
      <c r="AF186" s="1" t="s">
        <v>111</v>
      </c>
      <c r="AG186" s="1" t="s">
        <v>111</v>
      </c>
      <c r="AH186" s="1" t="s">
        <v>205</v>
      </c>
      <c r="AI186" s="1">
        <v>88.680999999999997</v>
      </c>
      <c r="AJ186" s="1" t="s">
        <v>111</v>
      </c>
      <c r="AK186" s="1">
        <v>84.47</v>
      </c>
      <c r="AL186" s="1" t="s">
        <v>111</v>
      </c>
      <c r="AM186" s="1"/>
      <c r="AN186" s="1" t="s">
        <v>111</v>
      </c>
      <c r="AO186" s="1"/>
      <c r="AP186" s="1" t="s">
        <v>111</v>
      </c>
    </row>
    <row r="187" spans="1:42" x14ac:dyDescent="0.25">
      <c r="A187" s="1">
        <v>179</v>
      </c>
      <c r="B187" s="1" t="s">
        <v>262</v>
      </c>
      <c r="C187" s="1" t="s">
        <v>103</v>
      </c>
      <c r="D187" s="1" t="s">
        <v>126</v>
      </c>
      <c r="E187" s="1" t="s">
        <v>234</v>
      </c>
      <c r="F187" s="1" t="s">
        <v>106</v>
      </c>
      <c r="G187" s="1" t="s">
        <v>107</v>
      </c>
      <c r="H187" s="1" t="s">
        <v>108</v>
      </c>
      <c r="I187" s="1">
        <v>31.49</v>
      </c>
      <c r="J187" s="1">
        <v>31.773</v>
      </c>
      <c r="K187" s="1">
        <v>0.86199999999999999</v>
      </c>
      <c r="L187" s="1"/>
      <c r="M187" s="1"/>
      <c r="N187" s="1"/>
      <c r="O187" s="1"/>
      <c r="P187" s="1"/>
      <c r="Q187" s="1"/>
      <c r="R187" s="1"/>
      <c r="S187" s="1" t="s">
        <v>109</v>
      </c>
      <c r="T187" s="1">
        <v>0.20300000000000001</v>
      </c>
      <c r="U187" s="1" t="s">
        <v>109</v>
      </c>
      <c r="V187" s="1">
        <v>3</v>
      </c>
      <c r="W187" s="1">
        <v>26</v>
      </c>
      <c r="X187" s="1" t="s">
        <v>110</v>
      </c>
      <c r="Y187" s="1"/>
      <c r="Z187" s="1">
        <v>0.99</v>
      </c>
      <c r="AA187" s="1" t="s">
        <v>111</v>
      </c>
      <c r="AB187" s="1" t="s">
        <v>111</v>
      </c>
      <c r="AC187" s="1" t="s">
        <v>111</v>
      </c>
      <c r="AD187" s="1" t="s">
        <v>205</v>
      </c>
      <c r="AE187" s="1" t="s">
        <v>111</v>
      </c>
      <c r="AF187" s="1" t="s">
        <v>111</v>
      </c>
      <c r="AG187" s="1" t="s">
        <v>111</v>
      </c>
      <c r="AH187" s="1" t="s">
        <v>205</v>
      </c>
      <c r="AI187" s="1">
        <v>88.680999999999997</v>
      </c>
      <c r="AJ187" s="1" t="s">
        <v>111</v>
      </c>
      <c r="AK187" s="1">
        <v>84.47</v>
      </c>
      <c r="AL187" s="1" t="s">
        <v>111</v>
      </c>
      <c r="AM187" s="1"/>
      <c r="AN187" s="1" t="s">
        <v>111</v>
      </c>
      <c r="AO187" s="1"/>
      <c r="AP187" s="1" t="s">
        <v>111</v>
      </c>
    </row>
    <row r="188" spans="1:42" x14ac:dyDescent="0.25">
      <c r="A188" s="1">
        <v>180</v>
      </c>
      <c r="B188" s="1" t="s">
        <v>263</v>
      </c>
      <c r="C188" s="1" t="s">
        <v>103</v>
      </c>
      <c r="D188" s="1" t="s">
        <v>126</v>
      </c>
      <c r="E188" s="1" t="s">
        <v>234</v>
      </c>
      <c r="F188" s="1" t="s">
        <v>106</v>
      </c>
      <c r="G188" s="1" t="s">
        <v>107</v>
      </c>
      <c r="H188" s="1" t="s">
        <v>108</v>
      </c>
      <c r="I188" s="1">
        <v>31.94</v>
      </c>
      <c r="J188" s="1">
        <v>31.773</v>
      </c>
      <c r="K188" s="1">
        <v>0.86199999999999999</v>
      </c>
      <c r="L188" s="1"/>
      <c r="M188" s="1"/>
      <c r="N188" s="1"/>
      <c r="O188" s="1"/>
      <c r="P188" s="1"/>
      <c r="Q188" s="1"/>
      <c r="R188" s="1"/>
      <c r="S188" s="1" t="s">
        <v>109</v>
      </c>
      <c r="T188" s="1">
        <v>0.20300000000000001</v>
      </c>
      <c r="U188" s="1" t="s">
        <v>109</v>
      </c>
      <c r="V188" s="1">
        <v>3</v>
      </c>
      <c r="W188" s="1">
        <v>27</v>
      </c>
      <c r="X188" s="1" t="s">
        <v>110</v>
      </c>
      <c r="Y188" s="1"/>
      <c r="Z188" s="1">
        <v>0.99</v>
      </c>
      <c r="AA188" s="1" t="s">
        <v>111</v>
      </c>
      <c r="AB188" s="1" t="s">
        <v>111</v>
      </c>
      <c r="AC188" s="1" t="s">
        <v>111</v>
      </c>
      <c r="AD188" s="1" t="s">
        <v>205</v>
      </c>
      <c r="AE188" s="1" t="s">
        <v>111</v>
      </c>
      <c r="AF188" s="1" t="s">
        <v>111</v>
      </c>
      <c r="AG188" s="1" t="s">
        <v>111</v>
      </c>
      <c r="AH188" s="1" t="s">
        <v>205</v>
      </c>
      <c r="AI188" s="1">
        <v>88.680999999999997</v>
      </c>
      <c r="AJ188" s="1" t="s">
        <v>111</v>
      </c>
      <c r="AK188" s="1">
        <v>84.47</v>
      </c>
      <c r="AL188" s="1" t="s">
        <v>111</v>
      </c>
      <c r="AM188" s="1"/>
      <c r="AN188" s="1" t="s">
        <v>111</v>
      </c>
      <c r="AO188" s="1"/>
      <c r="AP188" s="1" t="s">
        <v>111</v>
      </c>
    </row>
    <row r="189" spans="1:42" x14ac:dyDescent="0.25">
      <c r="A189" s="1">
        <v>185</v>
      </c>
      <c r="B189" s="1" t="s">
        <v>264</v>
      </c>
      <c r="C189" s="1" t="s">
        <v>103</v>
      </c>
      <c r="D189" s="1" t="s">
        <v>123</v>
      </c>
      <c r="E189" s="1" t="s">
        <v>204</v>
      </c>
      <c r="F189" s="1" t="s">
        <v>106</v>
      </c>
      <c r="G189" s="1" t="s">
        <v>107</v>
      </c>
      <c r="H189" s="1" t="s">
        <v>108</v>
      </c>
      <c r="I189" s="1">
        <v>27.905000000000001</v>
      </c>
      <c r="J189" s="1">
        <v>27.902999999999999</v>
      </c>
      <c r="K189" s="1">
        <v>6.3E-2</v>
      </c>
      <c r="L189" s="1"/>
      <c r="M189" s="1"/>
      <c r="N189" s="1"/>
      <c r="O189" s="1"/>
      <c r="P189" s="1"/>
      <c r="Q189" s="1"/>
      <c r="R189" s="1"/>
      <c r="S189" s="1" t="s">
        <v>109</v>
      </c>
      <c r="T189" s="1">
        <v>0.32100000000000001</v>
      </c>
      <c r="U189" s="1" t="s">
        <v>109</v>
      </c>
      <c r="V189" s="1">
        <v>3</v>
      </c>
      <c r="W189" s="1">
        <v>22</v>
      </c>
      <c r="X189" s="1" t="s">
        <v>110</v>
      </c>
      <c r="Y189" s="1"/>
      <c r="Z189" s="1">
        <v>0.98399999999999999</v>
      </c>
      <c r="AA189" s="1" t="s">
        <v>111</v>
      </c>
      <c r="AB189" s="1" t="s">
        <v>111</v>
      </c>
      <c r="AC189" s="1" t="s">
        <v>111</v>
      </c>
      <c r="AD189" s="1" t="s">
        <v>111</v>
      </c>
      <c r="AE189" s="1" t="s">
        <v>111</v>
      </c>
      <c r="AF189" s="1" t="s">
        <v>111</v>
      </c>
      <c r="AG189" s="1" t="s">
        <v>111</v>
      </c>
      <c r="AH189" s="1" t="s">
        <v>111</v>
      </c>
      <c r="AI189" s="1">
        <v>80.39</v>
      </c>
      <c r="AJ189" s="1" t="s">
        <v>111</v>
      </c>
      <c r="AK189" s="1"/>
      <c r="AL189" s="1" t="s">
        <v>111</v>
      </c>
      <c r="AM189" s="1"/>
      <c r="AN189" s="1" t="s">
        <v>111</v>
      </c>
      <c r="AO189" s="1"/>
      <c r="AP189" s="1" t="s">
        <v>111</v>
      </c>
    </row>
    <row r="190" spans="1:42" x14ac:dyDescent="0.25">
      <c r="A190" s="1">
        <v>186</v>
      </c>
      <c r="B190" s="1" t="s">
        <v>265</v>
      </c>
      <c r="C190" s="1" t="s">
        <v>103</v>
      </c>
      <c r="D190" s="1" t="s">
        <v>123</v>
      </c>
      <c r="E190" s="1" t="s">
        <v>204</v>
      </c>
      <c r="F190" s="1" t="s">
        <v>106</v>
      </c>
      <c r="G190" s="1" t="s">
        <v>107</v>
      </c>
      <c r="H190" s="1" t="s">
        <v>108</v>
      </c>
      <c r="I190" s="1">
        <v>27.856999999999999</v>
      </c>
      <c r="J190" s="1">
        <v>27.902999999999999</v>
      </c>
      <c r="K190" s="1">
        <v>6.3E-2</v>
      </c>
      <c r="L190" s="1"/>
      <c r="M190" s="1"/>
      <c r="N190" s="1"/>
      <c r="O190" s="1"/>
      <c r="P190" s="1"/>
      <c r="Q190" s="1"/>
      <c r="R190" s="1"/>
      <c r="S190" s="1" t="s">
        <v>109</v>
      </c>
      <c r="T190" s="1">
        <v>0.32100000000000001</v>
      </c>
      <c r="U190" s="1" t="s">
        <v>109</v>
      </c>
      <c r="V190" s="1">
        <v>3</v>
      </c>
      <c r="W190" s="1">
        <v>22</v>
      </c>
      <c r="X190" s="1" t="s">
        <v>110</v>
      </c>
      <c r="Y190" s="1"/>
      <c r="Z190" s="1">
        <v>0.98399999999999999</v>
      </c>
      <c r="AA190" s="1" t="s">
        <v>111</v>
      </c>
      <c r="AB190" s="1" t="s">
        <v>111</v>
      </c>
      <c r="AC190" s="1" t="s">
        <v>111</v>
      </c>
      <c r="AD190" s="1" t="s">
        <v>111</v>
      </c>
      <c r="AE190" s="1" t="s">
        <v>111</v>
      </c>
      <c r="AF190" s="1" t="s">
        <v>111</v>
      </c>
      <c r="AG190" s="1" t="s">
        <v>111</v>
      </c>
      <c r="AH190" s="1" t="s">
        <v>111</v>
      </c>
      <c r="AI190" s="1">
        <v>80.39</v>
      </c>
      <c r="AJ190" s="1" t="s">
        <v>111</v>
      </c>
      <c r="AK190" s="1"/>
      <c r="AL190" s="1" t="s">
        <v>111</v>
      </c>
      <c r="AM190" s="1"/>
      <c r="AN190" s="1" t="s">
        <v>111</v>
      </c>
      <c r="AO190" s="1"/>
      <c r="AP190" s="1" t="s">
        <v>111</v>
      </c>
    </row>
    <row r="191" spans="1:42" x14ac:dyDescent="0.25">
      <c r="A191" s="1">
        <v>187</v>
      </c>
      <c r="B191" s="1" t="s">
        <v>266</v>
      </c>
      <c r="C191" s="1" t="s">
        <v>103</v>
      </c>
      <c r="D191" s="1" t="s">
        <v>126</v>
      </c>
      <c r="E191" s="1" t="s">
        <v>204</v>
      </c>
      <c r="F191" s="1" t="s">
        <v>106</v>
      </c>
      <c r="G191" s="1" t="s">
        <v>107</v>
      </c>
      <c r="H191" s="1" t="s">
        <v>108</v>
      </c>
      <c r="I191" s="1">
        <v>27.812999999999999</v>
      </c>
      <c r="J191" s="1">
        <v>27.701000000000001</v>
      </c>
      <c r="K191" s="1">
        <v>0.155</v>
      </c>
      <c r="L191" s="1"/>
      <c r="M191" s="1"/>
      <c r="N191" s="1"/>
      <c r="O191" s="1"/>
      <c r="P191" s="1"/>
      <c r="Q191" s="1"/>
      <c r="R191" s="1"/>
      <c r="S191" s="1" t="s">
        <v>109</v>
      </c>
      <c r="T191" s="1">
        <v>0.32100000000000001</v>
      </c>
      <c r="U191" s="1" t="s">
        <v>109</v>
      </c>
      <c r="V191" s="1">
        <v>3</v>
      </c>
      <c r="W191" s="1">
        <v>22</v>
      </c>
      <c r="X191" s="1" t="s">
        <v>110</v>
      </c>
      <c r="Y191" s="1"/>
      <c r="Z191" s="1">
        <v>0.98399999999999999</v>
      </c>
      <c r="AA191" s="1" t="s">
        <v>111</v>
      </c>
      <c r="AB191" s="1" t="s">
        <v>111</v>
      </c>
      <c r="AC191" s="1" t="s">
        <v>111</v>
      </c>
      <c r="AD191" s="1" t="s">
        <v>111</v>
      </c>
      <c r="AE191" s="1" t="s">
        <v>111</v>
      </c>
      <c r="AF191" s="1" t="s">
        <v>111</v>
      </c>
      <c r="AG191" s="1" t="s">
        <v>111</v>
      </c>
      <c r="AH191" s="1" t="s">
        <v>111</v>
      </c>
      <c r="AI191" s="1">
        <v>80.39</v>
      </c>
      <c r="AJ191" s="1" t="s">
        <v>111</v>
      </c>
      <c r="AK191" s="1"/>
      <c r="AL191" s="1" t="s">
        <v>111</v>
      </c>
      <c r="AM191" s="1"/>
      <c r="AN191" s="1" t="s">
        <v>111</v>
      </c>
      <c r="AO191" s="1"/>
      <c r="AP191" s="1" t="s">
        <v>111</v>
      </c>
    </row>
    <row r="192" spans="1:42" x14ac:dyDescent="0.25">
      <c r="A192" s="1">
        <v>188</v>
      </c>
      <c r="B192" s="1" t="s">
        <v>267</v>
      </c>
      <c r="C192" s="1" t="s">
        <v>103</v>
      </c>
      <c r="D192" s="1" t="s">
        <v>126</v>
      </c>
      <c r="E192" s="1" t="s">
        <v>204</v>
      </c>
      <c r="F192" s="1" t="s">
        <v>106</v>
      </c>
      <c r="G192" s="1" t="s">
        <v>107</v>
      </c>
      <c r="H192" s="1" t="s">
        <v>108</v>
      </c>
      <c r="I192" s="1">
        <v>27.489000000000001</v>
      </c>
      <c r="J192" s="1">
        <v>27.701000000000001</v>
      </c>
      <c r="K192" s="1">
        <v>0.155</v>
      </c>
      <c r="L192" s="1"/>
      <c r="M192" s="1"/>
      <c r="N192" s="1"/>
      <c r="O192" s="1"/>
      <c r="P192" s="1"/>
      <c r="Q192" s="1"/>
      <c r="R192" s="1"/>
      <c r="S192" s="1" t="s">
        <v>109</v>
      </c>
      <c r="T192" s="1">
        <v>0.32100000000000001</v>
      </c>
      <c r="U192" s="1" t="s">
        <v>109</v>
      </c>
      <c r="V192" s="1">
        <v>3</v>
      </c>
      <c r="W192" s="1">
        <v>21</v>
      </c>
      <c r="X192" s="1" t="s">
        <v>110</v>
      </c>
      <c r="Y192" s="1"/>
      <c r="Z192" s="1">
        <v>0.99199999999999999</v>
      </c>
      <c r="AA192" s="1" t="s">
        <v>111</v>
      </c>
      <c r="AB192" s="1" t="s">
        <v>111</v>
      </c>
      <c r="AC192" s="1" t="s">
        <v>111</v>
      </c>
      <c r="AD192" s="1" t="s">
        <v>111</v>
      </c>
      <c r="AE192" s="1" t="s">
        <v>111</v>
      </c>
      <c r="AF192" s="1" t="s">
        <v>111</v>
      </c>
      <c r="AG192" s="1" t="s">
        <v>111</v>
      </c>
      <c r="AH192" s="1" t="s">
        <v>111</v>
      </c>
      <c r="AI192" s="1">
        <v>80.39</v>
      </c>
      <c r="AJ192" s="1" t="s">
        <v>111</v>
      </c>
      <c r="AK192" s="1"/>
      <c r="AL192" s="1" t="s">
        <v>111</v>
      </c>
      <c r="AM192" s="1"/>
      <c r="AN192" s="1" t="s">
        <v>111</v>
      </c>
      <c r="AO192" s="1"/>
      <c r="AP192" s="1" t="s">
        <v>111</v>
      </c>
    </row>
    <row r="193" spans="1:42" x14ac:dyDescent="0.25">
      <c r="A193" s="1">
        <v>193</v>
      </c>
      <c r="B193" s="1" t="s">
        <v>268</v>
      </c>
      <c r="C193" s="1" t="s">
        <v>103</v>
      </c>
      <c r="D193" s="1" t="s">
        <v>104</v>
      </c>
      <c r="E193" s="1" t="s">
        <v>269</v>
      </c>
      <c r="F193" s="1" t="s">
        <v>106</v>
      </c>
      <c r="G193" s="1" t="s">
        <v>107</v>
      </c>
      <c r="H193" s="1" t="s">
        <v>108</v>
      </c>
      <c r="I193" s="1">
        <v>31.681999999999999</v>
      </c>
      <c r="J193" s="1">
        <v>32.177</v>
      </c>
      <c r="K193" s="1">
        <v>0.61199999999999999</v>
      </c>
      <c r="L193" s="1"/>
      <c r="M193" s="1"/>
      <c r="N193" s="1"/>
      <c r="O193" s="1"/>
      <c r="P193" s="1"/>
      <c r="Q193" s="1"/>
      <c r="R193" s="1"/>
      <c r="S193" s="1" t="s">
        <v>109</v>
      </c>
      <c r="T193" s="1">
        <v>0.32900000000000001</v>
      </c>
      <c r="U193" s="1" t="s">
        <v>109</v>
      </c>
      <c r="V193" s="1">
        <v>3</v>
      </c>
      <c r="W193" s="1">
        <v>25</v>
      </c>
      <c r="X193" s="1" t="s">
        <v>110</v>
      </c>
      <c r="Y193" s="1"/>
      <c r="Z193" s="1">
        <v>0.98799999999999999</v>
      </c>
      <c r="AA193" s="1" t="s">
        <v>111</v>
      </c>
      <c r="AB193" s="1" t="s">
        <v>111</v>
      </c>
      <c r="AC193" s="1" t="s">
        <v>111</v>
      </c>
      <c r="AD193" s="1" t="s">
        <v>205</v>
      </c>
      <c r="AE193" s="1" t="s">
        <v>111</v>
      </c>
      <c r="AF193" s="1" t="s">
        <v>111</v>
      </c>
      <c r="AG193" s="1" t="s">
        <v>111</v>
      </c>
      <c r="AH193" s="1" t="s">
        <v>111</v>
      </c>
      <c r="AI193" s="1">
        <v>82.405000000000001</v>
      </c>
      <c r="AJ193" s="1" t="s">
        <v>111</v>
      </c>
      <c r="AK193" s="1"/>
      <c r="AL193" s="1" t="s">
        <v>111</v>
      </c>
      <c r="AM193" s="1"/>
      <c r="AN193" s="1" t="s">
        <v>111</v>
      </c>
      <c r="AO193" s="1"/>
      <c r="AP193" s="1" t="s">
        <v>111</v>
      </c>
    </row>
    <row r="194" spans="1:42" x14ac:dyDescent="0.25">
      <c r="A194" s="1">
        <v>194</v>
      </c>
      <c r="B194" s="1" t="s">
        <v>270</v>
      </c>
      <c r="C194" s="1" t="s">
        <v>103</v>
      </c>
      <c r="D194" s="1" t="s">
        <v>104</v>
      </c>
      <c r="E194" s="1" t="s">
        <v>269</v>
      </c>
      <c r="F194" s="1" t="s">
        <v>106</v>
      </c>
      <c r="G194" s="1" t="s">
        <v>107</v>
      </c>
      <c r="H194" s="1" t="s">
        <v>108</v>
      </c>
      <c r="I194" s="1">
        <v>32.695999999999998</v>
      </c>
      <c r="J194" s="1">
        <v>32.177</v>
      </c>
      <c r="K194" s="1">
        <v>0.61199999999999999</v>
      </c>
      <c r="L194" s="1"/>
      <c r="M194" s="1"/>
      <c r="N194" s="1"/>
      <c r="O194" s="1"/>
      <c r="P194" s="1"/>
      <c r="Q194" s="1"/>
      <c r="R194" s="1"/>
      <c r="S194" s="1" t="s">
        <v>109</v>
      </c>
      <c r="T194" s="1">
        <v>0.32900000000000001</v>
      </c>
      <c r="U194" s="1" t="s">
        <v>109</v>
      </c>
      <c r="V194" s="1">
        <v>3</v>
      </c>
      <c r="W194" s="1">
        <v>26</v>
      </c>
      <c r="X194" s="1" t="s">
        <v>110</v>
      </c>
      <c r="Y194" s="1"/>
      <c r="Z194" s="1">
        <v>0.98799999999999999</v>
      </c>
      <c r="AA194" s="1" t="s">
        <v>111</v>
      </c>
      <c r="AB194" s="1" t="s">
        <v>111</v>
      </c>
      <c r="AC194" s="1" t="s">
        <v>111</v>
      </c>
      <c r="AD194" s="1" t="s">
        <v>205</v>
      </c>
      <c r="AE194" s="1" t="s">
        <v>111</v>
      </c>
      <c r="AF194" s="1" t="s">
        <v>111</v>
      </c>
      <c r="AG194" s="1" t="s">
        <v>111</v>
      </c>
      <c r="AH194" s="1" t="s">
        <v>111</v>
      </c>
      <c r="AI194" s="1">
        <v>82.405000000000001</v>
      </c>
      <c r="AJ194" s="1" t="s">
        <v>111</v>
      </c>
      <c r="AK194" s="1"/>
      <c r="AL194" s="1" t="s">
        <v>111</v>
      </c>
      <c r="AM194" s="1"/>
      <c r="AN194" s="1" t="s">
        <v>111</v>
      </c>
      <c r="AO194" s="1"/>
      <c r="AP194" s="1" t="s">
        <v>111</v>
      </c>
    </row>
    <row r="195" spans="1:42" x14ac:dyDescent="0.25">
      <c r="A195" s="1">
        <v>195</v>
      </c>
      <c r="B195" s="1" t="s">
        <v>271</v>
      </c>
      <c r="C195" s="1" t="s">
        <v>103</v>
      </c>
      <c r="D195" s="1" t="s">
        <v>114</v>
      </c>
      <c r="E195" s="1" t="s">
        <v>269</v>
      </c>
      <c r="F195" s="1" t="s">
        <v>106</v>
      </c>
      <c r="G195" s="1" t="s">
        <v>107</v>
      </c>
      <c r="H195" s="1" t="s">
        <v>108</v>
      </c>
      <c r="I195" s="1">
        <v>32.316000000000003</v>
      </c>
      <c r="J195" s="1">
        <v>31.99</v>
      </c>
      <c r="K195" s="1">
        <v>0.48599999999999999</v>
      </c>
      <c r="L195" s="1"/>
      <c r="M195" s="1"/>
      <c r="N195" s="1"/>
      <c r="O195" s="1"/>
      <c r="P195" s="1"/>
      <c r="Q195" s="1"/>
      <c r="R195" s="1"/>
      <c r="S195" s="1" t="s">
        <v>109</v>
      </c>
      <c r="T195" s="1">
        <v>0.32900000000000001</v>
      </c>
      <c r="U195" s="1" t="s">
        <v>109</v>
      </c>
      <c r="V195" s="1">
        <v>3</v>
      </c>
      <c r="W195" s="1">
        <v>26</v>
      </c>
      <c r="X195" s="1" t="s">
        <v>110</v>
      </c>
      <c r="Y195" s="1"/>
      <c r="Z195" s="1">
        <v>0.99</v>
      </c>
      <c r="AA195" s="1" t="s">
        <v>111</v>
      </c>
      <c r="AB195" s="1" t="s">
        <v>111</v>
      </c>
      <c r="AC195" s="1" t="s">
        <v>111</v>
      </c>
      <c r="AD195" s="1" t="s">
        <v>111</v>
      </c>
      <c r="AE195" s="1" t="s">
        <v>111</v>
      </c>
      <c r="AF195" s="1" t="s">
        <v>111</v>
      </c>
      <c r="AG195" s="1" t="s">
        <v>111</v>
      </c>
      <c r="AH195" s="1" t="s">
        <v>111</v>
      </c>
      <c r="AI195" s="1">
        <v>82.519000000000005</v>
      </c>
      <c r="AJ195" s="1" t="s">
        <v>111</v>
      </c>
      <c r="AK195" s="1"/>
      <c r="AL195" s="1" t="s">
        <v>111</v>
      </c>
      <c r="AM195" s="1"/>
      <c r="AN195" s="1" t="s">
        <v>111</v>
      </c>
      <c r="AO195" s="1"/>
      <c r="AP195" s="1" t="s">
        <v>111</v>
      </c>
    </row>
    <row r="196" spans="1:42" x14ac:dyDescent="0.25">
      <c r="A196" s="1">
        <v>196</v>
      </c>
      <c r="B196" s="1" t="s">
        <v>272</v>
      </c>
      <c r="C196" s="1" t="s">
        <v>103</v>
      </c>
      <c r="D196" s="1" t="s">
        <v>114</v>
      </c>
      <c r="E196" s="1" t="s">
        <v>269</v>
      </c>
      <c r="F196" s="1" t="s">
        <v>106</v>
      </c>
      <c r="G196" s="1" t="s">
        <v>107</v>
      </c>
      <c r="H196" s="1" t="s">
        <v>108</v>
      </c>
      <c r="I196" s="1">
        <v>31.62</v>
      </c>
      <c r="J196" s="1">
        <v>31.99</v>
      </c>
      <c r="K196" s="1">
        <v>0.48599999999999999</v>
      </c>
      <c r="L196" s="1"/>
      <c r="M196" s="1"/>
      <c r="N196" s="1"/>
      <c r="O196" s="1"/>
      <c r="P196" s="1"/>
      <c r="Q196" s="1"/>
      <c r="R196" s="1"/>
      <c r="S196" s="1" t="s">
        <v>109</v>
      </c>
      <c r="T196" s="1">
        <v>0.32900000000000001</v>
      </c>
      <c r="U196" s="1" t="s">
        <v>109</v>
      </c>
      <c r="V196" s="1">
        <v>3</v>
      </c>
      <c r="W196" s="1">
        <v>26</v>
      </c>
      <c r="X196" s="1" t="s">
        <v>110</v>
      </c>
      <c r="Y196" s="1"/>
      <c r="Z196" s="1">
        <v>0.99099999999999999</v>
      </c>
      <c r="AA196" s="1" t="s">
        <v>111</v>
      </c>
      <c r="AB196" s="1" t="s">
        <v>111</v>
      </c>
      <c r="AC196" s="1" t="s">
        <v>111</v>
      </c>
      <c r="AD196" s="1" t="s">
        <v>111</v>
      </c>
      <c r="AE196" s="1" t="s">
        <v>111</v>
      </c>
      <c r="AF196" s="1" t="s">
        <v>111</v>
      </c>
      <c r="AG196" s="1" t="s">
        <v>111</v>
      </c>
      <c r="AH196" s="1" t="s">
        <v>111</v>
      </c>
      <c r="AI196" s="1">
        <v>82.519000000000005</v>
      </c>
      <c r="AJ196" s="1" t="s">
        <v>111</v>
      </c>
      <c r="AK196" s="1"/>
      <c r="AL196" s="1" t="s">
        <v>111</v>
      </c>
      <c r="AM196" s="1"/>
      <c r="AN196" s="1" t="s">
        <v>111</v>
      </c>
      <c r="AO196" s="1"/>
      <c r="AP196" s="1" t="s">
        <v>111</v>
      </c>
    </row>
    <row r="197" spans="1:42" x14ac:dyDescent="0.25">
      <c r="A197" s="1">
        <v>197</v>
      </c>
      <c r="B197" s="1" t="s">
        <v>273</v>
      </c>
      <c r="C197" s="1" t="s">
        <v>103</v>
      </c>
      <c r="D197" s="1" t="s">
        <v>117</v>
      </c>
      <c r="E197" s="1" t="s">
        <v>269</v>
      </c>
      <c r="F197" s="1" t="s">
        <v>106</v>
      </c>
      <c r="G197" s="1" t="s">
        <v>107</v>
      </c>
      <c r="H197" s="1" t="s">
        <v>108</v>
      </c>
      <c r="I197" s="1">
        <v>25.65</v>
      </c>
      <c r="J197" s="1">
        <v>25.704000000000001</v>
      </c>
      <c r="K197" s="1">
        <v>5.2999999999999999E-2</v>
      </c>
      <c r="L197" s="1"/>
      <c r="M197" s="1"/>
      <c r="N197" s="1"/>
      <c r="O197" s="1"/>
      <c r="P197" s="1"/>
      <c r="Q197" s="1"/>
      <c r="R197" s="1"/>
      <c r="S197" s="1" t="s">
        <v>109</v>
      </c>
      <c r="T197" s="1">
        <v>0.32900000000000001</v>
      </c>
      <c r="U197" s="1" t="s">
        <v>109</v>
      </c>
      <c r="V197" s="1">
        <v>3</v>
      </c>
      <c r="W197" s="1">
        <v>20</v>
      </c>
      <c r="X197" s="1" t="s">
        <v>110</v>
      </c>
      <c r="Y197" s="1"/>
      <c r="Z197" s="1">
        <v>0.99099999999999999</v>
      </c>
      <c r="AA197" s="1" t="s">
        <v>111</v>
      </c>
      <c r="AB197" s="1" t="s">
        <v>111</v>
      </c>
      <c r="AC197" s="1" t="s">
        <v>111</v>
      </c>
      <c r="AD197" s="1" t="s">
        <v>111</v>
      </c>
      <c r="AE197" s="1" t="s">
        <v>111</v>
      </c>
      <c r="AF197" s="1" t="s">
        <v>111</v>
      </c>
      <c r="AG197" s="1" t="s">
        <v>111</v>
      </c>
      <c r="AH197" s="1" t="s">
        <v>111</v>
      </c>
      <c r="AI197" s="1">
        <v>82.555999999999997</v>
      </c>
      <c r="AJ197" s="1" t="s">
        <v>111</v>
      </c>
      <c r="AK197" s="1"/>
      <c r="AL197" s="1" t="s">
        <v>111</v>
      </c>
      <c r="AM197" s="1"/>
      <c r="AN197" s="1" t="s">
        <v>111</v>
      </c>
      <c r="AO197" s="1"/>
      <c r="AP197" s="1" t="s">
        <v>111</v>
      </c>
    </row>
    <row r="198" spans="1:42" x14ac:dyDescent="0.25">
      <c r="A198" s="1">
        <v>198</v>
      </c>
      <c r="B198" s="1" t="s">
        <v>274</v>
      </c>
      <c r="C198" s="1" t="s">
        <v>103</v>
      </c>
      <c r="D198" s="1" t="s">
        <v>117</v>
      </c>
      <c r="E198" s="1" t="s">
        <v>269</v>
      </c>
      <c r="F198" s="1" t="s">
        <v>106</v>
      </c>
      <c r="G198" s="1" t="s">
        <v>107</v>
      </c>
      <c r="H198" s="1" t="s">
        <v>108</v>
      </c>
      <c r="I198" s="1">
        <v>25.745999999999999</v>
      </c>
      <c r="J198" s="1">
        <v>25.704000000000001</v>
      </c>
      <c r="K198" s="1">
        <v>5.2999999999999999E-2</v>
      </c>
      <c r="L198" s="1"/>
      <c r="M198" s="1"/>
      <c r="N198" s="1"/>
      <c r="O198" s="1"/>
      <c r="P198" s="1"/>
      <c r="Q198" s="1"/>
      <c r="R198" s="1"/>
      <c r="S198" s="1" t="s">
        <v>109</v>
      </c>
      <c r="T198" s="1">
        <v>0.32900000000000001</v>
      </c>
      <c r="U198" s="1" t="s">
        <v>109</v>
      </c>
      <c r="V198" s="1">
        <v>3</v>
      </c>
      <c r="W198" s="1">
        <v>20</v>
      </c>
      <c r="X198" s="1" t="s">
        <v>110</v>
      </c>
      <c r="Y198" s="1"/>
      <c r="Z198" s="1">
        <v>0.99099999999999999</v>
      </c>
      <c r="AA198" s="1" t="s">
        <v>111</v>
      </c>
      <c r="AB198" s="1" t="s">
        <v>111</v>
      </c>
      <c r="AC198" s="1" t="s">
        <v>111</v>
      </c>
      <c r="AD198" s="1" t="s">
        <v>111</v>
      </c>
      <c r="AE198" s="1" t="s">
        <v>111</v>
      </c>
      <c r="AF198" s="1" t="s">
        <v>111</v>
      </c>
      <c r="AG198" s="1" t="s">
        <v>111</v>
      </c>
      <c r="AH198" s="1" t="s">
        <v>111</v>
      </c>
      <c r="AI198" s="1">
        <v>82.555999999999997</v>
      </c>
      <c r="AJ198" s="1" t="s">
        <v>111</v>
      </c>
      <c r="AK198" s="1"/>
      <c r="AL198" s="1" t="s">
        <v>111</v>
      </c>
      <c r="AM198" s="1"/>
      <c r="AN198" s="1" t="s">
        <v>111</v>
      </c>
      <c r="AO198" s="1"/>
      <c r="AP198" s="1" t="s">
        <v>111</v>
      </c>
    </row>
    <row r="199" spans="1:42" x14ac:dyDescent="0.25">
      <c r="A199" s="1">
        <v>199</v>
      </c>
      <c r="B199" s="1" t="s">
        <v>275</v>
      </c>
      <c r="C199" s="1" t="s">
        <v>103</v>
      </c>
      <c r="D199" s="1" t="s">
        <v>120</v>
      </c>
      <c r="E199" s="1" t="s">
        <v>269</v>
      </c>
      <c r="F199" s="1" t="s">
        <v>106</v>
      </c>
      <c r="G199" s="1" t="s">
        <v>107</v>
      </c>
      <c r="H199" s="1" t="s">
        <v>108</v>
      </c>
      <c r="I199" s="1">
        <v>25.837</v>
      </c>
      <c r="J199" s="1">
        <v>25.800999999999998</v>
      </c>
      <c r="K199" s="1">
        <v>3.6999999999999998E-2</v>
      </c>
      <c r="L199" s="1"/>
      <c r="M199" s="1"/>
      <c r="N199" s="1"/>
      <c r="O199" s="1"/>
      <c r="P199" s="1"/>
      <c r="Q199" s="1"/>
      <c r="R199" s="1"/>
      <c r="S199" s="1" t="s">
        <v>109</v>
      </c>
      <c r="T199" s="1">
        <v>0.32900000000000001</v>
      </c>
      <c r="U199" s="1" t="s">
        <v>109</v>
      </c>
      <c r="V199" s="1">
        <v>3</v>
      </c>
      <c r="W199" s="1">
        <v>20</v>
      </c>
      <c r="X199" s="1" t="s">
        <v>110</v>
      </c>
      <c r="Y199" s="1"/>
      <c r="Z199" s="1">
        <v>0.99399999999999999</v>
      </c>
      <c r="AA199" s="1" t="s">
        <v>111</v>
      </c>
      <c r="AB199" s="1" t="s">
        <v>111</v>
      </c>
      <c r="AC199" s="1" t="s">
        <v>111</v>
      </c>
      <c r="AD199" s="1" t="s">
        <v>111</v>
      </c>
      <c r="AE199" s="1" t="s">
        <v>111</v>
      </c>
      <c r="AF199" s="1" t="s">
        <v>111</v>
      </c>
      <c r="AG199" s="1" t="s">
        <v>111</v>
      </c>
      <c r="AH199" s="1" t="s">
        <v>111</v>
      </c>
      <c r="AI199" s="1">
        <v>82.555999999999997</v>
      </c>
      <c r="AJ199" s="1" t="s">
        <v>111</v>
      </c>
      <c r="AK199" s="1"/>
      <c r="AL199" s="1" t="s">
        <v>111</v>
      </c>
      <c r="AM199" s="1"/>
      <c r="AN199" s="1" t="s">
        <v>111</v>
      </c>
      <c r="AO199" s="1"/>
      <c r="AP199" s="1" t="s">
        <v>111</v>
      </c>
    </row>
    <row r="200" spans="1:42" x14ac:dyDescent="0.25">
      <c r="A200" s="1">
        <v>200</v>
      </c>
      <c r="B200" s="1" t="s">
        <v>276</v>
      </c>
      <c r="C200" s="1" t="s">
        <v>103</v>
      </c>
      <c r="D200" s="1" t="s">
        <v>120</v>
      </c>
      <c r="E200" s="1" t="s">
        <v>269</v>
      </c>
      <c r="F200" s="1" t="s">
        <v>106</v>
      </c>
      <c r="G200" s="1" t="s">
        <v>107</v>
      </c>
      <c r="H200" s="1" t="s">
        <v>108</v>
      </c>
      <c r="I200" s="1">
        <v>25.777000000000001</v>
      </c>
      <c r="J200" s="1">
        <v>25.800999999999998</v>
      </c>
      <c r="K200" s="1">
        <v>3.6999999999999998E-2</v>
      </c>
      <c r="L200" s="1"/>
      <c r="M200" s="1"/>
      <c r="N200" s="1"/>
      <c r="O200" s="1"/>
      <c r="P200" s="1"/>
      <c r="Q200" s="1"/>
      <c r="R200" s="1"/>
      <c r="S200" s="1" t="s">
        <v>109</v>
      </c>
      <c r="T200" s="1">
        <v>0.32900000000000001</v>
      </c>
      <c r="U200" s="1" t="s">
        <v>109</v>
      </c>
      <c r="V200" s="1">
        <v>3</v>
      </c>
      <c r="W200" s="1">
        <v>19</v>
      </c>
      <c r="X200" s="1" t="s">
        <v>110</v>
      </c>
      <c r="Y200" s="1"/>
      <c r="Z200" s="1">
        <v>0.99099999999999999</v>
      </c>
      <c r="AA200" s="1" t="s">
        <v>111</v>
      </c>
      <c r="AB200" s="1" t="s">
        <v>111</v>
      </c>
      <c r="AC200" s="1" t="s">
        <v>111</v>
      </c>
      <c r="AD200" s="1" t="s">
        <v>111</v>
      </c>
      <c r="AE200" s="1" t="s">
        <v>111</v>
      </c>
      <c r="AF200" s="1" t="s">
        <v>111</v>
      </c>
      <c r="AG200" s="1" t="s">
        <v>111</v>
      </c>
      <c r="AH200" s="1" t="s">
        <v>111</v>
      </c>
      <c r="AI200" s="1">
        <v>82.555999999999997</v>
      </c>
      <c r="AJ200" s="1" t="s">
        <v>111</v>
      </c>
      <c r="AK200" s="1"/>
      <c r="AL200" s="1" t="s">
        <v>111</v>
      </c>
      <c r="AM200" s="1"/>
      <c r="AN200" s="1" t="s">
        <v>111</v>
      </c>
      <c r="AO200" s="1"/>
      <c r="AP200" s="1" t="s">
        <v>111</v>
      </c>
    </row>
    <row r="201" spans="1:42" x14ac:dyDescent="0.25">
      <c r="A201" s="1">
        <v>201</v>
      </c>
      <c r="B201" s="1" t="s">
        <v>277</v>
      </c>
      <c r="C201" s="1" t="s">
        <v>103</v>
      </c>
      <c r="D201" s="1" t="s">
        <v>123</v>
      </c>
      <c r="E201" s="1" t="s">
        <v>269</v>
      </c>
      <c r="F201" s="1" t="s">
        <v>106</v>
      </c>
      <c r="G201" s="1" t="s">
        <v>107</v>
      </c>
      <c r="H201" s="1" t="s">
        <v>108</v>
      </c>
      <c r="I201" s="1">
        <v>25.884</v>
      </c>
      <c r="J201" s="1">
        <v>25.902999999999999</v>
      </c>
      <c r="K201" s="1">
        <v>4.5999999999999999E-2</v>
      </c>
      <c r="L201" s="1"/>
      <c r="M201" s="1"/>
      <c r="N201" s="1"/>
      <c r="O201" s="1"/>
      <c r="P201" s="1"/>
      <c r="Q201" s="1"/>
      <c r="R201" s="1"/>
      <c r="S201" s="1" t="s">
        <v>109</v>
      </c>
      <c r="T201" s="1">
        <v>0.32900000000000001</v>
      </c>
      <c r="U201" s="1" t="s">
        <v>109</v>
      </c>
      <c r="V201" s="1">
        <v>3</v>
      </c>
      <c r="W201" s="1">
        <v>20</v>
      </c>
      <c r="X201" s="1" t="s">
        <v>110</v>
      </c>
      <c r="Y201" s="1"/>
      <c r="Z201" s="1">
        <v>0.99099999999999999</v>
      </c>
      <c r="AA201" s="1" t="s">
        <v>111</v>
      </c>
      <c r="AB201" s="1" t="s">
        <v>111</v>
      </c>
      <c r="AC201" s="1" t="s">
        <v>111</v>
      </c>
      <c r="AD201" s="1" t="s">
        <v>111</v>
      </c>
      <c r="AE201" s="1" t="s">
        <v>111</v>
      </c>
      <c r="AF201" s="1" t="s">
        <v>111</v>
      </c>
      <c r="AG201" s="1" t="s">
        <v>111</v>
      </c>
      <c r="AH201" s="1" t="s">
        <v>111</v>
      </c>
      <c r="AI201" s="1">
        <v>82.649000000000001</v>
      </c>
      <c r="AJ201" s="1" t="s">
        <v>111</v>
      </c>
      <c r="AK201" s="1"/>
      <c r="AL201" s="1" t="s">
        <v>111</v>
      </c>
      <c r="AM201" s="1"/>
      <c r="AN201" s="1" t="s">
        <v>111</v>
      </c>
      <c r="AO201" s="1"/>
      <c r="AP201" s="1" t="s">
        <v>111</v>
      </c>
    </row>
    <row r="202" spans="1:42" x14ac:dyDescent="0.25">
      <c r="A202" s="1">
        <v>202</v>
      </c>
      <c r="B202" s="1" t="s">
        <v>278</v>
      </c>
      <c r="C202" s="1" t="s">
        <v>103</v>
      </c>
      <c r="D202" s="1" t="s">
        <v>123</v>
      </c>
      <c r="E202" s="1" t="s">
        <v>269</v>
      </c>
      <c r="F202" s="1" t="s">
        <v>106</v>
      </c>
      <c r="G202" s="1" t="s">
        <v>107</v>
      </c>
      <c r="H202" s="1" t="s">
        <v>108</v>
      </c>
      <c r="I202" s="1">
        <v>25.966999999999999</v>
      </c>
      <c r="J202" s="1">
        <v>25.902999999999999</v>
      </c>
      <c r="K202" s="1">
        <v>4.5999999999999999E-2</v>
      </c>
      <c r="L202" s="1"/>
      <c r="M202" s="1"/>
      <c r="N202" s="1"/>
      <c r="O202" s="1"/>
      <c r="P202" s="1"/>
      <c r="Q202" s="1"/>
      <c r="R202" s="1"/>
      <c r="S202" s="1" t="s">
        <v>109</v>
      </c>
      <c r="T202" s="1">
        <v>0.32900000000000001</v>
      </c>
      <c r="U202" s="1" t="s">
        <v>109</v>
      </c>
      <c r="V202" s="1">
        <v>3</v>
      </c>
      <c r="W202" s="1">
        <v>20</v>
      </c>
      <c r="X202" s="1" t="s">
        <v>110</v>
      </c>
      <c r="Y202" s="1"/>
      <c r="Z202" s="1">
        <v>0.99399999999999999</v>
      </c>
      <c r="AA202" s="1" t="s">
        <v>111</v>
      </c>
      <c r="AB202" s="1" t="s">
        <v>111</v>
      </c>
      <c r="AC202" s="1" t="s">
        <v>111</v>
      </c>
      <c r="AD202" s="1" t="s">
        <v>111</v>
      </c>
      <c r="AE202" s="1" t="s">
        <v>111</v>
      </c>
      <c r="AF202" s="1" t="s">
        <v>111</v>
      </c>
      <c r="AG202" s="1" t="s">
        <v>111</v>
      </c>
      <c r="AH202" s="1" t="s">
        <v>111</v>
      </c>
      <c r="AI202" s="1">
        <v>82.649000000000001</v>
      </c>
      <c r="AJ202" s="1" t="s">
        <v>111</v>
      </c>
      <c r="AK202" s="1"/>
      <c r="AL202" s="1" t="s">
        <v>111</v>
      </c>
      <c r="AM202" s="1"/>
      <c r="AN202" s="1" t="s">
        <v>111</v>
      </c>
      <c r="AO202" s="1"/>
      <c r="AP202" s="1" t="s">
        <v>111</v>
      </c>
    </row>
    <row r="203" spans="1:42" x14ac:dyDescent="0.25">
      <c r="A203" s="1">
        <v>203</v>
      </c>
      <c r="B203" s="1" t="s">
        <v>279</v>
      </c>
      <c r="C203" s="1" t="s">
        <v>103</v>
      </c>
      <c r="D203" s="1" t="s">
        <v>126</v>
      </c>
      <c r="E203" s="1" t="s">
        <v>269</v>
      </c>
      <c r="F203" s="1" t="s">
        <v>106</v>
      </c>
      <c r="G203" s="1" t="s">
        <v>107</v>
      </c>
      <c r="H203" s="1" t="s">
        <v>108</v>
      </c>
      <c r="I203" s="1">
        <v>25.7</v>
      </c>
      <c r="J203" s="1">
        <v>25.664999999999999</v>
      </c>
      <c r="K203" s="1">
        <v>0.105</v>
      </c>
      <c r="L203" s="1"/>
      <c r="M203" s="1"/>
      <c r="N203" s="1"/>
      <c r="O203" s="1"/>
      <c r="P203" s="1"/>
      <c r="Q203" s="1"/>
      <c r="R203" s="1"/>
      <c r="S203" s="1" t="s">
        <v>109</v>
      </c>
      <c r="T203" s="1">
        <v>0.32900000000000001</v>
      </c>
      <c r="U203" s="1" t="s">
        <v>109</v>
      </c>
      <c r="V203" s="1">
        <v>3</v>
      </c>
      <c r="W203" s="1">
        <v>19</v>
      </c>
      <c r="X203" s="1" t="s">
        <v>110</v>
      </c>
      <c r="Y203" s="1"/>
      <c r="Z203" s="1">
        <v>0.99299999999999999</v>
      </c>
      <c r="AA203" s="1" t="s">
        <v>111</v>
      </c>
      <c r="AB203" s="1" t="s">
        <v>111</v>
      </c>
      <c r="AC203" s="1" t="s">
        <v>111</v>
      </c>
      <c r="AD203" s="1" t="s">
        <v>111</v>
      </c>
      <c r="AE203" s="1" t="s">
        <v>111</v>
      </c>
      <c r="AF203" s="1" t="s">
        <v>111</v>
      </c>
      <c r="AG203" s="1" t="s">
        <v>111</v>
      </c>
      <c r="AH203" s="1" t="s">
        <v>111</v>
      </c>
      <c r="AI203" s="1">
        <v>82.649000000000001</v>
      </c>
      <c r="AJ203" s="1" t="s">
        <v>111</v>
      </c>
      <c r="AK203" s="1"/>
      <c r="AL203" s="1" t="s">
        <v>111</v>
      </c>
      <c r="AM203" s="1"/>
      <c r="AN203" s="1" t="s">
        <v>111</v>
      </c>
      <c r="AO203" s="1"/>
      <c r="AP203" s="1" t="s">
        <v>111</v>
      </c>
    </row>
    <row r="204" spans="1:42" x14ac:dyDescent="0.25">
      <c r="A204" s="1">
        <v>204</v>
      </c>
      <c r="B204" s="1" t="s">
        <v>280</v>
      </c>
      <c r="C204" s="1" t="s">
        <v>103</v>
      </c>
      <c r="D204" s="1" t="s">
        <v>126</v>
      </c>
      <c r="E204" s="1" t="s">
        <v>269</v>
      </c>
      <c r="F204" s="1" t="s">
        <v>106</v>
      </c>
      <c r="G204" s="1" t="s">
        <v>107</v>
      </c>
      <c r="H204" s="1" t="s">
        <v>108</v>
      </c>
      <c r="I204" s="1">
        <v>25.731000000000002</v>
      </c>
      <c r="J204" s="1">
        <v>25.664999999999999</v>
      </c>
      <c r="K204" s="1">
        <v>0.105</v>
      </c>
      <c r="L204" s="1"/>
      <c r="M204" s="1"/>
      <c r="N204" s="1"/>
      <c r="O204" s="1"/>
      <c r="P204" s="1"/>
      <c r="Q204" s="1"/>
      <c r="R204" s="1"/>
      <c r="S204" s="1" t="s">
        <v>109</v>
      </c>
      <c r="T204" s="1">
        <v>0.32900000000000001</v>
      </c>
      <c r="U204" s="1" t="s">
        <v>109</v>
      </c>
      <c r="V204" s="1">
        <v>3</v>
      </c>
      <c r="W204" s="1">
        <v>19</v>
      </c>
      <c r="X204" s="1" t="s">
        <v>110</v>
      </c>
      <c r="Y204" s="1"/>
      <c r="Z204" s="1">
        <v>0.99199999999999999</v>
      </c>
      <c r="AA204" s="1" t="s">
        <v>111</v>
      </c>
      <c r="AB204" s="1" t="s">
        <v>111</v>
      </c>
      <c r="AC204" s="1" t="s">
        <v>111</v>
      </c>
      <c r="AD204" s="1" t="s">
        <v>111</v>
      </c>
      <c r="AE204" s="1" t="s">
        <v>111</v>
      </c>
      <c r="AF204" s="1" t="s">
        <v>111</v>
      </c>
      <c r="AG204" s="1" t="s">
        <v>111</v>
      </c>
      <c r="AH204" s="1" t="s">
        <v>111</v>
      </c>
      <c r="AI204" s="1">
        <v>82.649000000000001</v>
      </c>
      <c r="AJ204" s="1" t="s">
        <v>111</v>
      </c>
      <c r="AK204" s="1"/>
      <c r="AL204" s="1" t="s">
        <v>111</v>
      </c>
      <c r="AM204" s="1"/>
      <c r="AN204" s="1" t="s">
        <v>111</v>
      </c>
      <c r="AO204" s="1"/>
      <c r="AP204" s="1" t="s">
        <v>111</v>
      </c>
    </row>
    <row r="205" spans="1:42" x14ac:dyDescent="0.25">
      <c r="A205" s="1">
        <v>209</v>
      </c>
      <c r="B205" s="1" t="s">
        <v>281</v>
      </c>
      <c r="C205" s="1" t="s">
        <v>103</v>
      </c>
      <c r="D205" s="1" t="s">
        <v>282</v>
      </c>
      <c r="E205" s="1" t="s">
        <v>105</v>
      </c>
      <c r="F205" s="1" t="s">
        <v>106</v>
      </c>
      <c r="G205" s="1" t="s">
        <v>107</v>
      </c>
      <c r="H205" s="1" t="s">
        <v>108</v>
      </c>
      <c r="I205" s="1" t="s">
        <v>235</v>
      </c>
      <c r="J205" s="1">
        <v>22.827999999999999</v>
      </c>
      <c r="K205" s="1">
        <v>2.7519999999999998</v>
      </c>
      <c r="L205" s="1"/>
      <c r="M205" s="1"/>
      <c r="N205" s="1"/>
      <c r="O205" s="1"/>
      <c r="P205" s="1"/>
      <c r="Q205" s="1"/>
      <c r="R205" s="1"/>
      <c r="S205" s="1" t="s">
        <v>109</v>
      </c>
      <c r="T205" s="1">
        <v>0.42</v>
      </c>
      <c r="U205" s="1" t="s">
        <v>109</v>
      </c>
      <c r="V205" s="1">
        <v>3</v>
      </c>
      <c r="W205" s="1">
        <v>39</v>
      </c>
      <c r="X205" s="1" t="s">
        <v>236</v>
      </c>
      <c r="Y205" s="1"/>
      <c r="Z205" s="1">
        <v>0</v>
      </c>
      <c r="AA205" s="1" t="s">
        <v>205</v>
      </c>
      <c r="AB205" s="1" t="s">
        <v>111</v>
      </c>
      <c r="AC205" s="1" t="s">
        <v>205</v>
      </c>
      <c r="AD205" s="1" t="s">
        <v>111</v>
      </c>
      <c r="AE205" s="1" t="s">
        <v>111</v>
      </c>
      <c r="AF205" s="1" t="s">
        <v>111</v>
      </c>
      <c r="AG205" s="1" t="s">
        <v>111</v>
      </c>
      <c r="AH205" s="1" t="s">
        <v>111</v>
      </c>
      <c r="AI205" s="1">
        <v>60</v>
      </c>
      <c r="AJ205" s="1" t="s">
        <v>111</v>
      </c>
      <c r="AK205" s="1"/>
      <c r="AL205" s="1" t="s">
        <v>205</v>
      </c>
      <c r="AM205" s="1"/>
      <c r="AN205" s="1" t="s">
        <v>111</v>
      </c>
      <c r="AO205" s="1"/>
      <c r="AP205" s="1" t="s">
        <v>111</v>
      </c>
    </row>
    <row r="206" spans="1:42" x14ac:dyDescent="0.25">
      <c r="A206" s="1">
        <v>210</v>
      </c>
      <c r="B206" s="1" t="s">
        <v>283</v>
      </c>
      <c r="C206" s="1" t="s">
        <v>103</v>
      </c>
      <c r="D206" s="1" t="s">
        <v>282</v>
      </c>
      <c r="E206" s="1" t="s">
        <v>105</v>
      </c>
      <c r="F206" s="1" t="s">
        <v>106</v>
      </c>
      <c r="G206" s="1" t="s">
        <v>107</v>
      </c>
      <c r="H206" s="1" t="s">
        <v>108</v>
      </c>
      <c r="I206" s="1" t="s">
        <v>235</v>
      </c>
      <c r="J206" s="1">
        <v>22.827999999999999</v>
      </c>
      <c r="K206" s="1">
        <v>2.7519999999999998</v>
      </c>
      <c r="L206" s="1"/>
      <c r="M206" s="1"/>
      <c r="N206" s="1"/>
      <c r="O206" s="1"/>
      <c r="P206" s="1"/>
      <c r="Q206" s="1"/>
      <c r="R206" s="1"/>
      <c r="S206" s="1" t="s">
        <v>109</v>
      </c>
      <c r="T206" s="1">
        <v>0.42</v>
      </c>
      <c r="U206" s="1" t="s">
        <v>109</v>
      </c>
      <c r="V206" s="1">
        <v>3</v>
      </c>
      <c r="W206" s="1">
        <v>39</v>
      </c>
      <c r="X206" s="1" t="s">
        <v>236</v>
      </c>
      <c r="Y206" s="1"/>
      <c r="Z206" s="1">
        <v>0</v>
      </c>
      <c r="AA206" s="1" t="s">
        <v>205</v>
      </c>
      <c r="AB206" s="1" t="s">
        <v>111</v>
      </c>
      <c r="AC206" s="1" t="s">
        <v>205</v>
      </c>
      <c r="AD206" s="1" t="s">
        <v>111</v>
      </c>
      <c r="AE206" s="1" t="s">
        <v>111</v>
      </c>
      <c r="AF206" s="1" t="s">
        <v>111</v>
      </c>
      <c r="AG206" s="1" t="s">
        <v>111</v>
      </c>
      <c r="AH206" s="1" t="s">
        <v>111</v>
      </c>
      <c r="AI206" s="1">
        <v>60</v>
      </c>
      <c r="AJ206" s="1" t="s">
        <v>111</v>
      </c>
      <c r="AK206" s="1"/>
      <c r="AL206" s="1" t="s">
        <v>205</v>
      </c>
      <c r="AM206" s="1"/>
      <c r="AN206" s="1" t="s">
        <v>111</v>
      </c>
      <c r="AO206" s="1"/>
      <c r="AP206" s="1" t="s">
        <v>111</v>
      </c>
    </row>
    <row r="207" spans="1:42" x14ac:dyDescent="0.25">
      <c r="A207" s="1">
        <v>211</v>
      </c>
      <c r="B207" s="1" t="s">
        <v>284</v>
      </c>
      <c r="C207" s="1" t="s">
        <v>103</v>
      </c>
      <c r="D207" s="1" t="s">
        <v>282</v>
      </c>
      <c r="E207" s="1" t="s">
        <v>158</v>
      </c>
      <c r="F207" s="1" t="s">
        <v>106</v>
      </c>
      <c r="G207" s="1" t="s">
        <v>107</v>
      </c>
      <c r="H207" s="1" t="s">
        <v>108</v>
      </c>
      <c r="I207" s="1">
        <v>35.116</v>
      </c>
      <c r="J207" s="1">
        <v>29.54</v>
      </c>
      <c r="K207" s="1">
        <v>7.8849999999999998</v>
      </c>
      <c r="L207" s="1"/>
      <c r="M207" s="1"/>
      <c r="N207" s="1"/>
      <c r="O207" s="1"/>
      <c r="P207" s="1"/>
      <c r="Q207" s="1"/>
      <c r="R207" s="1"/>
      <c r="S207" s="1" t="s">
        <v>109</v>
      </c>
      <c r="T207" s="1">
        <v>0.41899999999999998</v>
      </c>
      <c r="U207" s="1" t="s">
        <v>109</v>
      </c>
      <c r="V207" s="1">
        <v>3</v>
      </c>
      <c r="W207" s="1">
        <v>29</v>
      </c>
      <c r="X207" s="1" t="s">
        <v>110</v>
      </c>
      <c r="Y207" s="1"/>
      <c r="Z207" s="1">
        <v>0.97499999999999998</v>
      </c>
      <c r="AA207" s="1" t="s">
        <v>111</v>
      </c>
      <c r="AB207" s="1" t="s">
        <v>111</v>
      </c>
      <c r="AC207" s="1" t="s">
        <v>111</v>
      </c>
      <c r="AD207" s="1" t="s">
        <v>205</v>
      </c>
      <c r="AE207" s="1" t="s">
        <v>111</v>
      </c>
      <c r="AF207" s="1" t="s">
        <v>111</v>
      </c>
      <c r="AG207" s="1" t="s">
        <v>111</v>
      </c>
      <c r="AH207" s="1" t="s">
        <v>111</v>
      </c>
      <c r="AI207" s="1">
        <v>88.093000000000004</v>
      </c>
      <c r="AJ207" s="1" t="s">
        <v>111</v>
      </c>
      <c r="AK207" s="1"/>
      <c r="AL207" s="1" t="s">
        <v>111</v>
      </c>
      <c r="AM207" s="1"/>
      <c r="AN207" s="1" t="s">
        <v>111</v>
      </c>
      <c r="AO207" s="1"/>
      <c r="AP207" s="1" t="s">
        <v>111</v>
      </c>
    </row>
    <row r="208" spans="1:42" x14ac:dyDescent="0.25">
      <c r="A208" s="1">
        <v>212</v>
      </c>
      <c r="B208" s="1" t="s">
        <v>285</v>
      </c>
      <c r="C208" s="1" t="s">
        <v>103</v>
      </c>
      <c r="D208" s="1" t="s">
        <v>282</v>
      </c>
      <c r="E208" s="1" t="s">
        <v>158</v>
      </c>
      <c r="F208" s="1" t="s">
        <v>106</v>
      </c>
      <c r="G208" s="1" t="s">
        <v>107</v>
      </c>
      <c r="H208" s="1" t="s">
        <v>108</v>
      </c>
      <c r="I208" s="1" t="s">
        <v>235</v>
      </c>
      <c r="J208" s="1">
        <v>29.54</v>
      </c>
      <c r="K208" s="1">
        <v>7.8849999999999998</v>
      </c>
      <c r="L208" s="1"/>
      <c r="M208" s="1"/>
      <c r="N208" s="1"/>
      <c r="O208" s="1"/>
      <c r="P208" s="1"/>
      <c r="Q208" s="1"/>
      <c r="R208" s="1"/>
      <c r="S208" s="1" t="s">
        <v>109</v>
      </c>
      <c r="T208" s="1">
        <v>0.41899999999999998</v>
      </c>
      <c r="U208" s="1" t="s">
        <v>109</v>
      </c>
      <c r="V208" s="1">
        <v>3</v>
      </c>
      <c r="W208" s="1">
        <v>39</v>
      </c>
      <c r="X208" s="1" t="s">
        <v>236</v>
      </c>
      <c r="Y208" s="1"/>
      <c r="Z208" s="1">
        <v>0</v>
      </c>
      <c r="AA208" s="1" t="s">
        <v>205</v>
      </c>
      <c r="AB208" s="1" t="s">
        <v>111</v>
      </c>
      <c r="AC208" s="1" t="s">
        <v>205</v>
      </c>
      <c r="AD208" s="1" t="s">
        <v>111</v>
      </c>
      <c r="AE208" s="1" t="s">
        <v>111</v>
      </c>
      <c r="AF208" s="1" t="s">
        <v>111</v>
      </c>
      <c r="AG208" s="1" t="s">
        <v>111</v>
      </c>
      <c r="AH208" s="1" t="s">
        <v>111</v>
      </c>
      <c r="AI208" s="1">
        <v>60</v>
      </c>
      <c r="AJ208" s="1" t="s">
        <v>111</v>
      </c>
      <c r="AK208" s="1"/>
      <c r="AL208" s="1" t="s">
        <v>205</v>
      </c>
      <c r="AM208" s="1"/>
      <c r="AN208" s="1" t="s">
        <v>111</v>
      </c>
      <c r="AO208" s="1"/>
      <c r="AP208" s="1" t="s">
        <v>111</v>
      </c>
    </row>
    <row r="209" spans="1:42" x14ac:dyDescent="0.25">
      <c r="A209" s="1">
        <v>213</v>
      </c>
      <c r="B209" s="1" t="s">
        <v>286</v>
      </c>
      <c r="C209" s="1" t="s">
        <v>103</v>
      </c>
      <c r="D209" s="1" t="s">
        <v>282</v>
      </c>
      <c r="E209" s="1" t="s">
        <v>191</v>
      </c>
      <c r="F209" s="1" t="s">
        <v>106</v>
      </c>
      <c r="G209" s="1" t="s">
        <v>107</v>
      </c>
      <c r="H209" s="1" t="s">
        <v>108</v>
      </c>
      <c r="I209" s="1" t="s">
        <v>235</v>
      </c>
      <c r="J209" s="1"/>
      <c r="K209" s="1"/>
      <c r="L209" s="1"/>
      <c r="M209" s="1"/>
      <c r="N209" s="1"/>
      <c r="O209" s="1"/>
      <c r="P209" s="1"/>
      <c r="Q209" s="1"/>
      <c r="R209" s="1"/>
      <c r="S209" s="1" t="s">
        <v>109</v>
      </c>
      <c r="T209" s="1">
        <v>0.56000000000000005</v>
      </c>
      <c r="U209" s="1" t="s">
        <v>109</v>
      </c>
      <c r="V209" s="1">
        <v>3</v>
      </c>
      <c r="W209" s="1">
        <v>39</v>
      </c>
      <c r="X209" s="1" t="s">
        <v>236</v>
      </c>
      <c r="Y209" s="1"/>
      <c r="Z209" s="1">
        <v>0</v>
      </c>
      <c r="AA209" s="1" t="s">
        <v>205</v>
      </c>
      <c r="AB209" s="1" t="s">
        <v>111</v>
      </c>
      <c r="AC209" s="1" t="s">
        <v>205</v>
      </c>
      <c r="AD209" s="1" t="s">
        <v>111</v>
      </c>
      <c r="AE209" s="1" t="s">
        <v>111</v>
      </c>
      <c r="AF209" s="1" t="s">
        <v>111</v>
      </c>
      <c r="AG209" s="1" t="s">
        <v>111</v>
      </c>
      <c r="AH209" s="1" t="s">
        <v>111</v>
      </c>
      <c r="AI209" s="1">
        <v>60</v>
      </c>
      <c r="AJ209" s="1" t="s">
        <v>111</v>
      </c>
      <c r="AK209" s="1"/>
      <c r="AL209" s="1" t="s">
        <v>205</v>
      </c>
      <c r="AM209" s="1"/>
      <c r="AN209" s="1" t="s">
        <v>111</v>
      </c>
      <c r="AO209" s="1"/>
      <c r="AP209" s="1" t="s">
        <v>111</v>
      </c>
    </row>
    <row r="210" spans="1:42" x14ac:dyDescent="0.25">
      <c r="A210" s="1">
        <v>214</v>
      </c>
      <c r="B210" s="1" t="s">
        <v>287</v>
      </c>
      <c r="C210" s="1" t="s">
        <v>103</v>
      </c>
      <c r="D210" s="1" t="s">
        <v>282</v>
      </c>
      <c r="E210" s="1" t="s">
        <v>191</v>
      </c>
      <c r="F210" s="1" t="s">
        <v>106</v>
      </c>
      <c r="G210" s="1" t="s">
        <v>107</v>
      </c>
      <c r="H210" s="1" t="s">
        <v>108</v>
      </c>
      <c r="I210" s="1" t="s">
        <v>235</v>
      </c>
      <c r="J210" s="1"/>
      <c r="K210" s="1"/>
      <c r="L210" s="1"/>
      <c r="M210" s="1"/>
      <c r="N210" s="1"/>
      <c r="O210" s="1"/>
      <c r="P210" s="1"/>
      <c r="Q210" s="1"/>
      <c r="R210" s="1"/>
      <c r="S210" s="1" t="s">
        <v>109</v>
      </c>
      <c r="T210" s="1">
        <v>0.56000000000000005</v>
      </c>
      <c r="U210" s="1" t="s">
        <v>109</v>
      </c>
      <c r="V210" s="1">
        <v>3</v>
      </c>
      <c r="W210" s="1">
        <v>39</v>
      </c>
      <c r="X210" s="1" t="s">
        <v>236</v>
      </c>
      <c r="Y210" s="1"/>
      <c r="Z210" s="1">
        <v>0</v>
      </c>
      <c r="AA210" s="1" t="s">
        <v>205</v>
      </c>
      <c r="AB210" s="1" t="s">
        <v>111</v>
      </c>
      <c r="AC210" s="1" t="s">
        <v>205</v>
      </c>
      <c r="AD210" s="1" t="s">
        <v>111</v>
      </c>
      <c r="AE210" s="1" t="s">
        <v>111</v>
      </c>
      <c r="AF210" s="1" t="s">
        <v>111</v>
      </c>
      <c r="AG210" s="1" t="s">
        <v>111</v>
      </c>
      <c r="AH210" s="1" t="s">
        <v>111</v>
      </c>
      <c r="AI210" s="1">
        <v>60</v>
      </c>
      <c r="AJ210" s="1" t="s">
        <v>111</v>
      </c>
      <c r="AK210" s="1"/>
      <c r="AL210" s="1" t="s">
        <v>205</v>
      </c>
      <c r="AM210" s="1"/>
      <c r="AN210" s="1" t="s">
        <v>111</v>
      </c>
      <c r="AO210" s="1"/>
      <c r="AP210" s="1" t="s">
        <v>111</v>
      </c>
    </row>
    <row r="211" spans="1:42" x14ac:dyDescent="0.25">
      <c r="A211" s="1">
        <v>215</v>
      </c>
      <c r="B211" s="1" t="s">
        <v>288</v>
      </c>
      <c r="C211" s="1" t="s">
        <v>103</v>
      </c>
      <c r="D211" s="1" t="s">
        <v>282</v>
      </c>
      <c r="E211" s="1" t="s">
        <v>234</v>
      </c>
      <c r="F211" s="1" t="s">
        <v>106</v>
      </c>
      <c r="G211" s="1" t="s">
        <v>107</v>
      </c>
      <c r="H211" s="1" t="s">
        <v>108</v>
      </c>
      <c r="I211" s="1" t="s">
        <v>235</v>
      </c>
      <c r="J211" s="1">
        <v>28.638999999999999</v>
      </c>
      <c r="K211" s="1">
        <v>10.893000000000001</v>
      </c>
      <c r="L211" s="1"/>
      <c r="M211" s="1"/>
      <c r="N211" s="1"/>
      <c r="O211" s="1"/>
      <c r="P211" s="1"/>
      <c r="Q211" s="1"/>
      <c r="R211" s="1"/>
      <c r="S211" s="1" t="s">
        <v>109</v>
      </c>
      <c r="T211" s="1">
        <v>0.20300000000000001</v>
      </c>
      <c r="U211" s="1" t="s">
        <v>109</v>
      </c>
      <c r="V211" s="1">
        <v>3</v>
      </c>
      <c r="W211" s="1">
        <v>39</v>
      </c>
      <c r="X211" s="1" t="s">
        <v>236</v>
      </c>
      <c r="Y211" s="1"/>
      <c r="Z211" s="1">
        <v>0</v>
      </c>
      <c r="AA211" s="1" t="s">
        <v>205</v>
      </c>
      <c r="AB211" s="1" t="s">
        <v>111</v>
      </c>
      <c r="AC211" s="1" t="s">
        <v>205</v>
      </c>
      <c r="AD211" s="1" t="s">
        <v>111</v>
      </c>
      <c r="AE211" s="1" t="s">
        <v>111</v>
      </c>
      <c r="AF211" s="1" t="s">
        <v>111</v>
      </c>
      <c r="AG211" s="1" t="s">
        <v>111</v>
      </c>
      <c r="AH211" s="1" t="s">
        <v>111</v>
      </c>
      <c r="AI211" s="1">
        <v>60</v>
      </c>
      <c r="AJ211" s="1" t="s">
        <v>111</v>
      </c>
      <c r="AK211" s="1"/>
      <c r="AL211" s="1" t="s">
        <v>205</v>
      </c>
      <c r="AM211" s="1"/>
      <c r="AN211" s="1" t="s">
        <v>111</v>
      </c>
      <c r="AO211" s="1"/>
      <c r="AP211" s="1" t="s">
        <v>111</v>
      </c>
    </row>
    <row r="212" spans="1:42" x14ac:dyDescent="0.25">
      <c r="A212" s="1">
        <v>216</v>
      </c>
      <c r="B212" s="1" t="s">
        <v>289</v>
      </c>
      <c r="C212" s="1" t="s">
        <v>103</v>
      </c>
      <c r="D212" s="1" t="s">
        <v>282</v>
      </c>
      <c r="E212" s="1" t="s">
        <v>234</v>
      </c>
      <c r="F212" s="1" t="s">
        <v>106</v>
      </c>
      <c r="G212" s="1" t="s">
        <v>107</v>
      </c>
      <c r="H212" s="1" t="s">
        <v>108</v>
      </c>
      <c r="I212" s="1" t="s">
        <v>235</v>
      </c>
      <c r="J212" s="1">
        <v>28.638999999999999</v>
      </c>
      <c r="K212" s="1">
        <v>10.893000000000001</v>
      </c>
      <c r="L212" s="1"/>
      <c r="M212" s="1"/>
      <c r="N212" s="1"/>
      <c r="O212" s="1"/>
      <c r="P212" s="1"/>
      <c r="Q212" s="1"/>
      <c r="R212" s="1"/>
      <c r="S212" s="1" t="s">
        <v>109</v>
      </c>
      <c r="T212" s="1">
        <v>0.20300000000000001</v>
      </c>
      <c r="U212" s="1" t="s">
        <v>109</v>
      </c>
      <c r="V212" s="1">
        <v>3</v>
      </c>
      <c r="W212" s="1">
        <v>39</v>
      </c>
      <c r="X212" s="1" t="s">
        <v>236</v>
      </c>
      <c r="Y212" s="1"/>
      <c r="Z212" s="1">
        <v>0</v>
      </c>
      <c r="AA212" s="1" t="s">
        <v>205</v>
      </c>
      <c r="AB212" s="1" t="s">
        <v>111</v>
      </c>
      <c r="AC212" s="1" t="s">
        <v>205</v>
      </c>
      <c r="AD212" s="1" t="s">
        <v>111</v>
      </c>
      <c r="AE212" s="1" t="s">
        <v>111</v>
      </c>
      <c r="AF212" s="1" t="s">
        <v>111</v>
      </c>
      <c r="AG212" s="1" t="s">
        <v>111</v>
      </c>
      <c r="AH212" s="1" t="s">
        <v>111</v>
      </c>
      <c r="AI212" s="1">
        <v>60</v>
      </c>
      <c r="AJ212" s="1" t="s">
        <v>111</v>
      </c>
      <c r="AK212" s="1"/>
      <c r="AL212" s="1" t="s">
        <v>205</v>
      </c>
      <c r="AM212" s="1"/>
      <c r="AN212" s="1" t="s">
        <v>111</v>
      </c>
      <c r="AO212" s="1"/>
      <c r="AP212" s="1" t="s">
        <v>111</v>
      </c>
    </row>
    <row r="213" spans="1:42" x14ac:dyDescent="0.25">
      <c r="A213" s="1">
        <v>217</v>
      </c>
      <c r="B213" s="1" t="s">
        <v>290</v>
      </c>
      <c r="C213" s="1" t="s">
        <v>103</v>
      </c>
      <c r="D213" s="1" t="s">
        <v>104</v>
      </c>
      <c r="E213" s="1" t="s">
        <v>269</v>
      </c>
      <c r="F213" s="1" t="s">
        <v>106</v>
      </c>
      <c r="G213" s="1" t="s">
        <v>107</v>
      </c>
      <c r="H213" s="1" t="s">
        <v>108</v>
      </c>
      <c r="I213" s="1">
        <v>31.613</v>
      </c>
      <c r="J213" s="1">
        <v>32.177</v>
      </c>
      <c r="K213" s="1">
        <v>0.61199999999999999</v>
      </c>
      <c r="L213" s="1"/>
      <c r="M213" s="1"/>
      <c r="N213" s="1"/>
      <c r="O213" s="1"/>
      <c r="P213" s="1"/>
      <c r="Q213" s="1"/>
      <c r="R213" s="1"/>
      <c r="S213" s="1" t="s">
        <v>109</v>
      </c>
      <c r="T213" s="1">
        <v>0.32900000000000001</v>
      </c>
      <c r="U213" s="1" t="s">
        <v>109</v>
      </c>
      <c r="V213" s="1">
        <v>3</v>
      </c>
      <c r="W213" s="1">
        <v>24</v>
      </c>
      <c r="X213" s="1" t="s">
        <v>110</v>
      </c>
      <c r="Y213" s="1"/>
      <c r="Z213" s="1">
        <v>0.98699999999999999</v>
      </c>
      <c r="AA213" s="1" t="s">
        <v>111</v>
      </c>
      <c r="AB213" s="1" t="s">
        <v>111</v>
      </c>
      <c r="AC213" s="1" t="s">
        <v>111</v>
      </c>
      <c r="AD213" s="1" t="s">
        <v>205</v>
      </c>
      <c r="AE213" s="1" t="s">
        <v>111</v>
      </c>
      <c r="AF213" s="1" t="s">
        <v>111</v>
      </c>
      <c r="AG213" s="1" t="s">
        <v>111</v>
      </c>
      <c r="AH213" s="1" t="s">
        <v>111</v>
      </c>
      <c r="AI213" s="1">
        <v>82.405000000000001</v>
      </c>
      <c r="AJ213" s="1" t="s">
        <v>111</v>
      </c>
      <c r="AK213" s="1"/>
      <c r="AL213" s="1" t="s">
        <v>111</v>
      </c>
      <c r="AM213" s="1"/>
      <c r="AN213" s="1" t="s">
        <v>111</v>
      </c>
      <c r="AO213" s="1"/>
      <c r="AP213" s="1" t="s">
        <v>111</v>
      </c>
    </row>
    <row r="214" spans="1:42" x14ac:dyDescent="0.25">
      <c r="A214" s="1">
        <v>218</v>
      </c>
      <c r="B214" s="1" t="s">
        <v>291</v>
      </c>
      <c r="C214" s="1" t="s">
        <v>103</v>
      </c>
      <c r="D214" s="1" t="s">
        <v>104</v>
      </c>
      <c r="E214" s="1" t="s">
        <v>269</v>
      </c>
      <c r="F214" s="1" t="s">
        <v>106</v>
      </c>
      <c r="G214" s="1" t="s">
        <v>107</v>
      </c>
      <c r="H214" s="1" t="s">
        <v>108</v>
      </c>
      <c r="I214" s="1">
        <v>32.716999999999999</v>
      </c>
      <c r="J214" s="1">
        <v>32.177</v>
      </c>
      <c r="K214" s="1">
        <v>0.61199999999999999</v>
      </c>
      <c r="L214" s="1"/>
      <c r="M214" s="1"/>
      <c r="N214" s="1"/>
      <c r="O214" s="1"/>
      <c r="P214" s="1"/>
      <c r="Q214" s="1"/>
      <c r="R214" s="1"/>
      <c r="S214" s="1" t="s">
        <v>109</v>
      </c>
      <c r="T214" s="1">
        <v>0.32900000000000001</v>
      </c>
      <c r="U214" s="1" t="s">
        <v>109</v>
      </c>
      <c r="V214" s="1">
        <v>3</v>
      </c>
      <c r="W214" s="1">
        <v>26</v>
      </c>
      <c r="X214" s="1" t="s">
        <v>110</v>
      </c>
      <c r="Y214" s="1"/>
      <c r="Z214" s="1">
        <v>0.98799999999999999</v>
      </c>
      <c r="AA214" s="1" t="s">
        <v>111</v>
      </c>
      <c r="AB214" s="1" t="s">
        <v>111</v>
      </c>
      <c r="AC214" s="1" t="s">
        <v>111</v>
      </c>
      <c r="AD214" s="1" t="s">
        <v>205</v>
      </c>
      <c r="AE214" s="1" t="s">
        <v>111</v>
      </c>
      <c r="AF214" s="1" t="s">
        <v>111</v>
      </c>
      <c r="AG214" s="1" t="s">
        <v>111</v>
      </c>
      <c r="AH214" s="1" t="s">
        <v>111</v>
      </c>
      <c r="AI214" s="1">
        <v>82.405000000000001</v>
      </c>
      <c r="AJ214" s="1" t="s">
        <v>111</v>
      </c>
      <c r="AK214" s="1"/>
      <c r="AL214" s="1" t="s">
        <v>111</v>
      </c>
      <c r="AM214" s="1"/>
      <c r="AN214" s="1" t="s">
        <v>111</v>
      </c>
      <c r="AO214" s="1"/>
      <c r="AP214" s="1" t="s">
        <v>111</v>
      </c>
    </row>
    <row r="215" spans="1:42" x14ac:dyDescent="0.25">
      <c r="A215" s="1">
        <v>219</v>
      </c>
      <c r="B215" s="1" t="s">
        <v>292</v>
      </c>
      <c r="C215" s="1" t="s">
        <v>103</v>
      </c>
      <c r="D215" s="1" t="s">
        <v>114</v>
      </c>
      <c r="E215" s="1" t="s">
        <v>269</v>
      </c>
      <c r="F215" s="1" t="s">
        <v>106</v>
      </c>
      <c r="G215" s="1" t="s">
        <v>107</v>
      </c>
      <c r="H215" s="1" t="s">
        <v>108</v>
      </c>
      <c r="I215" s="1">
        <v>31.529</v>
      </c>
      <c r="J215" s="1">
        <v>31.99</v>
      </c>
      <c r="K215" s="1">
        <v>0.48599999999999999</v>
      </c>
      <c r="L215" s="1"/>
      <c r="M215" s="1"/>
      <c r="N215" s="1"/>
      <c r="O215" s="1"/>
      <c r="P215" s="1"/>
      <c r="Q215" s="1"/>
      <c r="R215" s="1"/>
      <c r="S215" s="1" t="s">
        <v>109</v>
      </c>
      <c r="T215" s="1">
        <v>0.32900000000000001</v>
      </c>
      <c r="U215" s="1" t="s">
        <v>109</v>
      </c>
      <c r="V215" s="1">
        <v>3</v>
      </c>
      <c r="W215" s="1">
        <v>23</v>
      </c>
      <c r="X215" s="1" t="s">
        <v>110</v>
      </c>
      <c r="Y215" s="1"/>
      <c r="Z215" s="1">
        <v>0.98399999999999999</v>
      </c>
      <c r="AA215" s="1" t="s">
        <v>111</v>
      </c>
      <c r="AB215" s="1" t="s">
        <v>111</v>
      </c>
      <c r="AC215" s="1" t="s">
        <v>111</v>
      </c>
      <c r="AD215" s="1" t="s">
        <v>111</v>
      </c>
      <c r="AE215" s="1" t="s">
        <v>111</v>
      </c>
      <c r="AF215" s="1" t="s">
        <v>111</v>
      </c>
      <c r="AG215" s="1" t="s">
        <v>111</v>
      </c>
      <c r="AH215" s="1" t="s">
        <v>111</v>
      </c>
      <c r="AI215" s="1">
        <v>82.519000000000005</v>
      </c>
      <c r="AJ215" s="1" t="s">
        <v>111</v>
      </c>
      <c r="AK215" s="1"/>
      <c r="AL215" s="1" t="s">
        <v>111</v>
      </c>
      <c r="AM215" s="1"/>
      <c r="AN215" s="1" t="s">
        <v>111</v>
      </c>
      <c r="AO215" s="1"/>
      <c r="AP215" s="1" t="s">
        <v>111</v>
      </c>
    </row>
    <row r="216" spans="1:42" x14ac:dyDescent="0.25">
      <c r="A216" s="1">
        <v>220</v>
      </c>
      <c r="B216" s="1" t="s">
        <v>293</v>
      </c>
      <c r="C216" s="1" t="s">
        <v>103</v>
      </c>
      <c r="D216" s="1" t="s">
        <v>114</v>
      </c>
      <c r="E216" s="1" t="s">
        <v>269</v>
      </c>
      <c r="F216" s="1" t="s">
        <v>106</v>
      </c>
      <c r="G216" s="1" t="s">
        <v>107</v>
      </c>
      <c r="H216" s="1" t="s">
        <v>108</v>
      </c>
      <c r="I216" s="1">
        <v>32.494</v>
      </c>
      <c r="J216" s="1">
        <v>31.99</v>
      </c>
      <c r="K216" s="1">
        <v>0.48599999999999999</v>
      </c>
      <c r="L216" s="1"/>
      <c r="M216" s="1"/>
      <c r="N216" s="1"/>
      <c r="O216" s="1"/>
      <c r="P216" s="1"/>
      <c r="Q216" s="1"/>
      <c r="R216" s="1"/>
      <c r="S216" s="1" t="s">
        <v>109</v>
      </c>
      <c r="T216" s="1">
        <v>0.32900000000000001</v>
      </c>
      <c r="U216" s="1" t="s">
        <v>109</v>
      </c>
      <c r="V216" s="1">
        <v>3</v>
      </c>
      <c r="W216" s="1">
        <v>27</v>
      </c>
      <c r="X216" s="1" t="s">
        <v>110</v>
      </c>
      <c r="Y216" s="1"/>
      <c r="Z216" s="1">
        <v>0.98699999999999999</v>
      </c>
      <c r="AA216" s="1" t="s">
        <v>111</v>
      </c>
      <c r="AB216" s="1" t="s">
        <v>111</v>
      </c>
      <c r="AC216" s="1" t="s">
        <v>111</v>
      </c>
      <c r="AD216" s="1" t="s">
        <v>111</v>
      </c>
      <c r="AE216" s="1" t="s">
        <v>111</v>
      </c>
      <c r="AF216" s="1" t="s">
        <v>111</v>
      </c>
      <c r="AG216" s="1" t="s">
        <v>111</v>
      </c>
      <c r="AH216" s="1" t="s">
        <v>111</v>
      </c>
      <c r="AI216" s="1">
        <v>82.519000000000005</v>
      </c>
      <c r="AJ216" s="1" t="s">
        <v>111</v>
      </c>
      <c r="AK216" s="1"/>
      <c r="AL216" s="1" t="s">
        <v>111</v>
      </c>
      <c r="AM216" s="1"/>
      <c r="AN216" s="1" t="s">
        <v>111</v>
      </c>
      <c r="AO216" s="1"/>
      <c r="AP216" s="1" t="s">
        <v>111</v>
      </c>
    </row>
    <row r="217" spans="1:42" x14ac:dyDescent="0.25">
      <c r="A217" s="1">
        <v>221</v>
      </c>
      <c r="B217" s="1" t="s">
        <v>294</v>
      </c>
      <c r="C217" s="1" t="s">
        <v>103</v>
      </c>
      <c r="D217" s="1" t="s">
        <v>117</v>
      </c>
      <c r="E217" s="1" t="s">
        <v>269</v>
      </c>
      <c r="F217" s="1" t="s">
        <v>106</v>
      </c>
      <c r="G217" s="1" t="s">
        <v>107</v>
      </c>
      <c r="H217" s="1" t="s">
        <v>108</v>
      </c>
      <c r="I217" s="1">
        <v>25.667999999999999</v>
      </c>
      <c r="J217" s="1">
        <v>25.704000000000001</v>
      </c>
      <c r="K217" s="1">
        <v>5.2999999999999999E-2</v>
      </c>
      <c r="L217" s="1"/>
      <c r="M217" s="1"/>
      <c r="N217" s="1"/>
      <c r="O217" s="1"/>
      <c r="P217" s="1"/>
      <c r="Q217" s="1"/>
      <c r="R217" s="1"/>
      <c r="S217" s="1" t="s">
        <v>109</v>
      </c>
      <c r="T217" s="1">
        <v>0.32900000000000001</v>
      </c>
      <c r="U217" s="1" t="s">
        <v>109</v>
      </c>
      <c r="V217" s="1">
        <v>3</v>
      </c>
      <c r="W217" s="1">
        <v>19</v>
      </c>
      <c r="X217" s="1" t="s">
        <v>110</v>
      </c>
      <c r="Y217" s="1"/>
      <c r="Z217" s="1">
        <v>0.99</v>
      </c>
      <c r="AA217" s="1" t="s">
        <v>111</v>
      </c>
      <c r="AB217" s="1" t="s">
        <v>111</v>
      </c>
      <c r="AC217" s="1" t="s">
        <v>111</v>
      </c>
      <c r="AD217" s="1" t="s">
        <v>111</v>
      </c>
      <c r="AE217" s="1" t="s">
        <v>111</v>
      </c>
      <c r="AF217" s="1" t="s">
        <v>111</v>
      </c>
      <c r="AG217" s="1" t="s">
        <v>111</v>
      </c>
      <c r="AH217" s="1" t="s">
        <v>111</v>
      </c>
      <c r="AI217" s="1">
        <v>82.555999999999997</v>
      </c>
      <c r="AJ217" s="1" t="s">
        <v>111</v>
      </c>
      <c r="AK217" s="1"/>
      <c r="AL217" s="1" t="s">
        <v>111</v>
      </c>
      <c r="AM217" s="1"/>
      <c r="AN217" s="1" t="s">
        <v>111</v>
      </c>
      <c r="AO217" s="1"/>
      <c r="AP217" s="1" t="s">
        <v>111</v>
      </c>
    </row>
    <row r="218" spans="1:42" x14ac:dyDescent="0.25">
      <c r="A218" s="1">
        <v>222</v>
      </c>
      <c r="B218" s="1" t="s">
        <v>295</v>
      </c>
      <c r="C218" s="1" t="s">
        <v>103</v>
      </c>
      <c r="D218" s="1" t="s">
        <v>117</v>
      </c>
      <c r="E218" s="1" t="s">
        <v>269</v>
      </c>
      <c r="F218" s="1" t="s">
        <v>106</v>
      </c>
      <c r="G218" s="1" t="s">
        <v>107</v>
      </c>
      <c r="H218" s="1" t="s">
        <v>108</v>
      </c>
      <c r="I218" s="1">
        <v>25.751999999999999</v>
      </c>
      <c r="J218" s="1">
        <v>25.704000000000001</v>
      </c>
      <c r="K218" s="1">
        <v>5.2999999999999999E-2</v>
      </c>
      <c r="L218" s="1"/>
      <c r="M218" s="1"/>
      <c r="N218" s="1"/>
      <c r="O218" s="1"/>
      <c r="P218" s="1"/>
      <c r="Q218" s="1"/>
      <c r="R218" s="1"/>
      <c r="S218" s="1" t="s">
        <v>109</v>
      </c>
      <c r="T218" s="1">
        <v>0.32900000000000001</v>
      </c>
      <c r="U218" s="1" t="s">
        <v>109</v>
      </c>
      <c r="V218" s="1">
        <v>3</v>
      </c>
      <c r="W218" s="1">
        <v>19</v>
      </c>
      <c r="X218" s="1" t="s">
        <v>110</v>
      </c>
      <c r="Y218" s="1"/>
      <c r="Z218" s="1">
        <v>0.98899999999999999</v>
      </c>
      <c r="AA218" s="1" t="s">
        <v>111</v>
      </c>
      <c r="AB218" s="1" t="s">
        <v>111</v>
      </c>
      <c r="AC218" s="1" t="s">
        <v>111</v>
      </c>
      <c r="AD218" s="1" t="s">
        <v>111</v>
      </c>
      <c r="AE218" s="1" t="s">
        <v>111</v>
      </c>
      <c r="AF218" s="1" t="s">
        <v>111</v>
      </c>
      <c r="AG218" s="1" t="s">
        <v>111</v>
      </c>
      <c r="AH218" s="1" t="s">
        <v>111</v>
      </c>
      <c r="AI218" s="1">
        <v>82.555999999999997</v>
      </c>
      <c r="AJ218" s="1" t="s">
        <v>111</v>
      </c>
      <c r="AK218" s="1"/>
      <c r="AL218" s="1" t="s">
        <v>111</v>
      </c>
      <c r="AM218" s="1"/>
      <c r="AN218" s="1" t="s">
        <v>111</v>
      </c>
      <c r="AO218" s="1"/>
      <c r="AP218" s="1" t="s">
        <v>111</v>
      </c>
    </row>
    <row r="219" spans="1:42" x14ac:dyDescent="0.25">
      <c r="A219" s="1">
        <v>223</v>
      </c>
      <c r="B219" s="1" t="s">
        <v>296</v>
      </c>
      <c r="C219" s="1" t="s">
        <v>103</v>
      </c>
      <c r="D219" s="1" t="s">
        <v>120</v>
      </c>
      <c r="E219" s="1" t="s">
        <v>269</v>
      </c>
      <c r="F219" s="1" t="s">
        <v>106</v>
      </c>
      <c r="G219" s="1" t="s">
        <v>107</v>
      </c>
      <c r="H219" s="1" t="s">
        <v>108</v>
      </c>
      <c r="I219" s="1">
        <v>25.827999999999999</v>
      </c>
      <c r="J219" s="1">
        <v>25.800999999999998</v>
      </c>
      <c r="K219" s="1">
        <v>3.6999999999999998E-2</v>
      </c>
      <c r="L219" s="1"/>
      <c r="M219" s="1"/>
      <c r="N219" s="1"/>
      <c r="O219" s="1"/>
      <c r="P219" s="1"/>
      <c r="Q219" s="1"/>
      <c r="R219" s="1"/>
      <c r="S219" s="1" t="s">
        <v>109</v>
      </c>
      <c r="T219" s="1">
        <v>0.32900000000000001</v>
      </c>
      <c r="U219" s="1" t="s">
        <v>109</v>
      </c>
      <c r="V219" s="1">
        <v>3</v>
      </c>
      <c r="W219" s="1">
        <v>20</v>
      </c>
      <c r="X219" s="1" t="s">
        <v>110</v>
      </c>
      <c r="Y219" s="1"/>
      <c r="Z219" s="1">
        <v>0.99</v>
      </c>
      <c r="AA219" s="1" t="s">
        <v>111</v>
      </c>
      <c r="AB219" s="1" t="s">
        <v>111</v>
      </c>
      <c r="AC219" s="1" t="s">
        <v>111</v>
      </c>
      <c r="AD219" s="1" t="s">
        <v>111</v>
      </c>
      <c r="AE219" s="1" t="s">
        <v>111</v>
      </c>
      <c r="AF219" s="1" t="s">
        <v>111</v>
      </c>
      <c r="AG219" s="1" t="s">
        <v>111</v>
      </c>
      <c r="AH219" s="1" t="s">
        <v>111</v>
      </c>
      <c r="AI219" s="1">
        <v>82.555999999999997</v>
      </c>
      <c r="AJ219" s="1" t="s">
        <v>111</v>
      </c>
      <c r="AK219" s="1"/>
      <c r="AL219" s="1" t="s">
        <v>111</v>
      </c>
      <c r="AM219" s="1"/>
      <c r="AN219" s="1" t="s">
        <v>111</v>
      </c>
      <c r="AO219" s="1"/>
      <c r="AP219" s="1" t="s">
        <v>111</v>
      </c>
    </row>
    <row r="220" spans="1:42" x14ac:dyDescent="0.25">
      <c r="A220" s="1">
        <v>224</v>
      </c>
      <c r="B220" s="1" t="s">
        <v>297</v>
      </c>
      <c r="C220" s="1" t="s">
        <v>103</v>
      </c>
      <c r="D220" s="1" t="s">
        <v>120</v>
      </c>
      <c r="E220" s="1" t="s">
        <v>269</v>
      </c>
      <c r="F220" s="1" t="s">
        <v>106</v>
      </c>
      <c r="G220" s="1" t="s">
        <v>107</v>
      </c>
      <c r="H220" s="1" t="s">
        <v>108</v>
      </c>
      <c r="I220" s="1">
        <v>25.763000000000002</v>
      </c>
      <c r="J220" s="1">
        <v>25.800999999999998</v>
      </c>
      <c r="K220" s="1">
        <v>3.6999999999999998E-2</v>
      </c>
      <c r="L220" s="1"/>
      <c r="M220" s="1"/>
      <c r="N220" s="1"/>
      <c r="O220" s="1"/>
      <c r="P220" s="1"/>
      <c r="Q220" s="1"/>
      <c r="R220" s="1"/>
      <c r="S220" s="1" t="s">
        <v>109</v>
      </c>
      <c r="T220" s="1">
        <v>0.32900000000000001</v>
      </c>
      <c r="U220" s="1" t="s">
        <v>109</v>
      </c>
      <c r="V220" s="1">
        <v>3</v>
      </c>
      <c r="W220" s="1">
        <v>20</v>
      </c>
      <c r="X220" s="1" t="s">
        <v>110</v>
      </c>
      <c r="Y220" s="1"/>
      <c r="Z220" s="1">
        <v>0.99099999999999999</v>
      </c>
      <c r="AA220" s="1" t="s">
        <v>111</v>
      </c>
      <c r="AB220" s="1" t="s">
        <v>111</v>
      </c>
      <c r="AC220" s="1" t="s">
        <v>111</v>
      </c>
      <c r="AD220" s="1" t="s">
        <v>111</v>
      </c>
      <c r="AE220" s="1" t="s">
        <v>111</v>
      </c>
      <c r="AF220" s="1" t="s">
        <v>111</v>
      </c>
      <c r="AG220" s="1" t="s">
        <v>111</v>
      </c>
      <c r="AH220" s="1" t="s">
        <v>111</v>
      </c>
      <c r="AI220" s="1">
        <v>82.555999999999997</v>
      </c>
      <c r="AJ220" s="1" t="s">
        <v>111</v>
      </c>
      <c r="AK220" s="1"/>
      <c r="AL220" s="1" t="s">
        <v>111</v>
      </c>
      <c r="AM220" s="1"/>
      <c r="AN220" s="1" t="s">
        <v>111</v>
      </c>
      <c r="AO220" s="1"/>
      <c r="AP220" s="1" t="s">
        <v>111</v>
      </c>
    </row>
    <row r="221" spans="1:42" x14ac:dyDescent="0.25">
      <c r="A221" s="1">
        <v>225</v>
      </c>
      <c r="B221" s="1" t="s">
        <v>298</v>
      </c>
      <c r="C221" s="1" t="s">
        <v>103</v>
      </c>
      <c r="D221" s="1" t="s">
        <v>123</v>
      </c>
      <c r="E221" s="1" t="s">
        <v>269</v>
      </c>
      <c r="F221" s="1" t="s">
        <v>106</v>
      </c>
      <c r="G221" s="1" t="s">
        <v>107</v>
      </c>
      <c r="H221" s="1" t="s">
        <v>108</v>
      </c>
      <c r="I221" s="1">
        <v>25.899000000000001</v>
      </c>
      <c r="J221" s="1">
        <v>25.902999999999999</v>
      </c>
      <c r="K221" s="1">
        <v>4.5999999999999999E-2</v>
      </c>
      <c r="L221" s="1"/>
      <c r="M221" s="1"/>
      <c r="N221" s="1"/>
      <c r="O221" s="1"/>
      <c r="P221" s="1"/>
      <c r="Q221" s="1"/>
      <c r="R221" s="1"/>
      <c r="S221" s="1" t="s">
        <v>109</v>
      </c>
      <c r="T221" s="1">
        <v>0.32900000000000001</v>
      </c>
      <c r="U221" s="1" t="s">
        <v>109</v>
      </c>
      <c r="V221" s="1">
        <v>3</v>
      </c>
      <c r="W221" s="1">
        <v>19</v>
      </c>
      <c r="X221" s="1" t="s">
        <v>110</v>
      </c>
      <c r="Y221" s="1"/>
      <c r="Z221" s="1">
        <v>0.99</v>
      </c>
      <c r="AA221" s="1" t="s">
        <v>111</v>
      </c>
      <c r="AB221" s="1" t="s">
        <v>111</v>
      </c>
      <c r="AC221" s="1" t="s">
        <v>111</v>
      </c>
      <c r="AD221" s="1" t="s">
        <v>111</v>
      </c>
      <c r="AE221" s="1" t="s">
        <v>111</v>
      </c>
      <c r="AF221" s="1" t="s">
        <v>111</v>
      </c>
      <c r="AG221" s="1" t="s">
        <v>111</v>
      </c>
      <c r="AH221" s="1" t="s">
        <v>111</v>
      </c>
      <c r="AI221" s="1">
        <v>82.649000000000001</v>
      </c>
      <c r="AJ221" s="1" t="s">
        <v>111</v>
      </c>
      <c r="AK221" s="1"/>
      <c r="AL221" s="1" t="s">
        <v>111</v>
      </c>
      <c r="AM221" s="1"/>
      <c r="AN221" s="1" t="s">
        <v>111</v>
      </c>
      <c r="AO221" s="1"/>
      <c r="AP221" s="1" t="s">
        <v>111</v>
      </c>
    </row>
    <row r="222" spans="1:42" x14ac:dyDescent="0.25">
      <c r="A222" s="1">
        <v>226</v>
      </c>
      <c r="B222" s="1" t="s">
        <v>299</v>
      </c>
      <c r="C222" s="1" t="s">
        <v>103</v>
      </c>
      <c r="D222" s="1" t="s">
        <v>123</v>
      </c>
      <c r="E222" s="1" t="s">
        <v>269</v>
      </c>
      <c r="F222" s="1" t="s">
        <v>106</v>
      </c>
      <c r="G222" s="1" t="s">
        <v>107</v>
      </c>
      <c r="H222" s="1" t="s">
        <v>108</v>
      </c>
      <c r="I222" s="1">
        <v>25.861000000000001</v>
      </c>
      <c r="J222" s="1">
        <v>25.902999999999999</v>
      </c>
      <c r="K222" s="1">
        <v>4.5999999999999999E-2</v>
      </c>
      <c r="L222" s="1"/>
      <c r="M222" s="1"/>
      <c r="N222" s="1"/>
      <c r="O222" s="1"/>
      <c r="P222" s="1"/>
      <c r="Q222" s="1"/>
      <c r="R222" s="1"/>
      <c r="S222" s="1" t="s">
        <v>109</v>
      </c>
      <c r="T222" s="1">
        <v>0.32900000000000001</v>
      </c>
      <c r="U222" s="1" t="s">
        <v>109</v>
      </c>
      <c r="V222" s="1">
        <v>3</v>
      </c>
      <c r="W222" s="1">
        <v>19</v>
      </c>
      <c r="X222" s="1" t="s">
        <v>110</v>
      </c>
      <c r="Y222" s="1"/>
      <c r="Z222" s="1">
        <v>0.99099999999999999</v>
      </c>
      <c r="AA222" s="1" t="s">
        <v>111</v>
      </c>
      <c r="AB222" s="1" t="s">
        <v>111</v>
      </c>
      <c r="AC222" s="1" t="s">
        <v>111</v>
      </c>
      <c r="AD222" s="1" t="s">
        <v>111</v>
      </c>
      <c r="AE222" s="1" t="s">
        <v>111</v>
      </c>
      <c r="AF222" s="1" t="s">
        <v>111</v>
      </c>
      <c r="AG222" s="1" t="s">
        <v>111</v>
      </c>
      <c r="AH222" s="1" t="s">
        <v>111</v>
      </c>
      <c r="AI222" s="1">
        <v>82.649000000000001</v>
      </c>
      <c r="AJ222" s="1" t="s">
        <v>111</v>
      </c>
      <c r="AK222" s="1"/>
      <c r="AL222" s="1" t="s">
        <v>111</v>
      </c>
      <c r="AM222" s="1"/>
      <c r="AN222" s="1" t="s">
        <v>111</v>
      </c>
      <c r="AO222" s="1"/>
      <c r="AP222" s="1" t="s">
        <v>111</v>
      </c>
    </row>
    <row r="223" spans="1:42" x14ac:dyDescent="0.25">
      <c r="A223" s="1">
        <v>227</v>
      </c>
      <c r="B223" s="1" t="s">
        <v>300</v>
      </c>
      <c r="C223" s="1" t="s">
        <v>103</v>
      </c>
      <c r="D223" s="1" t="s">
        <v>126</v>
      </c>
      <c r="E223" s="1" t="s">
        <v>269</v>
      </c>
      <c r="F223" s="1" t="s">
        <v>106</v>
      </c>
      <c r="G223" s="1" t="s">
        <v>107</v>
      </c>
      <c r="H223" s="1" t="s">
        <v>108</v>
      </c>
      <c r="I223" s="1">
        <v>25.509</v>
      </c>
      <c r="J223" s="1">
        <v>25.664999999999999</v>
      </c>
      <c r="K223" s="1">
        <v>0.105</v>
      </c>
      <c r="L223" s="1"/>
      <c r="M223" s="1"/>
      <c r="N223" s="1"/>
      <c r="O223" s="1"/>
      <c r="P223" s="1"/>
      <c r="Q223" s="1"/>
      <c r="R223" s="1"/>
      <c r="S223" s="1" t="s">
        <v>109</v>
      </c>
      <c r="T223" s="1">
        <v>0.32900000000000001</v>
      </c>
      <c r="U223" s="1" t="s">
        <v>109</v>
      </c>
      <c r="V223" s="1">
        <v>3</v>
      </c>
      <c r="W223" s="1">
        <v>20</v>
      </c>
      <c r="X223" s="1" t="s">
        <v>110</v>
      </c>
      <c r="Y223" s="1"/>
      <c r="Z223" s="1">
        <v>0.98899999999999999</v>
      </c>
      <c r="AA223" s="1" t="s">
        <v>111</v>
      </c>
      <c r="AB223" s="1" t="s">
        <v>111</v>
      </c>
      <c r="AC223" s="1" t="s">
        <v>111</v>
      </c>
      <c r="AD223" s="1" t="s">
        <v>111</v>
      </c>
      <c r="AE223" s="1" t="s">
        <v>111</v>
      </c>
      <c r="AF223" s="1" t="s">
        <v>111</v>
      </c>
      <c r="AG223" s="1" t="s">
        <v>111</v>
      </c>
      <c r="AH223" s="1" t="s">
        <v>111</v>
      </c>
      <c r="AI223" s="1">
        <v>82.534999999999997</v>
      </c>
      <c r="AJ223" s="1" t="s">
        <v>111</v>
      </c>
      <c r="AK223" s="1"/>
      <c r="AL223" s="1" t="s">
        <v>111</v>
      </c>
      <c r="AM223" s="1"/>
      <c r="AN223" s="1" t="s">
        <v>111</v>
      </c>
      <c r="AO223" s="1"/>
      <c r="AP223" s="1" t="s">
        <v>111</v>
      </c>
    </row>
    <row r="224" spans="1:42" x14ac:dyDescent="0.25">
      <c r="A224" s="1">
        <v>228</v>
      </c>
      <c r="B224" s="1" t="s">
        <v>301</v>
      </c>
      <c r="C224" s="1" t="s">
        <v>103</v>
      </c>
      <c r="D224" s="1" t="s">
        <v>126</v>
      </c>
      <c r="E224" s="1" t="s">
        <v>269</v>
      </c>
      <c r="F224" s="1" t="s">
        <v>106</v>
      </c>
      <c r="G224" s="1" t="s">
        <v>107</v>
      </c>
      <c r="H224" s="1" t="s">
        <v>108</v>
      </c>
      <c r="I224" s="1">
        <v>25.721</v>
      </c>
      <c r="J224" s="1">
        <v>25.664999999999999</v>
      </c>
      <c r="K224" s="1">
        <v>0.105</v>
      </c>
      <c r="L224" s="1"/>
      <c r="M224" s="1"/>
      <c r="N224" s="1"/>
      <c r="O224" s="1"/>
      <c r="P224" s="1"/>
      <c r="Q224" s="1"/>
      <c r="R224" s="1"/>
      <c r="S224" s="1" t="s">
        <v>109</v>
      </c>
      <c r="T224" s="1">
        <v>0.32900000000000001</v>
      </c>
      <c r="U224" s="1" t="s">
        <v>109</v>
      </c>
      <c r="V224" s="1">
        <v>3</v>
      </c>
      <c r="W224" s="1">
        <v>19</v>
      </c>
      <c r="X224" s="1" t="s">
        <v>110</v>
      </c>
      <c r="Y224" s="1"/>
      <c r="Z224" s="1">
        <v>0.98899999999999999</v>
      </c>
      <c r="AA224" s="1" t="s">
        <v>111</v>
      </c>
      <c r="AB224" s="1" t="s">
        <v>111</v>
      </c>
      <c r="AC224" s="1" t="s">
        <v>111</v>
      </c>
      <c r="AD224" s="1" t="s">
        <v>111</v>
      </c>
      <c r="AE224" s="1" t="s">
        <v>111</v>
      </c>
      <c r="AF224" s="1" t="s">
        <v>111</v>
      </c>
      <c r="AG224" s="1" t="s">
        <v>111</v>
      </c>
      <c r="AH224" s="1" t="s">
        <v>111</v>
      </c>
      <c r="AI224" s="1">
        <v>82.649000000000001</v>
      </c>
      <c r="AJ224" s="1" t="s">
        <v>111</v>
      </c>
      <c r="AK224" s="1"/>
      <c r="AL224" s="1" t="s">
        <v>111</v>
      </c>
      <c r="AM224" s="1"/>
      <c r="AN224" s="1" t="s">
        <v>111</v>
      </c>
      <c r="AO224" s="1"/>
      <c r="AP224" s="1" t="s">
        <v>111</v>
      </c>
    </row>
    <row r="225" spans="1:42" x14ac:dyDescent="0.25">
      <c r="A225" s="1">
        <v>233</v>
      </c>
      <c r="B225" s="1" t="s">
        <v>302</v>
      </c>
      <c r="C225" s="1" t="s">
        <v>103</v>
      </c>
      <c r="D225" s="1" t="s">
        <v>282</v>
      </c>
      <c r="E225" s="1" t="s">
        <v>105</v>
      </c>
      <c r="F225" s="1" t="s">
        <v>106</v>
      </c>
      <c r="G225" s="1" t="s">
        <v>107</v>
      </c>
      <c r="H225" s="1" t="s">
        <v>108</v>
      </c>
      <c r="I225" s="1">
        <v>20.882000000000001</v>
      </c>
      <c r="J225" s="1">
        <v>22.827999999999999</v>
      </c>
      <c r="K225" s="1">
        <v>2.7519999999999998</v>
      </c>
      <c r="L225" s="1"/>
      <c r="M225" s="1"/>
      <c r="N225" s="1"/>
      <c r="O225" s="1"/>
      <c r="P225" s="1"/>
      <c r="Q225" s="1"/>
      <c r="R225" s="1"/>
      <c r="S225" s="1" t="s">
        <v>109</v>
      </c>
      <c r="T225" s="1">
        <v>0.42</v>
      </c>
      <c r="U225" s="1" t="s">
        <v>109</v>
      </c>
      <c r="V225" s="1">
        <v>3</v>
      </c>
      <c r="W225" s="1">
        <v>34</v>
      </c>
      <c r="X225" s="1" t="s">
        <v>236</v>
      </c>
      <c r="Y225" s="1"/>
      <c r="Z225" s="1">
        <v>0</v>
      </c>
      <c r="AA225" s="1" t="s">
        <v>205</v>
      </c>
      <c r="AB225" s="1" t="s">
        <v>111</v>
      </c>
      <c r="AC225" s="1" t="s">
        <v>111</v>
      </c>
      <c r="AD225" s="1" t="s">
        <v>205</v>
      </c>
      <c r="AE225" s="1" t="s">
        <v>111</v>
      </c>
      <c r="AF225" s="1" t="s">
        <v>111</v>
      </c>
      <c r="AG225" s="1" t="s">
        <v>111</v>
      </c>
      <c r="AH225" s="1" t="s">
        <v>111</v>
      </c>
      <c r="AI225" s="1">
        <v>60</v>
      </c>
      <c r="AJ225" s="1" t="s">
        <v>205</v>
      </c>
      <c r="AK225" s="1"/>
      <c r="AL225" s="1" t="s">
        <v>111</v>
      </c>
      <c r="AM225" s="1"/>
      <c r="AN225" s="1" t="s">
        <v>205</v>
      </c>
      <c r="AO225" s="1"/>
      <c r="AP225" s="1" t="s">
        <v>111</v>
      </c>
    </row>
    <row r="226" spans="1:42" x14ac:dyDescent="0.25">
      <c r="A226" s="1">
        <v>234</v>
      </c>
      <c r="B226" s="1" t="s">
        <v>303</v>
      </c>
      <c r="C226" s="1" t="s">
        <v>103</v>
      </c>
      <c r="D226" s="1" t="s">
        <v>282</v>
      </c>
      <c r="E226" s="1" t="s">
        <v>105</v>
      </c>
      <c r="F226" s="1" t="s">
        <v>106</v>
      </c>
      <c r="G226" s="1" t="s">
        <v>107</v>
      </c>
      <c r="H226" s="1" t="s">
        <v>108</v>
      </c>
      <c r="I226" s="1">
        <v>24.774000000000001</v>
      </c>
      <c r="J226" s="1">
        <v>22.827999999999999</v>
      </c>
      <c r="K226" s="1">
        <v>2.7519999999999998</v>
      </c>
      <c r="L226" s="1"/>
      <c r="M226" s="1"/>
      <c r="N226" s="1"/>
      <c r="O226" s="1"/>
      <c r="P226" s="1"/>
      <c r="Q226" s="1"/>
      <c r="R226" s="1"/>
      <c r="S226" s="1" t="s">
        <v>109</v>
      </c>
      <c r="T226" s="1">
        <v>0.42</v>
      </c>
      <c r="U226" s="1" t="s">
        <v>109</v>
      </c>
      <c r="V226" s="1">
        <v>3</v>
      </c>
      <c r="W226" s="1">
        <v>18</v>
      </c>
      <c r="X226" s="1" t="s">
        <v>236</v>
      </c>
      <c r="Y226" s="1"/>
      <c r="Z226" s="1">
        <v>0</v>
      </c>
      <c r="AA226" s="1" t="s">
        <v>205</v>
      </c>
      <c r="AB226" s="1" t="s">
        <v>111</v>
      </c>
      <c r="AC226" s="1" t="s">
        <v>111</v>
      </c>
      <c r="AD226" s="1" t="s">
        <v>205</v>
      </c>
      <c r="AE226" s="1" t="s">
        <v>111</v>
      </c>
      <c r="AF226" s="1" t="s">
        <v>111</v>
      </c>
      <c r="AG226" s="1" t="s">
        <v>111</v>
      </c>
      <c r="AH226" s="1" t="s">
        <v>111</v>
      </c>
      <c r="AI226" s="1">
        <v>60</v>
      </c>
      <c r="AJ226" s="1" t="s">
        <v>205</v>
      </c>
      <c r="AK226" s="1"/>
      <c r="AL226" s="1" t="s">
        <v>111</v>
      </c>
      <c r="AM226" s="1"/>
      <c r="AN226" s="1" t="s">
        <v>205</v>
      </c>
      <c r="AO226" s="1"/>
      <c r="AP226" s="1" t="s">
        <v>111</v>
      </c>
    </row>
    <row r="227" spans="1:42" x14ac:dyDescent="0.25">
      <c r="A227" s="1">
        <v>235</v>
      </c>
      <c r="B227" s="1" t="s">
        <v>304</v>
      </c>
      <c r="C227" s="1" t="s">
        <v>103</v>
      </c>
      <c r="D227" s="1" t="s">
        <v>282</v>
      </c>
      <c r="E227" s="1" t="s">
        <v>158</v>
      </c>
      <c r="F227" s="1" t="s">
        <v>106</v>
      </c>
      <c r="G227" s="1" t="s">
        <v>107</v>
      </c>
      <c r="H227" s="1" t="s">
        <v>108</v>
      </c>
      <c r="I227" s="1" t="s">
        <v>235</v>
      </c>
      <c r="J227" s="1">
        <v>29.54</v>
      </c>
      <c r="K227" s="1">
        <v>7.8849999999999998</v>
      </c>
      <c r="L227" s="1"/>
      <c r="M227" s="1"/>
      <c r="N227" s="1"/>
      <c r="O227" s="1"/>
      <c r="P227" s="1"/>
      <c r="Q227" s="1"/>
      <c r="R227" s="1"/>
      <c r="S227" s="1" t="s">
        <v>109</v>
      </c>
      <c r="T227" s="1">
        <v>0.41899999999999998</v>
      </c>
      <c r="U227" s="1" t="s">
        <v>109</v>
      </c>
      <c r="V227" s="1">
        <v>3</v>
      </c>
      <c r="W227" s="1">
        <v>6</v>
      </c>
      <c r="X227" s="1" t="s">
        <v>236</v>
      </c>
      <c r="Y227" s="1"/>
      <c r="Z227" s="1">
        <v>0</v>
      </c>
      <c r="AA227" s="1" t="s">
        <v>205</v>
      </c>
      <c r="AB227" s="1" t="s">
        <v>111</v>
      </c>
      <c r="AC227" s="1" t="s">
        <v>111</v>
      </c>
      <c r="AD227" s="1" t="s">
        <v>111</v>
      </c>
      <c r="AE227" s="1" t="s">
        <v>111</v>
      </c>
      <c r="AF227" s="1" t="s">
        <v>111</v>
      </c>
      <c r="AG227" s="1" t="s">
        <v>111</v>
      </c>
      <c r="AH227" s="1" t="s">
        <v>111</v>
      </c>
      <c r="AI227" s="1">
        <v>60</v>
      </c>
      <c r="AJ227" s="1" t="s">
        <v>111</v>
      </c>
      <c r="AK227" s="1"/>
      <c r="AL227" s="1" t="s">
        <v>111</v>
      </c>
      <c r="AM227" s="1"/>
      <c r="AN227" s="1" t="s">
        <v>205</v>
      </c>
      <c r="AO227" s="1"/>
      <c r="AP227" s="1" t="s">
        <v>111</v>
      </c>
    </row>
    <row r="228" spans="1:42" x14ac:dyDescent="0.25">
      <c r="A228" s="1">
        <v>236</v>
      </c>
      <c r="B228" s="1" t="s">
        <v>305</v>
      </c>
      <c r="C228" s="1" t="s">
        <v>103</v>
      </c>
      <c r="D228" s="1" t="s">
        <v>282</v>
      </c>
      <c r="E228" s="1" t="s">
        <v>158</v>
      </c>
      <c r="F228" s="1" t="s">
        <v>106</v>
      </c>
      <c r="G228" s="1" t="s">
        <v>107</v>
      </c>
      <c r="H228" s="1" t="s">
        <v>108</v>
      </c>
      <c r="I228" s="1">
        <v>23.965</v>
      </c>
      <c r="J228" s="1">
        <v>29.54</v>
      </c>
      <c r="K228" s="1">
        <v>7.8849999999999998</v>
      </c>
      <c r="L228" s="1"/>
      <c r="M228" s="1"/>
      <c r="N228" s="1"/>
      <c r="O228" s="1"/>
      <c r="P228" s="1"/>
      <c r="Q228" s="1"/>
      <c r="R228" s="1"/>
      <c r="S228" s="1" t="s">
        <v>109</v>
      </c>
      <c r="T228" s="1">
        <v>0.41899999999999998</v>
      </c>
      <c r="U228" s="1" t="s">
        <v>109</v>
      </c>
      <c r="V228" s="1">
        <v>3</v>
      </c>
      <c r="W228" s="1">
        <v>23</v>
      </c>
      <c r="X228" s="1" t="s">
        <v>236</v>
      </c>
      <c r="Y228" s="1"/>
      <c r="Z228" s="1">
        <v>0.442</v>
      </c>
      <c r="AA228" s="1" t="s">
        <v>205</v>
      </c>
      <c r="AB228" s="1" t="s">
        <v>111</v>
      </c>
      <c r="AC228" s="1" t="s">
        <v>111</v>
      </c>
      <c r="AD228" s="1" t="s">
        <v>205</v>
      </c>
      <c r="AE228" s="1" t="s">
        <v>111</v>
      </c>
      <c r="AF228" s="1" t="s">
        <v>111</v>
      </c>
      <c r="AG228" s="1" t="s">
        <v>111</v>
      </c>
      <c r="AH228" s="1" t="s">
        <v>111</v>
      </c>
      <c r="AI228" s="1">
        <v>60</v>
      </c>
      <c r="AJ228" s="1" t="s">
        <v>205</v>
      </c>
      <c r="AK228" s="1"/>
      <c r="AL228" s="1" t="s">
        <v>111</v>
      </c>
      <c r="AM228" s="1"/>
      <c r="AN228" s="1" t="s">
        <v>205</v>
      </c>
      <c r="AO228" s="1"/>
      <c r="AP228" s="1" t="s">
        <v>111</v>
      </c>
    </row>
    <row r="229" spans="1:42" x14ac:dyDescent="0.25">
      <c r="A229" s="1">
        <v>237</v>
      </c>
      <c r="B229" s="1" t="s">
        <v>306</v>
      </c>
      <c r="C229" s="1" t="s">
        <v>103</v>
      </c>
      <c r="D229" s="1" t="s">
        <v>282</v>
      </c>
      <c r="E229" s="1" t="s">
        <v>191</v>
      </c>
      <c r="F229" s="1" t="s">
        <v>106</v>
      </c>
      <c r="G229" s="1" t="s">
        <v>107</v>
      </c>
      <c r="H229" s="1" t="s">
        <v>108</v>
      </c>
      <c r="I229" s="1" t="s">
        <v>235</v>
      </c>
      <c r="J229" s="1"/>
      <c r="K229" s="1"/>
      <c r="L229" s="1"/>
      <c r="M229" s="1"/>
      <c r="N229" s="1"/>
      <c r="O229" s="1"/>
      <c r="P229" s="1"/>
      <c r="Q229" s="1"/>
      <c r="R229" s="1"/>
      <c r="S229" s="1" t="s">
        <v>109</v>
      </c>
      <c r="T229" s="1">
        <v>0.56000000000000005</v>
      </c>
      <c r="U229" s="1" t="s">
        <v>109</v>
      </c>
      <c r="V229" s="1">
        <v>3</v>
      </c>
      <c r="W229" s="1">
        <v>29</v>
      </c>
      <c r="X229" s="1" t="s">
        <v>236</v>
      </c>
      <c r="Y229" s="1"/>
      <c r="Z229" s="1">
        <v>0</v>
      </c>
      <c r="AA229" s="1" t="s">
        <v>205</v>
      </c>
      <c r="AB229" s="1" t="s">
        <v>111</v>
      </c>
      <c r="AC229" s="1" t="s">
        <v>111</v>
      </c>
      <c r="AD229" s="1" t="s">
        <v>111</v>
      </c>
      <c r="AE229" s="1" t="s">
        <v>111</v>
      </c>
      <c r="AF229" s="1" t="s">
        <v>111</v>
      </c>
      <c r="AG229" s="1" t="s">
        <v>111</v>
      </c>
      <c r="AH229" s="1" t="s">
        <v>111</v>
      </c>
      <c r="AI229" s="1">
        <v>60</v>
      </c>
      <c r="AJ229" s="1" t="s">
        <v>111</v>
      </c>
      <c r="AK229" s="1"/>
      <c r="AL229" s="1" t="s">
        <v>111</v>
      </c>
      <c r="AM229" s="1"/>
      <c r="AN229" s="1" t="s">
        <v>205</v>
      </c>
      <c r="AO229" s="1"/>
      <c r="AP229" s="1" t="s">
        <v>111</v>
      </c>
    </row>
    <row r="230" spans="1:42" x14ac:dyDescent="0.25">
      <c r="A230" s="1">
        <v>238</v>
      </c>
      <c r="B230" s="1" t="s">
        <v>307</v>
      </c>
      <c r="C230" s="1" t="s">
        <v>103</v>
      </c>
      <c r="D230" s="1" t="s">
        <v>282</v>
      </c>
      <c r="E230" s="1" t="s">
        <v>191</v>
      </c>
      <c r="F230" s="1" t="s">
        <v>106</v>
      </c>
      <c r="G230" s="1" t="s">
        <v>107</v>
      </c>
      <c r="H230" s="1" t="s">
        <v>108</v>
      </c>
      <c r="I230" s="1" t="s">
        <v>235</v>
      </c>
      <c r="J230" s="1"/>
      <c r="K230" s="1"/>
      <c r="L230" s="1"/>
      <c r="M230" s="1"/>
      <c r="N230" s="1"/>
      <c r="O230" s="1"/>
      <c r="P230" s="1"/>
      <c r="Q230" s="1"/>
      <c r="R230" s="1"/>
      <c r="S230" s="1" t="s">
        <v>109</v>
      </c>
      <c r="T230" s="1">
        <v>0.56000000000000005</v>
      </c>
      <c r="U230" s="1" t="s">
        <v>109</v>
      </c>
      <c r="V230" s="1">
        <v>3</v>
      </c>
      <c r="W230" s="1">
        <v>39</v>
      </c>
      <c r="X230" s="1" t="s">
        <v>236</v>
      </c>
      <c r="Y230" s="1"/>
      <c r="Z230" s="1">
        <v>0</v>
      </c>
      <c r="AA230" s="1" t="s">
        <v>205</v>
      </c>
      <c r="AB230" s="1" t="s">
        <v>111</v>
      </c>
      <c r="AC230" s="1" t="s">
        <v>205</v>
      </c>
      <c r="AD230" s="1" t="s">
        <v>111</v>
      </c>
      <c r="AE230" s="1" t="s">
        <v>111</v>
      </c>
      <c r="AF230" s="1" t="s">
        <v>111</v>
      </c>
      <c r="AG230" s="1" t="s">
        <v>111</v>
      </c>
      <c r="AH230" s="1" t="s">
        <v>111</v>
      </c>
      <c r="AI230" s="1">
        <v>60</v>
      </c>
      <c r="AJ230" s="1" t="s">
        <v>205</v>
      </c>
      <c r="AK230" s="1"/>
      <c r="AL230" s="1" t="s">
        <v>111</v>
      </c>
      <c r="AM230" s="1"/>
      <c r="AN230" s="1" t="s">
        <v>205</v>
      </c>
      <c r="AO230" s="1"/>
      <c r="AP230" s="1" t="s">
        <v>111</v>
      </c>
    </row>
    <row r="231" spans="1:42" x14ac:dyDescent="0.25">
      <c r="A231" s="1">
        <v>239</v>
      </c>
      <c r="B231" s="1" t="s">
        <v>308</v>
      </c>
      <c r="C231" s="1" t="s">
        <v>103</v>
      </c>
      <c r="D231" s="1" t="s">
        <v>282</v>
      </c>
      <c r="E231" s="1" t="s">
        <v>234</v>
      </c>
      <c r="F231" s="1" t="s">
        <v>106</v>
      </c>
      <c r="G231" s="1" t="s">
        <v>107</v>
      </c>
      <c r="H231" s="1" t="s">
        <v>108</v>
      </c>
      <c r="I231" s="1">
        <v>20.937000000000001</v>
      </c>
      <c r="J231" s="1">
        <v>28.638999999999999</v>
      </c>
      <c r="K231" s="1">
        <v>10.893000000000001</v>
      </c>
      <c r="L231" s="1"/>
      <c r="M231" s="1"/>
      <c r="N231" s="1"/>
      <c r="O231" s="1"/>
      <c r="P231" s="1"/>
      <c r="Q231" s="1"/>
      <c r="R231" s="1"/>
      <c r="S231" s="1" t="s">
        <v>109</v>
      </c>
      <c r="T231" s="1">
        <v>0.20300000000000001</v>
      </c>
      <c r="U231" s="1" t="s">
        <v>109</v>
      </c>
      <c r="V231" s="1">
        <v>3</v>
      </c>
      <c r="W231" s="1">
        <v>18</v>
      </c>
      <c r="X231" s="1" t="s">
        <v>236</v>
      </c>
      <c r="Y231" s="1"/>
      <c r="Z231" s="1">
        <v>0</v>
      </c>
      <c r="AA231" s="1" t="s">
        <v>205</v>
      </c>
      <c r="AB231" s="1" t="s">
        <v>205</v>
      </c>
      <c r="AC231" s="1" t="s">
        <v>111</v>
      </c>
      <c r="AD231" s="1" t="s">
        <v>205</v>
      </c>
      <c r="AE231" s="1" t="s">
        <v>205</v>
      </c>
      <c r="AF231" s="1" t="s">
        <v>111</v>
      </c>
      <c r="AG231" s="1" t="s">
        <v>111</v>
      </c>
      <c r="AH231" s="1" t="s">
        <v>111</v>
      </c>
      <c r="AI231" s="1">
        <v>60</v>
      </c>
      <c r="AJ231" s="1" t="s">
        <v>205</v>
      </c>
      <c r="AK231" s="1"/>
      <c r="AL231" s="1" t="s">
        <v>111</v>
      </c>
      <c r="AM231" s="1"/>
      <c r="AN231" s="1" t="s">
        <v>205</v>
      </c>
      <c r="AO231" s="1"/>
      <c r="AP231" s="1" t="s">
        <v>205</v>
      </c>
    </row>
    <row r="232" spans="1:42" x14ac:dyDescent="0.25">
      <c r="A232" s="1">
        <v>240</v>
      </c>
      <c r="B232" s="1" t="s">
        <v>309</v>
      </c>
      <c r="C232" s="1" t="s">
        <v>103</v>
      </c>
      <c r="D232" s="1" t="s">
        <v>282</v>
      </c>
      <c r="E232" s="1" t="s">
        <v>234</v>
      </c>
      <c r="F232" s="1" t="s">
        <v>106</v>
      </c>
      <c r="G232" s="1" t="s">
        <v>107</v>
      </c>
      <c r="H232" s="1" t="s">
        <v>108</v>
      </c>
      <c r="I232" s="1">
        <v>36.341999999999999</v>
      </c>
      <c r="J232" s="1">
        <v>28.638999999999999</v>
      </c>
      <c r="K232" s="1">
        <v>10.893000000000001</v>
      </c>
      <c r="L232" s="1"/>
      <c r="M232" s="1"/>
      <c r="N232" s="1"/>
      <c r="O232" s="1"/>
      <c r="P232" s="1"/>
      <c r="Q232" s="1"/>
      <c r="R232" s="1"/>
      <c r="S232" s="1" t="s">
        <v>109</v>
      </c>
      <c r="T232" s="1">
        <v>0.20300000000000001</v>
      </c>
      <c r="U232" s="1" t="s">
        <v>109</v>
      </c>
      <c r="V232" s="1">
        <v>3</v>
      </c>
      <c r="W232" s="1">
        <v>5</v>
      </c>
      <c r="X232" s="1" t="s">
        <v>236</v>
      </c>
      <c r="Y232" s="1"/>
      <c r="Z232" s="1">
        <v>0</v>
      </c>
      <c r="AA232" s="1" t="s">
        <v>205</v>
      </c>
      <c r="AB232" s="1" t="s">
        <v>205</v>
      </c>
      <c r="AC232" s="1" t="s">
        <v>111</v>
      </c>
      <c r="AD232" s="1" t="s">
        <v>205</v>
      </c>
      <c r="AE232" s="1" t="s">
        <v>205</v>
      </c>
      <c r="AF232" s="1" t="s">
        <v>111</v>
      </c>
      <c r="AG232" s="1" t="s">
        <v>111</v>
      </c>
      <c r="AH232" s="1" t="s">
        <v>111</v>
      </c>
      <c r="AI232" s="1">
        <v>60.113</v>
      </c>
      <c r="AJ232" s="1" t="s">
        <v>205</v>
      </c>
      <c r="AK232" s="1"/>
      <c r="AL232" s="1" t="s">
        <v>111</v>
      </c>
      <c r="AM232" s="1"/>
      <c r="AN232" s="1" t="s">
        <v>205</v>
      </c>
      <c r="AO232" s="1"/>
      <c r="AP232" s="1" t="s">
        <v>205</v>
      </c>
    </row>
    <row r="233" spans="1:42" x14ac:dyDescent="0.25">
      <c r="A233" s="1">
        <v>241</v>
      </c>
      <c r="B233" s="1" t="s">
        <v>310</v>
      </c>
      <c r="C233" s="1" t="s">
        <v>103</v>
      </c>
      <c r="D233" s="1" t="s">
        <v>104</v>
      </c>
      <c r="E233" s="1" t="s">
        <v>311</v>
      </c>
      <c r="F233" s="1" t="s">
        <v>106</v>
      </c>
      <c r="G233" s="1" t="s">
        <v>107</v>
      </c>
      <c r="H233" s="1" t="s">
        <v>108</v>
      </c>
      <c r="I233" s="1" t="s">
        <v>235</v>
      </c>
      <c r="J233" s="1">
        <v>33.601999999999997</v>
      </c>
      <c r="K233" s="1">
        <v>5.2999999999999999E-2</v>
      </c>
      <c r="L233" s="1"/>
      <c r="M233" s="1"/>
      <c r="N233" s="1"/>
      <c r="O233" s="1"/>
      <c r="P233" s="1"/>
      <c r="Q233" s="1"/>
      <c r="R233" s="1"/>
      <c r="S233" s="1" t="s">
        <v>109</v>
      </c>
      <c r="T233" s="1">
        <v>0.27200000000000002</v>
      </c>
      <c r="U233" s="1" t="s">
        <v>109</v>
      </c>
      <c r="V233" s="1">
        <v>3</v>
      </c>
      <c r="W233" s="1">
        <v>39</v>
      </c>
      <c r="X233" s="1" t="s">
        <v>236</v>
      </c>
      <c r="Y233" s="1"/>
      <c r="Z233" s="1">
        <v>0</v>
      </c>
      <c r="AA233" s="1" t="s">
        <v>205</v>
      </c>
      <c r="AB233" s="1" t="s">
        <v>111</v>
      </c>
      <c r="AC233" s="1" t="s">
        <v>205</v>
      </c>
      <c r="AD233" s="1" t="s">
        <v>111</v>
      </c>
      <c r="AE233" s="1" t="s">
        <v>111</v>
      </c>
      <c r="AF233" s="1" t="s">
        <v>111</v>
      </c>
      <c r="AG233" s="1" t="s">
        <v>111</v>
      </c>
      <c r="AH233" s="1" t="s">
        <v>111</v>
      </c>
      <c r="AI233" s="1">
        <v>60.341000000000001</v>
      </c>
      <c r="AJ233" s="1" t="s">
        <v>111</v>
      </c>
      <c r="AK233" s="1"/>
      <c r="AL233" s="1" t="s">
        <v>205</v>
      </c>
      <c r="AM233" s="1"/>
      <c r="AN233" s="1" t="s">
        <v>111</v>
      </c>
      <c r="AO233" s="1"/>
      <c r="AP233" s="1" t="s">
        <v>111</v>
      </c>
    </row>
    <row r="234" spans="1:42" x14ac:dyDescent="0.25">
      <c r="A234" s="1">
        <v>242</v>
      </c>
      <c r="B234" s="1" t="s">
        <v>312</v>
      </c>
      <c r="C234" s="1" t="s">
        <v>103</v>
      </c>
      <c r="D234" s="1" t="s">
        <v>104</v>
      </c>
      <c r="E234" s="1" t="s">
        <v>311</v>
      </c>
      <c r="F234" s="1" t="s">
        <v>106</v>
      </c>
      <c r="G234" s="1" t="s">
        <v>107</v>
      </c>
      <c r="H234" s="1" t="s">
        <v>108</v>
      </c>
      <c r="I234" s="1">
        <v>33.564</v>
      </c>
      <c r="J234" s="1">
        <v>33.601999999999997</v>
      </c>
      <c r="K234" s="1">
        <v>5.2999999999999999E-2</v>
      </c>
      <c r="L234" s="1"/>
      <c r="M234" s="1"/>
      <c r="N234" s="1"/>
      <c r="O234" s="1"/>
      <c r="P234" s="1"/>
      <c r="Q234" s="1"/>
      <c r="R234" s="1"/>
      <c r="S234" s="1" t="s">
        <v>109</v>
      </c>
      <c r="T234" s="1">
        <v>0.27200000000000002</v>
      </c>
      <c r="U234" s="1" t="s">
        <v>109</v>
      </c>
      <c r="V234" s="1">
        <v>3</v>
      </c>
      <c r="W234" s="1">
        <v>27</v>
      </c>
      <c r="X234" s="1" t="s">
        <v>110</v>
      </c>
      <c r="Y234" s="1"/>
      <c r="Z234" s="1">
        <v>0.98099999999999998</v>
      </c>
      <c r="AA234" s="1" t="s">
        <v>111</v>
      </c>
      <c r="AB234" s="1" t="s">
        <v>111</v>
      </c>
      <c r="AC234" s="1" t="s">
        <v>111</v>
      </c>
      <c r="AD234" s="1" t="s">
        <v>111</v>
      </c>
      <c r="AE234" s="1" t="s">
        <v>111</v>
      </c>
      <c r="AF234" s="1" t="s">
        <v>111</v>
      </c>
      <c r="AG234" s="1" t="s">
        <v>111</v>
      </c>
      <c r="AH234" s="1" t="s">
        <v>111</v>
      </c>
      <c r="AI234" s="1">
        <v>80.698999999999998</v>
      </c>
      <c r="AJ234" s="1" t="s">
        <v>111</v>
      </c>
      <c r="AK234" s="1"/>
      <c r="AL234" s="1" t="s">
        <v>111</v>
      </c>
      <c r="AM234" s="1"/>
      <c r="AN234" s="1" t="s">
        <v>111</v>
      </c>
      <c r="AO234" s="1"/>
      <c r="AP234" s="1" t="s">
        <v>111</v>
      </c>
    </row>
    <row r="235" spans="1:42" x14ac:dyDescent="0.25">
      <c r="A235" s="1">
        <v>243</v>
      </c>
      <c r="B235" s="1" t="s">
        <v>313</v>
      </c>
      <c r="C235" s="1" t="s">
        <v>103</v>
      </c>
      <c r="D235" s="1" t="s">
        <v>114</v>
      </c>
      <c r="E235" s="1" t="s">
        <v>311</v>
      </c>
      <c r="F235" s="1" t="s">
        <v>106</v>
      </c>
      <c r="G235" s="1" t="s">
        <v>107</v>
      </c>
      <c r="H235" s="1" t="s">
        <v>108</v>
      </c>
      <c r="I235" s="1">
        <v>32.262999999999998</v>
      </c>
      <c r="J235" s="1">
        <v>32.363999999999997</v>
      </c>
      <c r="K235" s="1">
        <v>0.14299999999999999</v>
      </c>
      <c r="L235" s="1"/>
      <c r="M235" s="1"/>
      <c r="N235" s="1"/>
      <c r="O235" s="1"/>
      <c r="P235" s="1"/>
      <c r="Q235" s="1"/>
      <c r="R235" s="1"/>
      <c r="S235" s="1" t="s">
        <v>109</v>
      </c>
      <c r="T235" s="1">
        <v>0.27200000000000002</v>
      </c>
      <c r="U235" s="1" t="s">
        <v>109</v>
      </c>
      <c r="V235" s="1">
        <v>3</v>
      </c>
      <c r="W235" s="1">
        <v>26</v>
      </c>
      <c r="X235" s="1" t="s">
        <v>110</v>
      </c>
      <c r="Y235" s="1"/>
      <c r="Z235" s="1">
        <v>0.98099999999999998</v>
      </c>
      <c r="AA235" s="1" t="s">
        <v>111</v>
      </c>
      <c r="AB235" s="1" t="s">
        <v>111</v>
      </c>
      <c r="AC235" s="1" t="s">
        <v>111</v>
      </c>
      <c r="AD235" s="1" t="s">
        <v>111</v>
      </c>
      <c r="AE235" s="1" t="s">
        <v>111</v>
      </c>
      <c r="AF235" s="1" t="s">
        <v>111</v>
      </c>
      <c r="AG235" s="1" t="s">
        <v>111</v>
      </c>
      <c r="AH235" s="1" t="s">
        <v>111</v>
      </c>
      <c r="AI235" s="1">
        <v>80.698999999999998</v>
      </c>
      <c r="AJ235" s="1" t="s">
        <v>111</v>
      </c>
      <c r="AK235" s="1"/>
      <c r="AL235" s="1" t="s">
        <v>111</v>
      </c>
      <c r="AM235" s="1"/>
      <c r="AN235" s="1" t="s">
        <v>111</v>
      </c>
      <c r="AO235" s="1"/>
      <c r="AP235" s="1" t="s">
        <v>111</v>
      </c>
    </row>
    <row r="236" spans="1:42" x14ac:dyDescent="0.25">
      <c r="A236" s="1">
        <v>244</v>
      </c>
      <c r="B236" s="1" t="s">
        <v>314</v>
      </c>
      <c r="C236" s="1" t="s">
        <v>103</v>
      </c>
      <c r="D236" s="1" t="s">
        <v>114</v>
      </c>
      <c r="E236" s="1" t="s">
        <v>311</v>
      </c>
      <c r="F236" s="1" t="s">
        <v>106</v>
      </c>
      <c r="G236" s="1" t="s">
        <v>107</v>
      </c>
      <c r="H236" s="1" t="s">
        <v>108</v>
      </c>
      <c r="I236" s="1">
        <v>32.465000000000003</v>
      </c>
      <c r="J236" s="1">
        <v>32.363999999999997</v>
      </c>
      <c r="K236" s="1">
        <v>0.14299999999999999</v>
      </c>
      <c r="L236" s="1"/>
      <c r="M236" s="1"/>
      <c r="N236" s="1"/>
      <c r="O236" s="1"/>
      <c r="P236" s="1"/>
      <c r="Q236" s="1"/>
      <c r="R236" s="1"/>
      <c r="S236" s="1" t="s">
        <v>109</v>
      </c>
      <c r="T236" s="1">
        <v>0.27200000000000002</v>
      </c>
      <c r="U236" s="1" t="s">
        <v>109</v>
      </c>
      <c r="V236" s="1">
        <v>3</v>
      </c>
      <c r="W236" s="1">
        <v>27</v>
      </c>
      <c r="X236" s="1" t="s">
        <v>110</v>
      </c>
      <c r="Y236" s="1"/>
      <c r="Z236" s="1">
        <v>0.98299999999999998</v>
      </c>
      <c r="AA236" s="1" t="s">
        <v>111</v>
      </c>
      <c r="AB236" s="1" t="s">
        <v>111</v>
      </c>
      <c r="AC236" s="1" t="s">
        <v>111</v>
      </c>
      <c r="AD236" s="1" t="s">
        <v>111</v>
      </c>
      <c r="AE236" s="1" t="s">
        <v>111</v>
      </c>
      <c r="AF236" s="1" t="s">
        <v>111</v>
      </c>
      <c r="AG236" s="1" t="s">
        <v>111</v>
      </c>
      <c r="AH236" s="1" t="s">
        <v>111</v>
      </c>
      <c r="AI236" s="1">
        <v>80.698999999999998</v>
      </c>
      <c r="AJ236" s="1" t="s">
        <v>111</v>
      </c>
      <c r="AK236" s="1"/>
      <c r="AL236" s="1" t="s">
        <v>111</v>
      </c>
      <c r="AM236" s="1"/>
      <c r="AN236" s="1" t="s">
        <v>111</v>
      </c>
      <c r="AO236" s="1"/>
      <c r="AP236" s="1" t="s">
        <v>111</v>
      </c>
    </row>
    <row r="237" spans="1:42" x14ac:dyDescent="0.25">
      <c r="A237" s="1">
        <v>245</v>
      </c>
      <c r="B237" s="1" t="s">
        <v>315</v>
      </c>
      <c r="C237" s="1" t="s">
        <v>103</v>
      </c>
      <c r="D237" s="1" t="s">
        <v>117</v>
      </c>
      <c r="E237" s="1" t="s">
        <v>311</v>
      </c>
      <c r="F237" s="1" t="s">
        <v>106</v>
      </c>
      <c r="G237" s="1" t="s">
        <v>107</v>
      </c>
      <c r="H237" s="1" t="s">
        <v>108</v>
      </c>
      <c r="I237" s="1">
        <v>31.548999999999999</v>
      </c>
      <c r="J237" s="1">
        <v>31.548999999999999</v>
      </c>
      <c r="K237" s="1"/>
      <c r="L237" s="1"/>
      <c r="M237" s="1"/>
      <c r="N237" s="1"/>
      <c r="O237" s="1"/>
      <c r="P237" s="1"/>
      <c r="Q237" s="1"/>
      <c r="R237" s="1"/>
      <c r="S237" s="1" t="s">
        <v>109</v>
      </c>
      <c r="T237" s="1">
        <v>0.27200000000000002</v>
      </c>
      <c r="U237" s="1" t="s">
        <v>109</v>
      </c>
      <c r="V237" s="1">
        <v>3</v>
      </c>
      <c r="W237" s="1">
        <v>26</v>
      </c>
      <c r="X237" s="1" t="s">
        <v>110</v>
      </c>
      <c r="Y237" s="1"/>
      <c r="Z237" s="1">
        <v>0.99199999999999999</v>
      </c>
      <c r="AA237" s="1" t="s">
        <v>111</v>
      </c>
      <c r="AB237" s="1" t="s">
        <v>111</v>
      </c>
      <c r="AC237" s="1" t="s">
        <v>111</v>
      </c>
      <c r="AD237" s="1" t="s">
        <v>111</v>
      </c>
      <c r="AE237" s="1" t="s">
        <v>111</v>
      </c>
      <c r="AF237" s="1" t="s">
        <v>111</v>
      </c>
      <c r="AG237" s="1" t="s">
        <v>111</v>
      </c>
      <c r="AH237" s="1" t="s">
        <v>111</v>
      </c>
      <c r="AI237" s="1">
        <v>80.629000000000005</v>
      </c>
      <c r="AJ237" s="1" t="s">
        <v>111</v>
      </c>
      <c r="AK237" s="1"/>
      <c r="AL237" s="1" t="s">
        <v>111</v>
      </c>
      <c r="AM237" s="1"/>
      <c r="AN237" s="1" t="s">
        <v>111</v>
      </c>
      <c r="AO237" s="1"/>
      <c r="AP237" s="1" t="s">
        <v>111</v>
      </c>
    </row>
    <row r="238" spans="1:42" x14ac:dyDescent="0.25">
      <c r="A238" s="1">
        <v>246</v>
      </c>
      <c r="B238" s="1" t="s">
        <v>316</v>
      </c>
      <c r="C238" s="1" t="s">
        <v>103</v>
      </c>
      <c r="D238" s="1" t="s">
        <v>117</v>
      </c>
      <c r="E238" s="1" t="s">
        <v>311</v>
      </c>
      <c r="F238" s="1" t="s">
        <v>106</v>
      </c>
      <c r="G238" s="1" t="s">
        <v>107</v>
      </c>
      <c r="H238" s="1" t="s">
        <v>108</v>
      </c>
      <c r="I238" s="1" t="s">
        <v>235</v>
      </c>
      <c r="J238" s="1">
        <v>31.548999999999999</v>
      </c>
      <c r="K238" s="1"/>
      <c r="L238" s="1"/>
      <c r="M238" s="1"/>
      <c r="N238" s="1"/>
      <c r="O238" s="1"/>
      <c r="P238" s="1"/>
      <c r="Q238" s="1"/>
      <c r="R238" s="1"/>
      <c r="S238" s="1" t="s">
        <v>109</v>
      </c>
      <c r="T238" s="1">
        <v>0.27200000000000002</v>
      </c>
      <c r="U238" s="1" t="s">
        <v>109</v>
      </c>
      <c r="V238" s="1">
        <v>3</v>
      </c>
      <c r="W238" s="1">
        <v>39</v>
      </c>
      <c r="X238" s="1" t="s">
        <v>236</v>
      </c>
      <c r="Y238" s="1"/>
      <c r="Z238" s="1">
        <v>0</v>
      </c>
      <c r="AA238" s="1" t="s">
        <v>205</v>
      </c>
      <c r="AB238" s="1" t="s">
        <v>111</v>
      </c>
      <c r="AC238" s="1" t="s">
        <v>205</v>
      </c>
      <c r="AD238" s="1" t="s">
        <v>111</v>
      </c>
      <c r="AE238" s="1" t="s">
        <v>111</v>
      </c>
      <c r="AF238" s="1" t="s">
        <v>111</v>
      </c>
      <c r="AG238" s="1" t="s">
        <v>111</v>
      </c>
      <c r="AH238" s="1" t="s">
        <v>111</v>
      </c>
      <c r="AI238" s="1">
        <v>60</v>
      </c>
      <c r="AJ238" s="1" t="s">
        <v>111</v>
      </c>
      <c r="AK238" s="1"/>
      <c r="AL238" s="1" t="s">
        <v>205</v>
      </c>
      <c r="AM238" s="1"/>
      <c r="AN238" s="1" t="s">
        <v>111</v>
      </c>
      <c r="AO238" s="1"/>
      <c r="AP238" s="1" t="s">
        <v>111</v>
      </c>
    </row>
    <row r="239" spans="1:42" x14ac:dyDescent="0.25">
      <c r="A239" s="1">
        <v>247</v>
      </c>
      <c r="B239" s="1" t="s">
        <v>317</v>
      </c>
      <c r="C239" s="1" t="s">
        <v>103</v>
      </c>
      <c r="D239" s="1" t="s">
        <v>120</v>
      </c>
      <c r="E239" s="1" t="s">
        <v>311</v>
      </c>
      <c r="F239" s="1" t="s">
        <v>106</v>
      </c>
      <c r="G239" s="1" t="s">
        <v>107</v>
      </c>
      <c r="H239" s="1" t="s">
        <v>108</v>
      </c>
      <c r="I239" s="1">
        <v>33.695999999999998</v>
      </c>
      <c r="J239" s="1">
        <v>34.046999999999997</v>
      </c>
      <c r="K239" s="1">
        <v>1.798</v>
      </c>
      <c r="L239" s="1"/>
      <c r="M239" s="1"/>
      <c r="N239" s="1"/>
      <c r="O239" s="1"/>
      <c r="P239" s="1"/>
      <c r="Q239" s="1"/>
      <c r="R239" s="1"/>
      <c r="S239" s="1" t="s">
        <v>109</v>
      </c>
      <c r="T239" s="1">
        <v>0.27200000000000002</v>
      </c>
      <c r="U239" s="1" t="s">
        <v>109</v>
      </c>
      <c r="V239" s="1">
        <v>3</v>
      </c>
      <c r="W239" s="1">
        <v>28</v>
      </c>
      <c r="X239" s="1" t="s">
        <v>110</v>
      </c>
      <c r="Y239" s="1"/>
      <c r="Z239" s="1">
        <v>0.98199999999999998</v>
      </c>
      <c r="AA239" s="1" t="s">
        <v>111</v>
      </c>
      <c r="AB239" s="1" t="s">
        <v>111</v>
      </c>
      <c r="AC239" s="1" t="s">
        <v>111</v>
      </c>
      <c r="AD239" s="1" t="s">
        <v>205</v>
      </c>
      <c r="AE239" s="1" t="s">
        <v>111</v>
      </c>
      <c r="AF239" s="1" t="s">
        <v>111</v>
      </c>
      <c r="AG239" s="1" t="s">
        <v>111</v>
      </c>
      <c r="AH239" s="1" t="s">
        <v>111</v>
      </c>
      <c r="AI239" s="1">
        <v>80.742000000000004</v>
      </c>
      <c r="AJ239" s="1" t="s">
        <v>111</v>
      </c>
      <c r="AK239" s="1"/>
      <c r="AL239" s="1" t="s">
        <v>111</v>
      </c>
      <c r="AM239" s="1"/>
      <c r="AN239" s="1" t="s">
        <v>111</v>
      </c>
      <c r="AO239" s="1"/>
      <c r="AP239" s="1" t="s">
        <v>111</v>
      </c>
    </row>
    <row r="240" spans="1:42" x14ac:dyDescent="0.25">
      <c r="A240" s="1">
        <v>248</v>
      </c>
      <c r="B240" s="1" t="s">
        <v>318</v>
      </c>
      <c r="C240" s="1" t="s">
        <v>103</v>
      </c>
      <c r="D240" s="1" t="s">
        <v>120</v>
      </c>
      <c r="E240" s="1" t="s">
        <v>311</v>
      </c>
      <c r="F240" s="1" t="s">
        <v>106</v>
      </c>
      <c r="G240" s="1" t="s">
        <v>107</v>
      </c>
      <c r="H240" s="1" t="s">
        <v>108</v>
      </c>
      <c r="I240" s="1">
        <v>33.982999999999997</v>
      </c>
      <c r="J240" s="1">
        <v>34.046999999999997</v>
      </c>
      <c r="K240" s="1">
        <v>1.798</v>
      </c>
      <c r="L240" s="1"/>
      <c r="M240" s="1"/>
      <c r="N240" s="1"/>
      <c r="O240" s="1"/>
      <c r="P240" s="1"/>
      <c r="Q240" s="1"/>
      <c r="R240" s="1"/>
      <c r="S240" s="1" t="s">
        <v>109</v>
      </c>
      <c r="T240" s="1">
        <v>0.27200000000000002</v>
      </c>
      <c r="U240" s="1" t="s">
        <v>109</v>
      </c>
      <c r="V240" s="1">
        <v>3</v>
      </c>
      <c r="W240" s="1">
        <v>28</v>
      </c>
      <c r="X240" s="1" t="s">
        <v>110</v>
      </c>
      <c r="Y240" s="1"/>
      <c r="Z240" s="1">
        <v>0.98599999999999999</v>
      </c>
      <c r="AA240" s="1" t="s">
        <v>111</v>
      </c>
      <c r="AB240" s="1" t="s">
        <v>111</v>
      </c>
      <c r="AC240" s="1" t="s">
        <v>111</v>
      </c>
      <c r="AD240" s="1" t="s">
        <v>205</v>
      </c>
      <c r="AE240" s="1" t="s">
        <v>111</v>
      </c>
      <c r="AF240" s="1" t="s">
        <v>111</v>
      </c>
      <c r="AG240" s="1" t="s">
        <v>111</v>
      </c>
      <c r="AH240" s="1" t="s">
        <v>111</v>
      </c>
      <c r="AI240" s="1">
        <v>80.629000000000005</v>
      </c>
      <c r="AJ240" s="1" t="s">
        <v>111</v>
      </c>
      <c r="AK240" s="1"/>
      <c r="AL240" s="1" t="s">
        <v>111</v>
      </c>
      <c r="AM240" s="1"/>
      <c r="AN240" s="1" t="s">
        <v>111</v>
      </c>
      <c r="AO240" s="1"/>
      <c r="AP240" s="1" t="s">
        <v>111</v>
      </c>
    </row>
    <row r="241" spans="1:42" x14ac:dyDescent="0.25">
      <c r="A241" s="1">
        <v>249</v>
      </c>
      <c r="B241" s="1" t="s">
        <v>319</v>
      </c>
      <c r="C241" s="1" t="s">
        <v>103</v>
      </c>
      <c r="D241" s="1" t="s">
        <v>123</v>
      </c>
      <c r="E241" s="1" t="s">
        <v>311</v>
      </c>
      <c r="F241" s="1" t="s">
        <v>106</v>
      </c>
      <c r="G241" s="1" t="s">
        <v>107</v>
      </c>
      <c r="H241" s="1" t="s">
        <v>108</v>
      </c>
      <c r="I241" s="1">
        <v>33.643999999999998</v>
      </c>
      <c r="J241" s="1">
        <v>32.572000000000003</v>
      </c>
      <c r="K241" s="1">
        <v>0.97199999999999998</v>
      </c>
      <c r="L241" s="1"/>
      <c r="M241" s="1"/>
      <c r="N241" s="1"/>
      <c r="O241" s="1"/>
      <c r="P241" s="1"/>
      <c r="Q241" s="1"/>
      <c r="R241" s="1"/>
      <c r="S241" s="1" t="s">
        <v>109</v>
      </c>
      <c r="T241" s="1">
        <v>0.27200000000000002</v>
      </c>
      <c r="U241" s="1" t="s">
        <v>109</v>
      </c>
      <c r="V241" s="1">
        <v>3</v>
      </c>
      <c r="W241" s="1">
        <v>27</v>
      </c>
      <c r="X241" s="1" t="s">
        <v>110</v>
      </c>
      <c r="Y241" s="1"/>
      <c r="Z241" s="1">
        <v>0.98699999999999999</v>
      </c>
      <c r="AA241" s="1" t="s">
        <v>111</v>
      </c>
      <c r="AB241" s="1" t="s">
        <v>111</v>
      </c>
      <c r="AC241" s="1" t="s">
        <v>111</v>
      </c>
      <c r="AD241" s="1" t="s">
        <v>205</v>
      </c>
      <c r="AE241" s="1" t="s">
        <v>111</v>
      </c>
      <c r="AF241" s="1" t="s">
        <v>111</v>
      </c>
      <c r="AG241" s="1" t="s">
        <v>111</v>
      </c>
      <c r="AH241" s="1" t="s">
        <v>111</v>
      </c>
      <c r="AI241" s="1">
        <v>80.713999999999999</v>
      </c>
      <c r="AJ241" s="1" t="s">
        <v>111</v>
      </c>
      <c r="AK241" s="1"/>
      <c r="AL241" s="1" t="s">
        <v>111</v>
      </c>
      <c r="AM241" s="1"/>
      <c r="AN241" s="1" t="s">
        <v>111</v>
      </c>
      <c r="AO241" s="1"/>
      <c r="AP241" s="1" t="s">
        <v>111</v>
      </c>
    </row>
    <row r="242" spans="1:42" x14ac:dyDescent="0.25">
      <c r="A242" s="1">
        <v>250</v>
      </c>
      <c r="B242" s="1" t="s">
        <v>320</v>
      </c>
      <c r="C242" s="1" t="s">
        <v>103</v>
      </c>
      <c r="D242" s="1" t="s">
        <v>123</v>
      </c>
      <c r="E242" s="1" t="s">
        <v>311</v>
      </c>
      <c r="F242" s="1" t="s">
        <v>106</v>
      </c>
      <c r="G242" s="1" t="s">
        <v>107</v>
      </c>
      <c r="H242" s="1" t="s">
        <v>108</v>
      </c>
      <c r="I242" s="1">
        <v>31.75</v>
      </c>
      <c r="J242" s="1">
        <v>32.572000000000003</v>
      </c>
      <c r="K242" s="1">
        <v>0.97199999999999998</v>
      </c>
      <c r="L242" s="1"/>
      <c r="M242" s="1"/>
      <c r="N242" s="1"/>
      <c r="O242" s="1"/>
      <c r="P242" s="1"/>
      <c r="Q242" s="1"/>
      <c r="R242" s="1"/>
      <c r="S242" s="1" t="s">
        <v>109</v>
      </c>
      <c r="T242" s="1">
        <v>0.27200000000000002</v>
      </c>
      <c r="U242" s="1" t="s">
        <v>109</v>
      </c>
      <c r="V242" s="1">
        <v>3</v>
      </c>
      <c r="W242" s="1">
        <v>26</v>
      </c>
      <c r="X242" s="1" t="s">
        <v>110</v>
      </c>
      <c r="Y242" s="1"/>
      <c r="Z242" s="1">
        <v>0.98899999999999999</v>
      </c>
      <c r="AA242" s="1" t="s">
        <v>111</v>
      </c>
      <c r="AB242" s="1" t="s">
        <v>111</v>
      </c>
      <c r="AC242" s="1" t="s">
        <v>111</v>
      </c>
      <c r="AD242" s="1" t="s">
        <v>205</v>
      </c>
      <c r="AE242" s="1" t="s">
        <v>111</v>
      </c>
      <c r="AF242" s="1" t="s">
        <v>111</v>
      </c>
      <c r="AG242" s="1" t="s">
        <v>111</v>
      </c>
      <c r="AH242" s="1" t="s">
        <v>111</v>
      </c>
      <c r="AI242" s="1">
        <v>80.713999999999999</v>
      </c>
      <c r="AJ242" s="1" t="s">
        <v>111</v>
      </c>
      <c r="AK242" s="1"/>
      <c r="AL242" s="1" t="s">
        <v>111</v>
      </c>
      <c r="AM242" s="1"/>
      <c r="AN242" s="1" t="s">
        <v>111</v>
      </c>
      <c r="AO242" s="1"/>
      <c r="AP242" s="1" t="s">
        <v>111</v>
      </c>
    </row>
    <row r="243" spans="1:42" x14ac:dyDescent="0.25">
      <c r="A243" s="1">
        <v>251</v>
      </c>
      <c r="B243" s="1" t="s">
        <v>321</v>
      </c>
      <c r="C243" s="1" t="s">
        <v>103</v>
      </c>
      <c r="D243" s="1" t="s">
        <v>126</v>
      </c>
      <c r="E243" s="1" t="s">
        <v>311</v>
      </c>
      <c r="F243" s="1" t="s">
        <v>106</v>
      </c>
      <c r="G243" s="1" t="s">
        <v>107</v>
      </c>
      <c r="H243" s="1" t="s">
        <v>108</v>
      </c>
      <c r="I243" s="1">
        <v>32.127000000000002</v>
      </c>
      <c r="J243" s="1">
        <v>32.524000000000001</v>
      </c>
      <c r="K243" s="1">
        <v>0.871</v>
      </c>
      <c r="L243" s="1"/>
      <c r="M243" s="1"/>
      <c r="N243" s="1"/>
      <c r="O243" s="1"/>
      <c r="P243" s="1"/>
      <c r="Q243" s="1"/>
      <c r="R243" s="1"/>
      <c r="S243" s="1" t="s">
        <v>109</v>
      </c>
      <c r="T243" s="1">
        <v>0.27200000000000002</v>
      </c>
      <c r="U243" s="1" t="s">
        <v>109</v>
      </c>
      <c r="V243" s="1">
        <v>3</v>
      </c>
      <c r="W243" s="1">
        <v>26</v>
      </c>
      <c r="X243" s="1" t="s">
        <v>110</v>
      </c>
      <c r="Y243" s="1"/>
      <c r="Z243" s="1">
        <v>0.98599999999999999</v>
      </c>
      <c r="AA243" s="1" t="s">
        <v>111</v>
      </c>
      <c r="AB243" s="1" t="s">
        <v>111</v>
      </c>
      <c r="AC243" s="1" t="s">
        <v>111</v>
      </c>
      <c r="AD243" s="1" t="s">
        <v>205</v>
      </c>
      <c r="AE243" s="1" t="s">
        <v>111</v>
      </c>
      <c r="AF243" s="1" t="s">
        <v>111</v>
      </c>
      <c r="AG243" s="1" t="s">
        <v>111</v>
      </c>
      <c r="AH243" s="1" t="s">
        <v>111</v>
      </c>
      <c r="AI243" s="1">
        <v>80.713999999999999</v>
      </c>
      <c r="AJ243" s="1" t="s">
        <v>111</v>
      </c>
      <c r="AK243" s="1"/>
      <c r="AL243" s="1" t="s">
        <v>111</v>
      </c>
      <c r="AM243" s="1"/>
      <c r="AN243" s="1" t="s">
        <v>111</v>
      </c>
      <c r="AO243" s="1"/>
      <c r="AP243" s="1" t="s">
        <v>111</v>
      </c>
    </row>
    <row r="244" spans="1:42" x14ac:dyDescent="0.25">
      <c r="A244" s="1">
        <v>252</v>
      </c>
      <c r="B244" s="1" t="s">
        <v>322</v>
      </c>
      <c r="C244" s="1" t="s">
        <v>103</v>
      </c>
      <c r="D244" s="1" t="s">
        <v>126</v>
      </c>
      <c r="E244" s="1" t="s">
        <v>311</v>
      </c>
      <c r="F244" s="1" t="s">
        <v>106</v>
      </c>
      <c r="G244" s="1" t="s">
        <v>107</v>
      </c>
      <c r="H244" s="1" t="s">
        <v>108</v>
      </c>
      <c r="I244" s="1">
        <v>31.562000000000001</v>
      </c>
      <c r="J244" s="1">
        <v>32.524000000000001</v>
      </c>
      <c r="K244" s="1">
        <v>0.871</v>
      </c>
      <c r="L244" s="1"/>
      <c r="M244" s="1"/>
      <c r="N244" s="1"/>
      <c r="O244" s="1"/>
      <c r="P244" s="1"/>
      <c r="Q244" s="1"/>
      <c r="R244" s="1"/>
      <c r="S244" s="1" t="s">
        <v>109</v>
      </c>
      <c r="T244" s="1">
        <v>0.27200000000000002</v>
      </c>
      <c r="U244" s="1" t="s">
        <v>109</v>
      </c>
      <c r="V244" s="1">
        <v>3</v>
      </c>
      <c r="W244" s="1">
        <v>25</v>
      </c>
      <c r="X244" s="1" t="s">
        <v>110</v>
      </c>
      <c r="Y244" s="1"/>
      <c r="Z244" s="1">
        <v>0.98799999999999999</v>
      </c>
      <c r="AA244" s="1" t="s">
        <v>111</v>
      </c>
      <c r="AB244" s="1" t="s">
        <v>111</v>
      </c>
      <c r="AC244" s="1" t="s">
        <v>111</v>
      </c>
      <c r="AD244" s="1" t="s">
        <v>205</v>
      </c>
      <c r="AE244" s="1" t="s">
        <v>111</v>
      </c>
      <c r="AF244" s="1" t="s">
        <v>111</v>
      </c>
      <c r="AG244" s="1" t="s">
        <v>111</v>
      </c>
      <c r="AH244" s="1" t="s">
        <v>111</v>
      </c>
      <c r="AI244" s="1">
        <v>80.713999999999999</v>
      </c>
      <c r="AJ244" s="1" t="s">
        <v>111</v>
      </c>
      <c r="AK244" s="1"/>
      <c r="AL244" s="1" t="s">
        <v>111</v>
      </c>
      <c r="AM244" s="1"/>
      <c r="AN244" s="1" t="s">
        <v>111</v>
      </c>
      <c r="AO244" s="1"/>
      <c r="AP244" s="1" t="s">
        <v>111</v>
      </c>
    </row>
    <row r="245" spans="1:42" x14ac:dyDescent="0.25">
      <c r="A245" s="1">
        <v>257</v>
      </c>
      <c r="B245" s="1" t="s">
        <v>323</v>
      </c>
      <c r="C245" s="1" t="s">
        <v>103</v>
      </c>
      <c r="D245" s="1" t="s">
        <v>282</v>
      </c>
      <c r="E245" s="1" t="s">
        <v>269</v>
      </c>
      <c r="F245" s="1" t="s">
        <v>106</v>
      </c>
      <c r="G245" s="1" t="s">
        <v>107</v>
      </c>
      <c r="H245" s="1" t="s">
        <v>108</v>
      </c>
      <c r="I245" s="1" t="s">
        <v>235</v>
      </c>
      <c r="J245" s="1">
        <v>25.626999999999999</v>
      </c>
      <c r="K245" s="1">
        <v>1.732</v>
      </c>
      <c r="L245" s="1"/>
      <c r="M245" s="1"/>
      <c r="N245" s="1"/>
      <c r="O245" s="1"/>
      <c r="P245" s="1"/>
      <c r="Q245" s="1"/>
      <c r="R245" s="1"/>
      <c r="S245" s="1" t="s">
        <v>109</v>
      </c>
      <c r="T245" s="1">
        <v>0.32900000000000001</v>
      </c>
      <c r="U245" s="1" t="s">
        <v>109</v>
      </c>
      <c r="V245" s="1">
        <v>3</v>
      </c>
      <c r="W245" s="1">
        <v>39</v>
      </c>
      <c r="X245" s="1" t="s">
        <v>236</v>
      </c>
      <c r="Y245" s="1"/>
      <c r="Z245" s="1">
        <v>0</v>
      </c>
      <c r="AA245" s="1" t="s">
        <v>205</v>
      </c>
      <c r="AB245" s="1" t="s">
        <v>111</v>
      </c>
      <c r="AC245" s="1" t="s">
        <v>205</v>
      </c>
      <c r="AD245" s="1" t="s">
        <v>111</v>
      </c>
      <c r="AE245" s="1" t="s">
        <v>111</v>
      </c>
      <c r="AF245" s="1" t="s">
        <v>111</v>
      </c>
      <c r="AG245" s="1" t="s">
        <v>111</v>
      </c>
      <c r="AH245" s="1" t="s">
        <v>111</v>
      </c>
      <c r="AI245" s="1">
        <v>60</v>
      </c>
      <c r="AJ245" s="1" t="s">
        <v>111</v>
      </c>
      <c r="AK245" s="1"/>
      <c r="AL245" s="1" t="s">
        <v>205</v>
      </c>
      <c r="AM245" s="1"/>
      <c r="AN245" s="1" t="s">
        <v>111</v>
      </c>
      <c r="AO245" s="1"/>
      <c r="AP245" s="1" t="s">
        <v>111</v>
      </c>
    </row>
    <row r="246" spans="1:42" x14ac:dyDescent="0.25">
      <c r="A246" s="1">
        <v>258</v>
      </c>
      <c r="B246" s="1" t="s">
        <v>324</v>
      </c>
      <c r="C246" s="1" t="s">
        <v>103</v>
      </c>
      <c r="D246" s="1" t="s">
        <v>282</v>
      </c>
      <c r="E246" s="1" t="s">
        <v>269</v>
      </c>
      <c r="F246" s="1" t="s">
        <v>106</v>
      </c>
      <c r="G246" s="1" t="s">
        <v>107</v>
      </c>
      <c r="H246" s="1" t="s">
        <v>108</v>
      </c>
      <c r="I246" s="1" t="s">
        <v>235</v>
      </c>
      <c r="J246" s="1">
        <v>25.626999999999999</v>
      </c>
      <c r="K246" s="1">
        <v>1.732</v>
      </c>
      <c r="L246" s="1"/>
      <c r="M246" s="1"/>
      <c r="N246" s="1"/>
      <c r="O246" s="1"/>
      <c r="P246" s="1"/>
      <c r="Q246" s="1"/>
      <c r="R246" s="1"/>
      <c r="S246" s="1" t="s">
        <v>109</v>
      </c>
      <c r="T246" s="1">
        <v>0.32900000000000001</v>
      </c>
      <c r="U246" s="1" t="s">
        <v>109</v>
      </c>
      <c r="V246" s="1">
        <v>3</v>
      </c>
      <c r="W246" s="1">
        <v>39</v>
      </c>
      <c r="X246" s="1" t="s">
        <v>236</v>
      </c>
      <c r="Y246" s="1"/>
      <c r="Z246" s="1">
        <v>0</v>
      </c>
      <c r="AA246" s="1" t="s">
        <v>205</v>
      </c>
      <c r="AB246" s="1" t="s">
        <v>111</v>
      </c>
      <c r="AC246" s="1" t="s">
        <v>205</v>
      </c>
      <c r="AD246" s="1" t="s">
        <v>111</v>
      </c>
      <c r="AE246" s="1" t="s">
        <v>111</v>
      </c>
      <c r="AF246" s="1" t="s">
        <v>111</v>
      </c>
      <c r="AG246" s="1" t="s">
        <v>111</v>
      </c>
      <c r="AH246" s="1" t="s">
        <v>111</v>
      </c>
      <c r="AI246" s="1">
        <v>60</v>
      </c>
      <c r="AJ246" s="1" t="s">
        <v>111</v>
      </c>
      <c r="AK246" s="1"/>
      <c r="AL246" s="1" t="s">
        <v>205</v>
      </c>
      <c r="AM246" s="1"/>
      <c r="AN246" s="1" t="s">
        <v>111</v>
      </c>
      <c r="AO246" s="1"/>
      <c r="AP246" s="1" t="s">
        <v>111</v>
      </c>
    </row>
    <row r="247" spans="1:42" x14ac:dyDescent="0.25">
      <c r="A247" s="1">
        <v>259</v>
      </c>
      <c r="B247" s="1" t="s">
        <v>325</v>
      </c>
      <c r="C247" s="1" t="s">
        <v>103</v>
      </c>
      <c r="D247" s="1" t="s">
        <v>282</v>
      </c>
      <c r="E247" s="1" t="s">
        <v>311</v>
      </c>
      <c r="F247" s="1" t="s">
        <v>106</v>
      </c>
      <c r="G247" s="1" t="s">
        <v>107</v>
      </c>
      <c r="H247" s="1" t="s">
        <v>108</v>
      </c>
      <c r="I247" s="1" t="s">
        <v>235</v>
      </c>
      <c r="J247" s="1"/>
      <c r="K247" s="1"/>
      <c r="L247" s="1"/>
      <c r="M247" s="1"/>
      <c r="N247" s="1"/>
      <c r="O247" s="1"/>
      <c r="P247" s="1"/>
      <c r="Q247" s="1"/>
      <c r="R247" s="1"/>
      <c r="S247" s="1" t="s">
        <v>109</v>
      </c>
      <c r="T247" s="1">
        <v>0.27200000000000002</v>
      </c>
      <c r="U247" s="1" t="s">
        <v>109</v>
      </c>
      <c r="V247" s="1">
        <v>3</v>
      </c>
      <c r="W247" s="1">
        <v>39</v>
      </c>
      <c r="X247" s="1" t="s">
        <v>236</v>
      </c>
      <c r="Y247" s="1"/>
      <c r="Z247" s="1">
        <v>0</v>
      </c>
      <c r="AA247" s="1" t="s">
        <v>205</v>
      </c>
      <c r="AB247" s="1" t="s">
        <v>111</v>
      </c>
      <c r="AC247" s="1" t="s">
        <v>205</v>
      </c>
      <c r="AD247" s="1" t="s">
        <v>111</v>
      </c>
      <c r="AE247" s="1" t="s">
        <v>111</v>
      </c>
      <c r="AF247" s="1" t="s">
        <v>111</v>
      </c>
      <c r="AG247" s="1" t="s">
        <v>111</v>
      </c>
      <c r="AH247" s="1" t="s">
        <v>111</v>
      </c>
      <c r="AI247" s="1">
        <v>60</v>
      </c>
      <c r="AJ247" s="1" t="s">
        <v>111</v>
      </c>
      <c r="AK247" s="1"/>
      <c r="AL247" s="1" t="s">
        <v>205</v>
      </c>
      <c r="AM247" s="1"/>
      <c r="AN247" s="1" t="s">
        <v>111</v>
      </c>
      <c r="AO247" s="1"/>
      <c r="AP247" s="1" t="s">
        <v>111</v>
      </c>
    </row>
    <row r="248" spans="1:42" x14ac:dyDescent="0.25">
      <c r="A248" s="1">
        <v>260</v>
      </c>
      <c r="B248" s="1" t="s">
        <v>326</v>
      </c>
      <c r="C248" s="1" t="s">
        <v>103</v>
      </c>
      <c r="D248" s="1" t="s">
        <v>282</v>
      </c>
      <c r="E248" s="1" t="s">
        <v>311</v>
      </c>
      <c r="F248" s="1" t="s">
        <v>106</v>
      </c>
      <c r="G248" s="1" t="s">
        <v>107</v>
      </c>
      <c r="H248" s="1" t="s">
        <v>108</v>
      </c>
      <c r="I248" s="1" t="s">
        <v>235</v>
      </c>
      <c r="J248" s="1"/>
      <c r="K248" s="1"/>
      <c r="L248" s="1"/>
      <c r="M248" s="1"/>
      <c r="N248" s="1"/>
      <c r="O248" s="1"/>
      <c r="P248" s="1"/>
      <c r="Q248" s="1"/>
      <c r="R248" s="1"/>
      <c r="S248" s="1" t="s">
        <v>109</v>
      </c>
      <c r="T248" s="1">
        <v>0.27200000000000002</v>
      </c>
      <c r="U248" s="1" t="s">
        <v>109</v>
      </c>
      <c r="V248" s="1">
        <v>3</v>
      </c>
      <c r="W248" s="1">
        <v>39</v>
      </c>
      <c r="X248" s="1" t="s">
        <v>236</v>
      </c>
      <c r="Y248" s="1"/>
      <c r="Z248" s="1">
        <v>0</v>
      </c>
      <c r="AA248" s="1" t="s">
        <v>205</v>
      </c>
      <c r="AB248" s="1" t="s">
        <v>111</v>
      </c>
      <c r="AC248" s="1" t="s">
        <v>205</v>
      </c>
      <c r="AD248" s="1" t="s">
        <v>111</v>
      </c>
      <c r="AE248" s="1" t="s">
        <v>111</v>
      </c>
      <c r="AF248" s="1" t="s">
        <v>111</v>
      </c>
      <c r="AG248" s="1" t="s">
        <v>111</v>
      </c>
      <c r="AH248" s="1" t="s">
        <v>111</v>
      </c>
      <c r="AI248" s="1">
        <v>60</v>
      </c>
      <c r="AJ248" s="1" t="s">
        <v>111</v>
      </c>
      <c r="AK248" s="1"/>
      <c r="AL248" s="1" t="s">
        <v>205</v>
      </c>
      <c r="AM248" s="1"/>
      <c r="AN248" s="1" t="s">
        <v>111</v>
      </c>
      <c r="AO248" s="1"/>
      <c r="AP248" s="1" t="s">
        <v>111</v>
      </c>
    </row>
    <row r="249" spans="1:42" x14ac:dyDescent="0.25">
      <c r="A249" s="1">
        <v>261</v>
      </c>
      <c r="B249" s="1" t="s">
        <v>327</v>
      </c>
      <c r="C249" s="1" t="s">
        <v>103</v>
      </c>
      <c r="D249" s="1" t="s">
        <v>282</v>
      </c>
      <c r="E249" s="1" t="s">
        <v>328</v>
      </c>
      <c r="F249" s="1" t="s">
        <v>106</v>
      </c>
      <c r="G249" s="1" t="s">
        <v>107</v>
      </c>
      <c r="H249" s="1" t="s">
        <v>108</v>
      </c>
      <c r="I249" s="1" t="s">
        <v>235</v>
      </c>
      <c r="J249" s="1">
        <v>30.614999999999998</v>
      </c>
      <c r="K249" s="1">
        <v>9.0250000000000004</v>
      </c>
      <c r="L249" s="1"/>
      <c r="M249" s="1"/>
      <c r="N249" s="1"/>
      <c r="O249" s="1"/>
      <c r="P249" s="1"/>
      <c r="Q249" s="1"/>
      <c r="R249" s="1"/>
      <c r="S249" s="1" t="s">
        <v>109</v>
      </c>
      <c r="T249" s="1">
        <v>0.16200000000000001</v>
      </c>
      <c r="U249" s="1" t="s">
        <v>109</v>
      </c>
      <c r="V249" s="1">
        <v>3</v>
      </c>
      <c r="W249" s="1">
        <v>39</v>
      </c>
      <c r="X249" s="1" t="s">
        <v>236</v>
      </c>
      <c r="Y249" s="1"/>
      <c r="Z249" s="1">
        <v>0</v>
      </c>
      <c r="AA249" s="1" t="s">
        <v>205</v>
      </c>
      <c r="AB249" s="1" t="s">
        <v>111</v>
      </c>
      <c r="AC249" s="1" t="s">
        <v>205</v>
      </c>
      <c r="AD249" s="1" t="s">
        <v>111</v>
      </c>
      <c r="AE249" s="1" t="s">
        <v>111</v>
      </c>
      <c r="AF249" s="1" t="s">
        <v>111</v>
      </c>
      <c r="AG249" s="1" t="s">
        <v>111</v>
      </c>
      <c r="AH249" s="1" t="s">
        <v>111</v>
      </c>
      <c r="AI249" s="1">
        <v>60</v>
      </c>
      <c r="AJ249" s="1" t="s">
        <v>111</v>
      </c>
      <c r="AK249" s="1"/>
      <c r="AL249" s="1" t="s">
        <v>205</v>
      </c>
      <c r="AM249" s="1"/>
      <c r="AN249" s="1" t="s">
        <v>111</v>
      </c>
      <c r="AO249" s="1"/>
      <c r="AP249" s="1" t="s">
        <v>111</v>
      </c>
    </row>
    <row r="250" spans="1:42" x14ac:dyDescent="0.25">
      <c r="A250" s="1">
        <v>262</v>
      </c>
      <c r="B250" s="1" t="s">
        <v>329</v>
      </c>
      <c r="C250" s="1" t="s">
        <v>103</v>
      </c>
      <c r="D250" s="1" t="s">
        <v>282</v>
      </c>
      <c r="E250" s="1" t="s">
        <v>328</v>
      </c>
      <c r="F250" s="1" t="s">
        <v>106</v>
      </c>
      <c r="G250" s="1" t="s">
        <v>107</v>
      </c>
      <c r="H250" s="1" t="s">
        <v>108</v>
      </c>
      <c r="I250" s="1">
        <v>36.997</v>
      </c>
      <c r="J250" s="1">
        <v>30.614999999999998</v>
      </c>
      <c r="K250" s="1">
        <v>9.0250000000000004</v>
      </c>
      <c r="L250" s="1"/>
      <c r="M250" s="1"/>
      <c r="N250" s="1"/>
      <c r="O250" s="1"/>
      <c r="P250" s="1"/>
      <c r="Q250" s="1"/>
      <c r="R250" s="1"/>
      <c r="S250" s="1" t="s">
        <v>109</v>
      </c>
      <c r="T250" s="1">
        <v>0.16200000000000001</v>
      </c>
      <c r="U250" s="1" t="s">
        <v>109</v>
      </c>
      <c r="V250" s="1">
        <v>3</v>
      </c>
      <c r="W250" s="1">
        <v>32</v>
      </c>
      <c r="X250" s="1" t="s">
        <v>330</v>
      </c>
      <c r="Y250" s="1"/>
      <c r="Z250" s="1">
        <v>0.97699999999999998</v>
      </c>
      <c r="AA250" s="1" t="s">
        <v>111</v>
      </c>
      <c r="AB250" s="1" t="s">
        <v>111</v>
      </c>
      <c r="AC250" s="1" t="s">
        <v>111</v>
      </c>
      <c r="AD250" s="1" t="s">
        <v>205</v>
      </c>
      <c r="AE250" s="1" t="s">
        <v>111</v>
      </c>
      <c r="AF250" s="1" t="s">
        <v>111</v>
      </c>
      <c r="AG250" s="1" t="s">
        <v>111</v>
      </c>
      <c r="AH250" s="1" t="s">
        <v>111</v>
      </c>
      <c r="AI250" s="1">
        <v>81.055999999999997</v>
      </c>
      <c r="AJ250" s="1" t="s">
        <v>111</v>
      </c>
      <c r="AK250" s="1"/>
      <c r="AL250" s="1" t="s">
        <v>111</v>
      </c>
      <c r="AM250" s="1"/>
      <c r="AN250" s="1" t="s">
        <v>111</v>
      </c>
      <c r="AO250" s="1"/>
      <c r="AP250" s="1" t="s">
        <v>111</v>
      </c>
    </row>
    <row r="251" spans="1:42" x14ac:dyDescent="0.25">
      <c r="A251" s="1">
        <v>263</v>
      </c>
      <c r="B251" s="1" t="s">
        <v>331</v>
      </c>
      <c r="C251" s="1" t="s">
        <v>103</v>
      </c>
      <c r="D251" s="1" t="s">
        <v>282</v>
      </c>
      <c r="E251" s="1" t="s">
        <v>332</v>
      </c>
      <c r="F251" s="1" t="s">
        <v>106</v>
      </c>
      <c r="G251" s="1" t="s">
        <v>107</v>
      </c>
      <c r="H251" s="1" t="s">
        <v>108</v>
      </c>
      <c r="I251" s="1" t="s">
        <v>235</v>
      </c>
      <c r="J251" s="1">
        <v>23.638000000000002</v>
      </c>
      <c r="K251" s="1"/>
      <c r="L251" s="1"/>
      <c r="M251" s="1"/>
      <c r="N251" s="1"/>
      <c r="O251" s="1"/>
      <c r="P251" s="1"/>
      <c r="Q251" s="1"/>
      <c r="R251" s="1"/>
      <c r="S251" s="1" t="s">
        <v>109</v>
      </c>
      <c r="T251" s="1">
        <v>0.505</v>
      </c>
      <c r="U251" s="1" t="s">
        <v>109</v>
      </c>
      <c r="V251" s="1">
        <v>3</v>
      </c>
      <c r="W251" s="1">
        <v>39</v>
      </c>
      <c r="X251" s="1" t="s">
        <v>236</v>
      </c>
      <c r="Y251" s="1"/>
      <c r="Z251" s="1">
        <v>0</v>
      </c>
      <c r="AA251" s="1" t="s">
        <v>205</v>
      </c>
      <c r="AB251" s="1" t="s">
        <v>111</v>
      </c>
      <c r="AC251" s="1" t="s">
        <v>205</v>
      </c>
      <c r="AD251" s="1" t="s">
        <v>111</v>
      </c>
      <c r="AE251" s="1" t="s">
        <v>111</v>
      </c>
      <c r="AF251" s="1" t="s">
        <v>111</v>
      </c>
      <c r="AG251" s="1" t="s">
        <v>111</v>
      </c>
      <c r="AH251" s="1" t="s">
        <v>111</v>
      </c>
      <c r="AI251" s="1">
        <v>60</v>
      </c>
      <c r="AJ251" s="1" t="s">
        <v>111</v>
      </c>
      <c r="AK251" s="1"/>
      <c r="AL251" s="1" t="s">
        <v>205</v>
      </c>
      <c r="AM251" s="1"/>
      <c r="AN251" s="1" t="s">
        <v>111</v>
      </c>
      <c r="AO251" s="1"/>
      <c r="AP251" s="1" t="s">
        <v>111</v>
      </c>
    </row>
    <row r="252" spans="1:42" x14ac:dyDescent="0.25">
      <c r="A252" s="1">
        <v>264</v>
      </c>
      <c r="B252" s="1" t="s">
        <v>333</v>
      </c>
      <c r="C252" s="1" t="s">
        <v>103</v>
      </c>
      <c r="D252" s="1" t="s">
        <v>282</v>
      </c>
      <c r="E252" s="1" t="s">
        <v>332</v>
      </c>
      <c r="F252" s="1" t="s">
        <v>106</v>
      </c>
      <c r="G252" s="1" t="s">
        <v>107</v>
      </c>
      <c r="H252" s="1" t="s">
        <v>108</v>
      </c>
      <c r="I252" s="1" t="s">
        <v>235</v>
      </c>
      <c r="J252" s="1">
        <v>23.638000000000002</v>
      </c>
      <c r="K252" s="1"/>
      <c r="L252" s="1"/>
      <c r="M252" s="1"/>
      <c r="N252" s="1"/>
      <c r="O252" s="1"/>
      <c r="P252" s="1"/>
      <c r="Q252" s="1"/>
      <c r="R252" s="1"/>
      <c r="S252" s="1" t="s">
        <v>109</v>
      </c>
      <c r="T252" s="1">
        <v>0.505</v>
      </c>
      <c r="U252" s="1" t="s">
        <v>109</v>
      </c>
      <c r="V252" s="1">
        <v>3</v>
      </c>
      <c r="W252" s="1">
        <v>39</v>
      </c>
      <c r="X252" s="1" t="s">
        <v>236</v>
      </c>
      <c r="Y252" s="1"/>
      <c r="Z252" s="1">
        <v>0</v>
      </c>
      <c r="AA252" s="1" t="s">
        <v>205</v>
      </c>
      <c r="AB252" s="1" t="s">
        <v>111</v>
      </c>
      <c r="AC252" s="1" t="s">
        <v>205</v>
      </c>
      <c r="AD252" s="1" t="s">
        <v>111</v>
      </c>
      <c r="AE252" s="1" t="s">
        <v>111</v>
      </c>
      <c r="AF252" s="1" t="s">
        <v>111</v>
      </c>
      <c r="AG252" s="1" t="s">
        <v>111</v>
      </c>
      <c r="AH252" s="1" t="s">
        <v>111</v>
      </c>
      <c r="AI252" s="1">
        <v>60</v>
      </c>
      <c r="AJ252" s="1" t="s">
        <v>111</v>
      </c>
      <c r="AK252" s="1"/>
      <c r="AL252" s="1" t="s">
        <v>205</v>
      </c>
      <c r="AM252" s="1"/>
      <c r="AN252" s="1" t="s">
        <v>111</v>
      </c>
      <c r="AO252" s="1"/>
      <c r="AP252" s="1" t="s">
        <v>111</v>
      </c>
    </row>
    <row r="253" spans="1:42" x14ac:dyDescent="0.25">
      <c r="A253" s="1">
        <v>265</v>
      </c>
      <c r="B253" s="1" t="s">
        <v>334</v>
      </c>
      <c r="C253" s="1" t="s">
        <v>103</v>
      </c>
      <c r="D253" s="1" t="s">
        <v>104</v>
      </c>
      <c r="E253" s="1" t="s">
        <v>311</v>
      </c>
      <c r="F253" s="1" t="s">
        <v>106</v>
      </c>
      <c r="G253" s="1" t="s">
        <v>107</v>
      </c>
      <c r="H253" s="1" t="s">
        <v>108</v>
      </c>
      <c r="I253" s="1">
        <v>33.639000000000003</v>
      </c>
      <c r="J253" s="1">
        <v>33.601999999999997</v>
      </c>
      <c r="K253" s="1">
        <v>5.2999999999999999E-2</v>
      </c>
      <c r="L253" s="1"/>
      <c r="M253" s="1"/>
      <c r="N253" s="1"/>
      <c r="O253" s="1"/>
      <c r="P253" s="1"/>
      <c r="Q253" s="1"/>
      <c r="R253" s="1"/>
      <c r="S253" s="1" t="s">
        <v>109</v>
      </c>
      <c r="T253" s="1">
        <v>0.27200000000000002</v>
      </c>
      <c r="U253" s="1" t="s">
        <v>109</v>
      </c>
      <c r="V253" s="1">
        <v>3</v>
      </c>
      <c r="W253" s="1">
        <v>27</v>
      </c>
      <c r="X253" s="1" t="s">
        <v>110</v>
      </c>
      <c r="Y253" s="1"/>
      <c r="Z253" s="1">
        <v>0.97899999999999998</v>
      </c>
      <c r="AA253" s="1" t="s">
        <v>111</v>
      </c>
      <c r="AB253" s="1" t="s">
        <v>111</v>
      </c>
      <c r="AC253" s="1" t="s">
        <v>111</v>
      </c>
      <c r="AD253" s="1" t="s">
        <v>111</v>
      </c>
      <c r="AE253" s="1" t="s">
        <v>111</v>
      </c>
      <c r="AF253" s="1" t="s">
        <v>111</v>
      </c>
      <c r="AG253" s="1" t="s">
        <v>111</v>
      </c>
      <c r="AH253" s="1" t="s">
        <v>111</v>
      </c>
      <c r="AI253" s="1">
        <v>80.698999999999998</v>
      </c>
      <c r="AJ253" s="1" t="s">
        <v>111</v>
      </c>
      <c r="AK253" s="1"/>
      <c r="AL253" s="1" t="s">
        <v>111</v>
      </c>
      <c r="AM253" s="1"/>
      <c r="AN253" s="1" t="s">
        <v>111</v>
      </c>
      <c r="AO253" s="1"/>
      <c r="AP253" s="1" t="s">
        <v>111</v>
      </c>
    </row>
    <row r="254" spans="1:42" x14ac:dyDescent="0.25">
      <c r="A254" s="1">
        <v>266</v>
      </c>
      <c r="B254" s="1" t="s">
        <v>335</v>
      </c>
      <c r="C254" s="1" t="s">
        <v>103</v>
      </c>
      <c r="D254" s="1" t="s">
        <v>104</v>
      </c>
      <c r="E254" s="1" t="s">
        <v>311</v>
      </c>
      <c r="F254" s="1" t="s">
        <v>106</v>
      </c>
      <c r="G254" s="1" t="s">
        <v>107</v>
      </c>
      <c r="H254" s="1" t="s">
        <v>108</v>
      </c>
      <c r="I254" s="1" t="s">
        <v>235</v>
      </c>
      <c r="J254" s="1">
        <v>33.601999999999997</v>
      </c>
      <c r="K254" s="1">
        <v>5.2999999999999999E-2</v>
      </c>
      <c r="L254" s="1"/>
      <c r="M254" s="1"/>
      <c r="N254" s="1"/>
      <c r="O254" s="1"/>
      <c r="P254" s="1"/>
      <c r="Q254" s="1"/>
      <c r="R254" s="1"/>
      <c r="S254" s="1" t="s">
        <v>109</v>
      </c>
      <c r="T254" s="1">
        <v>0.27200000000000002</v>
      </c>
      <c r="U254" s="1" t="s">
        <v>109</v>
      </c>
      <c r="V254" s="1">
        <v>3</v>
      </c>
      <c r="W254" s="1">
        <v>39</v>
      </c>
      <c r="X254" s="1" t="s">
        <v>236</v>
      </c>
      <c r="Y254" s="1"/>
      <c r="Z254" s="1">
        <v>0</v>
      </c>
      <c r="AA254" s="1" t="s">
        <v>205</v>
      </c>
      <c r="AB254" s="1" t="s">
        <v>111</v>
      </c>
      <c r="AC254" s="1" t="s">
        <v>205</v>
      </c>
      <c r="AD254" s="1" t="s">
        <v>111</v>
      </c>
      <c r="AE254" s="1" t="s">
        <v>111</v>
      </c>
      <c r="AF254" s="1" t="s">
        <v>111</v>
      </c>
      <c r="AG254" s="1" t="s">
        <v>111</v>
      </c>
      <c r="AH254" s="1" t="s">
        <v>111</v>
      </c>
      <c r="AI254" s="1">
        <v>60</v>
      </c>
      <c r="AJ254" s="1" t="s">
        <v>111</v>
      </c>
      <c r="AK254" s="1"/>
      <c r="AL254" s="1" t="s">
        <v>205</v>
      </c>
      <c r="AM254" s="1"/>
      <c r="AN254" s="1" t="s">
        <v>111</v>
      </c>
      <c r="AO254" s="1"/>
      <c r="AP254" s="1" t="s">
        <v>111</v>
      </c>
    </row>
    <row r="255" spans="1:42" x14ac:dyDescent="0.25">
      <c r="A255" s="1">
        <v>267</v>
      </c>
      <c r="B255" s="1" t="s">
        <v>336</v>
      </c>
      <c r="C255" s="1" t="s">
        <v>103</v>
      </c>
      <c r="D255" s="1" t="s">
        <v>114</v>
      </c>
      <c r="E255" s="1" t="s">
        <v>311</v>
      </c>
      <c r="F255" s="1" t="s">
        <v>106</v>
      </c>
      <c r="G255" s="1" t="s">
        <v>107</v>
      </c>
      <c r="H255" s="1" t="s">
        <v>108</v>
      </c>
      <c r="I255" s="1" t="s">
        <v>235</v>
      </c>
      <c r="J255" s="1">
        <v>32.363999999999997</v>
      </c>
      <c r="K255" s="1">
        <v>0.14299999999999999</v>
      </c>
      <c r="L255" s="1"/>
      <c r="M255" s="1"/>
      <c r="N255" s="1"/>
      <c r="O255" s="1"/>
      <c r="P255" s="1"/>
      <c r="Q255" s="1"/>
      <c r="R255" s="1"/>
      <c r="S255" s="1" t="s">
        <v>109</v>
      </c>
      <c r="T255" s="1">
        <v>0.27200000000000002</v>
      </c>
      <c r="U255" s="1" t="s">
        <v>109</v>
      </c>
      <c r="V255" s="1">
        <v>3</v>
      </c>
      <c r="W255" s="1">
        <v>39</v>
      </c>
      <c r="X255" s="1" t="s">
        <v>236</v>
      </c>
      <c r="Y255" s="1"/>
      <c r="Z255" s="1">
        <v>0</v>
      </c>
      <c r="AA255" s="1" t="s">
        <v>205</v>
      </c>
      <c r="AB255" s="1" t="s">
        <v>111</v>
      </c>
      <c r="AC255" s="1" t="s">
        <v>205</v>
      </c>
      <c r="AD255" s="1" t="s">
        <v>111</v>
      </c>
      <c r="AE255" s="1" t="s">
        <v>111</v>
      </c>
      <c r="AF255" s="1" t="s">
        <v>111</v>
      </c>
      <c r="AG255" s="1" t="s">
        <v>111</v>
      </c>
      <c r="AH255" s="1" t="s">
        <v>111</v>
      </c>
      <c r="AI255" s="1">
        <v>60</v>
      </c>
      <c r="AJ255" s="1" t="s">
        <v>111</v>
      </c>
      <c r="AK255" s="1"/>
      <c r="AL255" s="1" t="s">
        <v>205</v>
      </c>
      <c r="AM255" s="1"/>
      <c r="AN255" s="1" t="s">
        <v>111</v>
      </c>
      <c r="AO255" s="1"/>
      <c r="AP255" s="1" t="s">
        <v>111</v>
      </c>
    </row>
    <row r="256" spans="1:42" x14ac:dyDescent="0.25">
      <c r="A256" s="1">
        <v>268</v>
      </c>
      <c r="B256" s="1" t="s">
        <v>337</v>
      </c>
      <c r="C256" s="1" t="s">
        <v>103</v>
      </c>
      <c r="D256" s="1" t="s">
        <v>114</v>
      </c>
      <c r="E256" s="1" t="s">
        <v>311</v>
      </c>
      <c r="F256" s="1" t="s">
        <v>106</v>
      </c>
      <c r="G256" s="1" t="s">
        <v>107</v>
      </c>
      <c r="H256" s="1" t="s">
        <v>108</v>
      </c>
      <c r="I256" s="1" t="s">
        <v>235</v>
      </c>
      <c r="J256" s="1">
        <v>32.363999999999997</v>
      </c>
      <c r="K256" s="1">
        <v>0.14299999999999999</v>
      </c>
      <c r="L256" s="1"/>
      <c r="M256" s="1"/>
      <c r="N256" s="1"/>
      <c r="O256" s="1"/>
      <c r="P256" s="1"/>
      <c r="Q256" s="1"/>
      <c r="R256" s="1"/>
      <c r="S256" s="1" t="s">
        <v>109</v>
      </c>
      <c r="T256" s="1">
        <v>0.27200000000000002</v>
      </c>
      <c r="U256" s="1" t="s">
        <v>109</v>
      </c>
      <c r="V256" s="1">
        <v>3</v>
      </c>
      <c r="W256" s="1">
        <v>39</v>
      </c>
      <c r="X256" s="1" t="s">
        <v>236</v>
      </c>
      <c r="Y256" s="1"/>
      <c r="Z256" s="1">
        <v>0</v>
      </c>
      <c r="AA256" s="1" t="s">
        <v>205</v>
      </c>
      <c r="AB256" s="1" t="s">
        <v>111</v>
      </c>
      <c r="AC256" s="1" t="s">
        <v>205</v>
      </c>
      <c r="AD256" s="1" t="s">
        <v>111</v>
      </c>
      <c r="AE256" s="1" t="s">
        <v>111</v>
      </c>
      <c r="AF256" s="1" t="s">
        <v>111</v>
      </c>
      <c r="AG256" s="1" t="s">
        <v>111</v>
      </c>
      <c r="AH256" s="1" t="s">
        <v>111</v>
      </c>
      <c r="AI256" s="1">
        <v>60</v>
      </c>
      <c r="AJ256" s="1" t="s">
        <v>111</v>
      </c>
      <c r="AK256" s="1"/>
      <c r="AL256" s="1" t="s">
        <v>205</v>
      </c>
      <c r="AM256" s="1"/>
      <c r="AN256" s="1" t="s">
        <v>111</v>
      </c>
      <c r="AO256" s="1"/>
      <c r="AP256" s="1" t="s">
        <v>111</v>
      </c>
    </row>
    <row r="257" spans="1:42" x14ac:dyDescent="0.25">
      <c r="A257" s="1">
        <v>269</v>
      </c>
      <c r="B257" s="1" t="s">
        <v>338</v>
      </c>
      <c r="C257" s="1" t="s">
        <v>103</v>
      </c>
      <c r="D257" s="1" t="s">
        <v>117</v>
      </c>
      <c r="E257" s="1" t="s">
        <v>311</v>
      </c>
      <c r="F257" s="1" t="s">
        <v>106</v>
      </c>
      <c r="G257" s="1" t="s">
        <v>107</v>
      </c>
      <c r="H257" s="1" t="s">
        <v>108</v>
      </c>
      <c r="I257" s="1" t="s">
        <v>235</v>
      </c>
      <c r="J257" s="1">
        <v>31.548999999999999</v>
      </c>
      <c r="K257" s="1"/>
      <c r="L257" s="1"/>
      <c r="M257" s="1"/>
      <c r="N257" s="1"/>
      <c r="O257" s="1"/>
      <c r="P257" s="1"/>
      <c r="Q257" s="1"/>
      <c r="R257" s="1"/>
      <c r="S257" s="1" t="s">
        <v>109</v>
      </c>
      <c r="T257" s="1">
        <v>0.27200000000000002</v>
      </c>
      <c r="U257" s="1" t="s">
        <v>109</v>
      </c>
      <c r="V257" s="1">
        <v>3</v>
      </c>
      <c r="W257" s="1">
        <v>39</v>
      </c>
      <c r="X257" s="1" t="s">
        <v>236</v>
      </c>
      <c r="Y257" s="1"/>
      <c r="Z257" s="1">
        <v>0</v>
      </c>
      <c r="AA257" s="1" t="s">
        <v>205</v>
      </c>
      <c r="AB257" s="1" t="s">
        <v>111</v>
      </c>
      <c r="AC257" s="1" t="s">
        <v>205</v>
      </c>
      <c r="AD257" s="1" t="s">
        <v>111</v>
      </c>
      <c r="AE257" s="1" t="s">
        <v>111</v>
      </c>
      <c r="AF257" s="1" t="s">
        <v>111</v>
      </c>
      <c r="AG257" s="1" t="s">
        <v>111</v>
      </c>
      <c r="AH257" s="1" t="s">
        <v>111</v>
      </c>
      <c r="AI257" s="1">
        <v>60</v>
      </c>
      <c r="AJ257" s="1" t="s">
        <v>111</v>
      </c>
      <c r="AK257" s="1"/>
      <c r="AL257" s="1" t="s">
        <v>205</v>
      </c>
      <c r="AM257" s="1"/>
      <c r="AN257" s="1" t="s">
        <v>111</v>
      </c>
      <c r="AO257" s="1"/>
      <c r="AP257" s="1" t="s">
        <v>111</v>
      </c>
    </row>
    <row r="258" spans="1:42" x14ac:dyDescent="0.25">
      <c r="A258" s="1">
        <v>270</v>
      </c>
      <c r="B258" s="1" t="s">
        <v>339</v>
      </c>
      <c r="C258" s="1" t="s">
        <v>103</v>
      </c>
      <c r="D258" s="1" t="s">
        <v>117</v>
      </c>
      <c r="E258" s="1" t="s">
        <v>311</v>
      </c>
      <c r="F258" s="1" t="s">
        <v>106</v>
      </c>
      <c r="G258" s="1" t="s">
        <v>107</v>
      </c>
      <c r="H258" s="1" t="s">
        <v>108</v>
      </c>
      <c r="I258" s="1" t="s">
        <v>235</v>
      </c>
      <c r="J258" s="1">
        <v>31.548999999999999</v>
      </c>
      <c r="K258" s="1"/>
      <c r="L258" s="1"/>
      <c r="M258" s="1"/>
      <c r="N258" s="1"/>
      <c r="O258" s="1"/>
      <c r="P258" s="1"/>
      <c r="Q258" s="1"/>
      <c r="R258" s="1"/>
      <c r="S258" s="1" t="s">
        <v>109</v>
      </c>
      <c r="T258" s="1">
        <v>0.27200000000000002</v>
      </c>
      <c r="U258" s="1" t="s">
        <v>109</v>
      </c>
      <c r="V258" s="1">
        <v>3</v>
      </c>
      <c r="W258" s="1">
        <v>39</v>
      </c>
      <c r="X258" s="1" t="s">
        <v>236</v>
      </c>
      <c r="Y258" s="1"/>
      <c r="Z258" s="1">
        <v>0</v>
      </c>
      <c r="AA258" s="1" t="s">
        <v>205</v>
      </c>
      <c r="AB258" s="1" t="s">
        <v>111</v>
      </c>
      <c r="AC258" s="1" t="s">
        <v>205</v>
      </c>
      <c r="AD258" s="1" t="s">
        <v>111</v>
      </c>
      <c r="AE258" s="1" t="s">
        <v>111</v>
      </c>
      <c r="AF258" s="1" t="s">
        <v>111</v>
      </c>
      <c r="AG258" s="1" t="s">
        <v>111</v>
      </c>
      <c r="AH258" s="1" t="s">
        <v>111</v>
      </c>
      <c r="AI258" s="1">
        <v>60</v>
      </c>
      <c r="AJ258" s="1" t="s">
        <v>111</v>
      </c>
      <c r="AK258" s="1"/>
      <c r="AL258" s="1" t="s">
        <v>205</v>
      </c>
      <c r="AM258" s="1"/>
      <c r="AN258" s="1" t="s">
        <v>111</v>
      </c>
      <c r="AO258" s="1"/>
      <c r="AP258" s="1" t="s">
        <v>111</v>
      </c>
    </row>
    <row r="259" spans="1:42" x14ac:dyDescent="0.25">
      <c r="A259" s="1">
        <v>271</v>
      </c>
      <c r="B259" s="1" t="s">
        <v>340</v>
      </c>
      <c r="C259" s="1" t="s">
        <v>103</v>
      </c>
      <c r="D259" s="1" t="s">
        <v>120</v>
      </c>
      <c r="E259" s="1" t="s">
        <v>311</v>
      </c>
      <c r="F259" s="1" t="s">
        <v>106</v>
      </c>
      <c r="G259" s="1" t="s">
        <v>107</v>
      </c>
      <c r="H259" s="1" t="s">
        <v>108</v>
      </c>
      <c r="I259" s="1">
        <v>36.433</v>
      </c>
      <c r="J259" s="1">
        <v>34.046999999999997</v>
      </c>
      <c r="K259" s="1">
        <v>1.798</v>
      </c>
      <c r="L259" s="1"/>
      <c r="M259" s="1"/>
      <c r="N259" s="1"/>
      <c r="O259" s="1"/>
      <c r="P259" s="1"/>
      <c r="Q259" s="1"/>
      <c r="R259" s="1"/>
      <c r="S259" s="1" t="s">
        <v>109</v>
      </c>
      <c r="T259" s="1">
        <v>0.27200000000000002</v>
      </c>
      <c r="U259" s="1" t="s">
        <v>109</v>
      </c>
      <c r="V259" s="1">
        <v>3</v>
      </c>
      <c r="W259" s="1">
        <v>30</v>
      </c>
      <c r="X259" s="1" t="s">
        <v>110</v>
      </c>
      <c r="Y259" s="1"/>
      <c r="Z259" s="1">
        <v>0.96799999999999997</v>
      </c>
      <c r="AA259" s="1" t="s">
        <v>111</v>
      </c>
      <c r="AB259" s="1" t="s">
        <v>111</v>
      </c>
      <c r="AC259" s="1" t="s">
        <v>111</v>
      </c>
      <c r="AD259" s="1" t="s">
        <v>205</v>
      </c>
      <c r="AE259" s="1" t="s">
        <v>111</v>
      </c>
      <c r="AF259" s="1" t="s">
        <v>111</v>
      </c>
      <c r="AG259" s="1" t="s">
        <v>111</v>
      </c>
      <c r="AH259" s="1" t="s">
        <v>111</v>
      </c>
      <c r="AI259" s="1">
        <v>80.742000000000004</v>
      </c>
      <c r="AJ259" s="1" t="s">
        <v>111</v>
      </c>
      <c r="AK259" s="1"/>
      <c r="AL259" s="1" t="s">
        <v>111</v>
      </c>
      <c r="AM259" s="1"/>
      <c r="AN259" s="1" t="s">
        <v>111</v>
      </c>
      <c r="AO259" s="1"/>
      <c r="AP259" s="1" t="s">
        <v>111</v>
      </c>
    </row>
    <row r="260" spans="1:42" x14ac:dyDescent="0.25">
      <c r="A260" s="1">
        <v>272</v>
      </c>
      <c r="B260" s="1" t="s">
        <v>341</v>
      </c>
      <c r="C260" s="1" t="s">
        <v>103</v>
      </c>
      <c r="D260" s="1" t="s">
        <v>120</v>
      </c>
      <c r="E260" s="1" t="s">
        <v>311</v>
      </c>
      <c r="F260" s="1" t="s">
        <v>106</v>
      </c>
      <c r="G260" s="1" t="s">
        <v>107</v>
      </c>
      <c r="H260" s="1" t="s">
        <v>108</v>
      </c>
      <c r="I260" s="1">
        <v>32.078000000000003</v>
      </c>
      <c r="J260" s="1">
        <v>34.046999999999997</v>
      </c>
      <c r="K260" s="1">
        <v>1.798</v>
      </c>
      <c r="L260" s="1"/>
      <c r="M260" s="1"/>
      <c r="N260" s="1"/>
      <c r="O260" s="1"/>
      <c r="P260" s="1"/>
      <c r="Q260" s="1"/>
      <c r="R260" s="1"/>
      <c r="S260" s="1" t="s">
        <v>109</v>
      </c>
      <c r="T260" s="1">
        <v>0.27200000000000002</v>
      </c>
      <c r="U260" s="1" t="s">
        <v>109</v>
      </c>
      <c r="V260" s="1">
        <v>3</v>
      </c>
      <c r="W260" s="1">
        <v>26</v>
      </c>
      <c r="X260" s="1" t="s">
        <v>110</v>
      </c>
      <c r="Y260" s="1"/>
      <c r="Z260" s="1">
        <v>0.98599999999999999</v>
      </c>
      <c r="AA260" s="1" t="s">
        <v>111</v>
      </c>
      <c r="AB260" s="1" t="s">
        <v>111</v>
      </c>
      <c r="AC260" s="1" t="s">
        <v>111</v>
      </c>
      <c r="AD260" s="1" t="s">
        <v>205</v>
      </c>
      <c r="AE260" s="1" t="s">
        <v>111</v>
      </c>
      <c r="AF260" s="1" t="s">
        <v>111</v>
      </c>
      <c r="AG260" s="1" t="s">
        <v>111</v>
      </c>
      <c r="AH260" s="1" t="s">
        <v>111</v>
      </c>
      <c r="AI260" s="1">
        <v>80.629000000000005</v>
      </c>
      <c r="AJ260" s="1" t="s">
        <v>111</v>
      </c>
      <c r="AK260" s="1"/>
      <c r="AL260" s="1" t="s">
        <v>111</v>
      </c>
      <c r="AM260" s="1"/>
      <c r="AN260" s="1" t="s">
        <v>111</v>
      </c>
      <c r="AO260" s="1"/>
      <c r="AP260" s="1" t="s">
        <v>111</v>
      </c>
    </row>
    <row r="261" spans="1:42" x14ac:dyDescent="0.25">
      <c r="A261" s="1">
        <v>273</v>
      </c>
      <c r="B261" s="1" t="s">
        <v>342</v>
      </c>
      <c r="C261" s="1" t="s">
        <v>103</v>
      </c>
      <c r="D261" s="1" t="s">
        <v>123</v>
      </c>
      <c r="E261" s="1" t="s">
        <v>311</v>
      </c>
      <c r="F261" s="1" t="s">
        <v>106</v>
      </c>
      <c r="G261" s="1" t="s">
        <v>107</v>
      </c>
      <c r="H261" s="1" t="s">
        <v>108</v>
      </c>
      <c r="I261" s="1" t="s">
        <v>235</v>
      </c>
      <c r="J261" s="1">
        <v>32.572000000000003</v>
      </c>
      <c r="K261" s="1">
        <v>0.97199999999999998</v>
      </c>
      <c r="L261" s="1"/>
      <c r="M261" s="1"/>
      <c r="N261" s="1"/>
      <c r="O261" s="1"/>
      <c r="P261" s="1"/>
      <c r="Q261" s="1"/>
      <c r="R261" s="1"/>
      <c r="S261" s="1" t="s">
        <v>109</v>
      </c>
      <c r="T261" s="1">
        <v>0.27200000000000002</v>
      </c>
      <c r="U261" s="1" t="s">
        <v>109</v>
      </c>
      <c r="V261" s="1">
        <v>3</v>
      </c>
      <c r="W261" s="1">
        <v>39</v>
      </c>
      <c r="X261" s="1" t="s">
        <v>236</v>
      </c>
      <c r="Y261" s="1"/>
      <c r="Z261" s="1">
        <v>0</v>
      </c>
      <c r="AA261" s="1" t="s">
        <v>205</v>
      </c>
      <c r="AB261" s="1" t="s">
        <v>111</v>
      </c>
      <c r="AC261" s="1" t="s">
        <v>205</v>
      </c>
      <c r="AD261" s="1" t="s">
        <v>111</v>
      </c>
      <c r="AE261" s="1" t="s">
        <v>111</v>
      </c>
      <c r="AF261" s="1" t="s">
        <v>111</v>
      </c>
      <c r="AG261" s="1" t="s">
        <v>111</v>
      </c>
      <c r="AH261" s="1" t="s">
        <v>111</v>
      </c>
      <c r="AI261" s="1">
        <v>60</v>
      </c>
      <c r="AJ261" s="1" t="s">
        <v>111</v>
      </c>
      <c r="AK261" s="1"/>
      <c r="AL261" s="1" t="s">
        <v>205</v>
      </c>
      <c r="AM261" s="1"/>
      <c r="AN261" s="1" t="s">
        <v>111</v>
      </c>
      <c r="AO261" s="1"/>
      <c r="AP261" s="1" t="s">
        <v>111</v>
      </c>
    </row>
    <row r="262" spans="1:42" x14ac:dyDescent="0.25">
      <c r="A262" s="1">
        <v>274</v>
      </c>
      <c r="B262" s="1" t="s">
        <v>343</v>
      </c>
      <c r="C262" s="1" t="s">
        <v>103</v>
      </c>
      <c r="D262" s="1" t="s">
        <v>123</v>
      </c>
      <c r="E262" s="1" t="s">
        <v>311</v>
      </c>
      <c r="F262" s="1" t="s">
        <v>106</v>
      </c>
      <c r="G262" s="1" t="s">
        <v>107</v>
      </c>
      <c r="H262" s="1" t="s">
        <v>108</v>
      </c>
      <c r="I262" s="1">
        <v>32.320999999999998</v>
      </c>
      <c r="J262" s="1">
        <v>32.572000000000003</v>
      </c>
      <c r="K262" s="1">
        <v>0.97199999999999998</v>
      </c>
      <c r="L262" s="1"/>
      <c r="M262" s="1"/>
      <c r="N262" s="1"/>
      <c r="O262" s="1"/>
      <c r="P262" s="1"/>
      <c r="Q262" s="1"/>
      <c r="R262" s="1"/>
      <c r="S262" s="1" t="s">
        <v>109</v>
      </c>
      <c r="T262" s="1">
        <v>0.27200000000000002</v>
      </c>
      <c r="U262" s="1" t="s">
        <v>109</v>
      </c>
      <c r="V262" s="1">
        <v>3</v>
      </c>
      <c r="W262" s="1">
        <v>26</v>
      </c>
      <c r="X262" s="1" t="s">
        <v>110</v>
      </c>
      <c r="Y262" s="1"/>
      <c r="Z262" s="1">
        <v>0.98599999999999999</v>
      </c>
      <c r="AA262" s="1" t="s">
        <v>111</v>
      </c>
      <c r="AB262" s="1" t="s">
        <v>111</v>
      </c>
      <c r="AC262" s="1" t="s">
        <v>111</v>
      </c>
      <c r="AD262" s="1" t="s">
        <v>205</v>
      </c>
      <c r="AE262" s="1" t="s">
        <v>111</v>
      </c>
      <c r="AF262" s="1" t="s">
        <v>111</v>
      </c>
      <c r="AG262" s="1" t="s">
        <v>111</v>
      </c>
      <c r="AH262" s="1" t="s">
        <v>111</v>
      </c>
      <c r="AI262" s="1">
        <v>80.713999999999999</v>
      </c>
      <c r="AJ262" s="1" t="s">
        <v>111</v>
      </c>
      <c r="AK262" s="1"/>
      <c r="AL262" s="1" t="s">
        <v>111</v>
      </c>
      <c r="AM262" s="1"/>
      <c r="AN262" s="1" t="s">
        <v>111</v>
      </c>
      <c r="AO262" s="1"/>
      <c r="AP262" s="1" t="s">
        <v>111</v>
      </c>
    </row>
    <row r="263" spans="1:42" x14ac:dyDescent="0.25">
      <c r="A263" s="1">
        <v>275</v>
      </c>
      <c r="B263" s="1" t="s">
        <v>344</v>
      </c>
      <c r="C263" s="1" t="s">
        <v>103</v>
      </c>
      <c r="D263" s="1" t="s">
        <v>126</v>
      </c>
      <c r="E263" s="1" t="s">
        <v>311</v>
      </c>
      <c r="F263" s="1" t="s">
        <v>106</v>
      </c>
      <c r="G263" s="1" t="s">
        <v>107</v>
      </c>
      <c r="H263" s="1" t="s">
        <v>108</v>
      </c>
      <c r="I263" s="1">
        <v>32.834000000000003</v>
      </c>
      <c r="J263" s="1">
        <v>32.524000000000001</v>
      </c>
      <c r="K263" s="1">
        <v>0.871</v>
      </c>
      <c r="L263" s="1"/>
      <c r="M263" s="1"/>
      <c r="N263" s="1"/>
      <c r="O263" s="1"/>
      <c r="P263" s="1"/>
      <c r="Q263" s="1"/>
      <c r="R263" s="1"/>
      <c r="S263" s="1" t="s">
        <v>109</v>
      </c>
      <c r="T263" s="1">
        <v>0.27200000000000002</v>
      </c>
      <c r="U263" s="1" t="s">
        <v>109</v>
      </c>
      <c r="V263" s="1">
        <v>3</v>
      </c>
      <c r="W263" s="1">
        <v>27</v>
      </c>
      <c r="X263" s="1" t="s">
        <v>110</v>
      </c>
      <c r="Y263" s="1"/>
      <c r="Z263" s="1">
        <v>0.98799999999999999</v>
      </c>
      <c r="AA263" s="1" t="s">
        <v>111</v>
      </c>
      <c r="AB263" s="1" t="s">
        <v>111</v>
      </c>
      <c r="AC263" s="1" t="s">
        <v>111</v>
      </c>
      <c r="AD263" s="1" t="s">
        <v>205</v>
      </c>
      <c r="AE263" s="1" t="s">
        <v>111</v>
      </c>
      <c r="AF263" s="1" t="s">
        <v>111</v>
      </c>
      <c r="AG263" s="1" t="s">
        <v>111</v>
      </c>
      <c r="AH263" s="1" t="s">
        <v>111</v>
      </c>
      <c r="AI263" s="1">
        <v>80.713999999999999</v>
      </c>
      <c r="AJ263" s="1" t="s">
        <v>111</v>
      </c>
      <c r="AK263" s="1"/>
      <c r="AL263" s="1" t="s">
        <v>111</v>
      </c>
      <c r="AM263" s="1"/>
      <c r="AN263" s="1" t="s">
        <v>111</v>
      </c>
      <c r="AO263" s="1"/>
      <c r="AP263" s="1" t="s">
        <v>111</v>
      </c>
    </row>
    <row r="264" spans="1:42" x14ac:dyDescent="0.25">
      <c r="A264" s="1">
        <v>276</v>
      </c>
      <c r="B264" s="1" t="s">
        <v>345</v>
      </c>
      <c r="C264" s="1" t="s">
        <v>103</v>
      </c>
      <c r="D264" s="1" t="s">
        <v>126</v>
      </c>
      <c r="E264" s="1" t="s">
        <v>311</v>
      </c>
      <c r="F264" s="1" t="s">
        <v>106</v>
      </c>
      <c r="G264" s="1" t="s">
        <v>107</v>
      </c>
      <c r="H264" s="1" t="s">
        <v>108</v>
      </c>
      <c r="I264" s="1">
        <v>33.572000000000003</v>
      </c>
      <c r="J264" s="1">
        <v>32.524000000000001</v>
      </c>
      <c r="K264" s="1">
        <v>0.871</v>
      </c>
      <c r="L264" s="1"/>
      <c r="M264" s="1"/>
      <c r="N264" s="1"/>
      <c r="O264" s="1"/>
      <c r="P264" s="1"/>
      <c r="Q264" s="1"/>
      <c r="R264" s="1"/>
      <c r="S264" s="1" t="s">
        <v>109</v>
      </c>
      <c r="T264" s="1">
        <v>0.27200000000000002</v>
      </c>
      <c r="U264" s="1" t="s">
        <v>109</v>
      </c>
      <c r="V264" s="1">
        <v>3</v>
      </c>
      <c r="W264" s="1">
        <v>27</v>
      </c>
      <c r="X264" s="1" t="s">
        <v>110</v>
      </c>
      <c r="Y264" s="1"/>
      <c r="Z264" s="1">
        <v>0.98399999999999999</v>
      </c>
      <c r="AA264" s="1" t="s">
        <v>111</v>
      </c>
      <c r="AB264" s="1" t="s">
        <v>111</v>
      </c>
      <c r="AC264" s="1" t="s">
        <v>111</v>
      </c>
      <c r="AD264" s="1" t="s">
        <v>205</v>
      </c>
      <c r="AE264" s="1" t="s">
        <v>111</v>
      </c>
      <c r="AF264" s="1" t="s">
        <v>111</v>
      </c>
      <c r="AG264" s="1" t="s">
        <v>111</v>
      </c>
      <c r="AH264" s="1" t="s">
        <v>111</v>
      </c>
      <c r="AI264" s="1">
        <v>80.713999999999999</v>
      </c>
      <c r="AJ264" s="1" t="s">
        <v>111</v>
      </c>
      <c r="AK264" s="1"/>
      <c r="AL264" s="1" t="s">
        <v>111</v>
      </c>
      <c r="AM264" s="1"/>
      <c r="AN264" s="1" t="s">
        <v>111</v>
      </c>
      <c r="AO264" s="1"/>
      <c r="AP264" s="1" t="s">
        <v>111</v>
      </c>
    </row>
    <row r="265" spans="1:42" x14ac:dyDescent="0.25">
      <c r="A265" s="1">
        <v>281</v>
      </c>
      <c r="B265" s="1" t="s">
        <v>346</v>
      </c>
      <c r="C265" s="1" t="s">
        <v>103</v>
      </c>
      <c r="D265" s="1" t="s">
        <v>282</v>
      </c>
      <c r="E265" s="1" t="s">
        <v>269</v>
      </c>
      <c r="F265" s="1" t="s">
        <v>106</v>
      </c>
      <c r="G265" s="1" t="s">
        <v>107</v>
      </c>
      <c r="H265" s="1" t="s">
        <v>108</v>
      </c>
      <c r="I265" s="1">
        <v>26.852</v>
      </c>
      <c r="J265" s="1">
        <v>25.626999999999999</v>
      </c>
      <c r="K265" s="1">
        <v>1.732</v>
      </c>
      <c r="L265" s="1"/>
      <c r="M265" s="1"/>
      <c r="N265" s="1"/>
      <c r="O265" s="1"/>
      <c r="P265" s="1"/>
      <c r="Q265" s="1"/>
      <c r="R265" s="1"/>
      <c r="S265" s="1" t="s">
        <v>109</v>
      </c>
      <c r="T265" s="1">
        <v>0.32900000000000001</v>
      </c>
      <c r="U265" s="1" t="s">
        <v>109</v>
      </c>
      <c r="V265" s="1">
        <v>3</v>
      </c>
      <c r="W265" s="1">
        <v>20</v>
      </c>
      <c r="X265" s="1" t="s">
        <v>236</v>
      </c>
      <c r="Y265" s="1"/>
      <c r="Z265" s="1">
        <v>0</v>
      </c>
      <c r="AA265" s="1" t="s">
        <v>205</v>
      </c>
      <c r="AB265" s="1" t="s">
        <v>205</v>
      </c>
      <c r="AC265" s="1" t="s">
        <v>111</v>
      </c>
      <c r="AD265" s="1" t="s">
        <v>205</v>
      </c>
      <c r="AE265" s="1" t="s">
        <v>205</v>
      </c>
      <c r="AF265" s="1" t="s">
        <v>111</v>
      </c>
      <c r="AG265" s="1" t="s">
        <v>111</v>
      </c>
      <c r="AH265" s="1" t="s">
        <v>111</v>
      </c>
      <c r="AI265" s="1">
        <v>60</v>
      </c>
      <c r="AJ265" s="1" t="s">
        <v>205</v>
      </c>
      <c r="AK265" s="1"/>
      <c r="AL265" s="1" t="s">
        <v>111</v>
      </c>
      <c r="AM265" s="1"/>
      <c r="AN265" s="1" t="s">
        <v>205</v>
      </c>
      <c r="AO265" s="1"/>
      <c r="AP265" s="1" t="s">
        <v>111</v>
      </c>
    </row>
    <row r="266" spans="1:42" x14ac:dyDescent="0.25">
      <c r="A266" s="1">
        <v>282</v>
      </c>
      <c r="B266" s="1" t="s">
        <v>347</v>
      </c>
      <c r="C266" s="1" t="s">
        <v>103</v>
      </c>
      <c r="D266" s="1" t="s">
        <v>282</v>
      </c>
      <c r="E266" s="1" t="s">
        <v>269</v>
      </c>
      <c r="F266" s="1" t="s">
        <v>106</v>
      </c>
      <c r="G266" s="1" t="s">
        <v>107</v>
      </c>
      <c r="H266" s="1" t="s">
        <v>108</v>
      </c>
      <c r="I266" s="1">
        <v>24.402000000000001</v>
      </c>
      <c r="J266" s="1">
        <v>25.626999999999999</v>
      </c>
      <c r="K266" s="1">
        <v>1.732</v>
      </c>
      <c r="L266" s="1"/>
      <c r="M266" s="1"/>
      <c r="N266" s="1"/>
      <c r="O266" s="1"/>
      <c r="P266" s="1"/>
      <c r="Q266" s="1"/>
      <c r="R266" s="1"/>
      <c r="S266" s="1" t="s">
        <v>109</v>
      </c>
      <c r="T266" s="1">
        <v>0.32900000000000001</v>
      </c>
      <c r="U266" s="1" t="s">
        <v>109</v>
      </c>
      <c r="V266" s="1">
        <v>3</v>
      </c>
      <c r="W266" s="1">
        <v>21</v>
      </c>
      <c r="X266" s="1" t="s">
        <v>236</v>
      </c>
      <c r="Y266" s="1"/>
      <c r="Z266" s="1">
        <v>0</v>
      </c>
      <c r="AA266" s="1" t="s">
        <v>205</v>
      </c>
      <c r="AB266" s="1" t="s">
        <v>205</v>
      </c>
      <c r="AC266" s="1" t="s">
        <v>111</v>
      </c>
      <c r="AD266" s="1" t="s">
        <v>205</v>
      </c>
      <c r="AE266" s="1" t="s">
        <v>111</v>
      </c>
      <c r="AF266" s="1" t="s">
        <v>111</v>
      </c>
      <c r="AG266" s="1" t="s">
        <v>111</v>
      </c>
      <c r="AH266" s="1" t="s">
        <v>111</v>
      </c>
      <c r="AI266" s="1">
        <v>60</v>
      </c>
      <c r="AJ266" s="1" t="s">
        <v>111</v>
      </c>
      <c r="AK266" s="1"/>
      <c r="AL266" s="1" t="s">
        <v>111</v>
      </c>
      <c r="AM266" s="1"/>
      <c r="AN266" s="1" t="s">
        <v>205</v>
      </c>
      <c r="AO266" s="1"/>
      <c r="AP266" s="1" t="s">
        <v>111</v>
      </c>
    </row>
    <row r="267" spans="1:42" x14ac:dyDescent="0.25">
      <c r="A267" s="1">
        <v>283</v>
      </c>
      <c r="B267" s="1" t="s">
        <v>348</v>
      </c>
      <c r="C267" s="1" t="s">
        <v>103</v>
      </c>
      <c r="D267" s="1" t="s">
        <v>282</v>
      </c>
      <c r="E267" s="1" t="s">
        <v>311</v>
      </c>
      <c r="F267" s="1" t="s">
        <v>106</v>
      </c>
      <c r="G267" s="1" t="s">
        <v>107</v>
      </c>
      <c r="H267" s="1" t="s">
        <v>108</v>
      </c>
      <c r="I267" s="1" t="s">
        <v>235</v>
      </c>
      <c r="J267" s="1"/>
      <c r="K267" s="1"/>
      <c r="L267" s="1"/>
      <c r="M267" s="1"/>
      <c r="N267" s="1"/>
      <c r="O267" s="1"/>
      <c r="P267" s="1"/>
      <c r="Q267" s="1"/>
      <c r="R267" s="1"/>
      <c r="S267" s="1" t="s">
        <v>109</v>
      </c>
      <c r="T267" s="1">
        <v>0.27200000000000002</v>
      </c>
      <c r="U267" s="1" t="s">
        <v>109</v>
      </c>
      <c r="V267" s="1">
        <v>3</v>
      </c>
      <c r="W267" s="1">
        <v>39</v>
      </c>
      <c r="X267" s="1" t="s">
        <v>236</v>
      </c>
      <c r="Y267" s="1"/>
      <c r="Z267" s="1">
        <v>0</v>
      </c>
      <c r="AA267" s="1" t="s">
        <v>205</v>
      </c>
      <c r="AB267" s="1" t="s">
        <v>111</v>
      </c>
      <c r="AC267" s="1" t="s">
        <v>205</v>
      </c>
      <c r="AD267" s="1" t="s">
        <v>111</v>
      </c>
      <c r="AE267" s="1" t="s">
        <v>111</v>
      </c>
      <c r="AF267" s="1" t="s">
        <v>111</v>
      </c>
      <c r="AG267" s="1" t="s">
        <v>111</v>
      </c>
      <c r="AH267" s="1" t="s">
        <v>111</v>
      </c>
      <c r="AI267" s="1">
        <v>60</v>
      </c>
      <c r="AJ267" s="1" t="s">
        <v>111</v>
      </c>
      <c r="AK267" s="1"/>
      <c r="AL267" s="1" t="s">
        <v>111</v>
      </c>
      <c r="AM267" s="1"/>
      <c r="AN267" s="1" t="s">
        <v>205</v>
      </c>
      <c r="AO267" s="1"/>
      <c r="AP267" s="1" t="s">
        <v>111</v>
      </c>
    </row>
    <row r="268" spans="1:42" x14ac:dyDescent="0.25">
      <c r="A268" s="1">
        <v>284</v>
      </c>
      <c r="B268" s="1" t="s">
        <v>349</v>
      </c>
      <c r="C268" s="1" t="s">
        <v>103</v>
      </c>
      <c r="D268" s="1" t="s">
        <v>282</v>
      </c>
      <c r="E268" s="1" t="s">
        <v>311</v>
      </c>
      <c r="F268" s="1" t="s">
        <v>106</v>
      </c>
      <c r="G268" s="1" t="s">
        <v>107</v>
      </c>
      <c r="H268" s="1" t="s">
        <v>108</v>
      </c>
      <c r="I268" s="1" t="s">
        <v>235</v>
      </c>
      <c r="J268" s="1"/>
      <c r="K268" s="1"/>
      <c r="L268" s="1"/>
      <c r="M268" s="1"/>
      <c r="N268" s="1"/>
      <c r="O268" s="1"/>
      <c r="P268" s="1"/>
      <c r="Q268" s="1"/>
      <c r="R268" s="1"/>
      <c r="S268" s="1" t="s">
        <v>109</v>
      </c>
      <c r="T268" s="1">
        <v>0.27200000000000002</v>
      </c>
      <c r="U268" s="1" t="s">
        <v>109</v>
      </c>
      <c r="V268" s="1">
        <v>3</v>
      </c>
      <c r="W268" s="1">
        <v>39</v>
      </c>
      <c r="X268" s="1" t="s">
        <v>236</v>
      </c>
      <c r="Y268" s="1"/>
      <c r="Z268" s="1">
        <v>0</v>
      </c>
      <c r="AA268" s="1" t="s">
        <v>205</v>
      </c>
      <c r="AB268" s="1" t="s">
        <v>111</v>
      </c>
      <c r="AC268" s="1" t="s">
        <v>205</v>
      </c>
      <c r="AD268" s="1" t="s">
        <v>111</v>
      </c>
      <c r="AE268" s="1" t="s">
        <v>111</v>
      </c>
      <c r="AF268" s="1" t="s">
        <v>111</v>
      </c>
      <c r="AG268" s="1" t="s">
        <v>111</v>
      </c>
      <c r="AH268" s="1" t="s">
        <v>111</v>
      </c>
      <c r="AI268" s="1">
        <v>60</v>
      </c>
      <c r="AJ268" s="1" t="s">
        <v>111</v>
      </c>
      <c r="AK268" s="1"/>
      <c r="AL268" s="1" t="s">
        <v>111</v>
      </c>
      <c r="AM268" s="1"/>
      <c r="AN268" s="1" t="s">
        <v>205</v>
      </c>
      <c r="AO268" s="1"/>
      <c r="AP268" s="1" t="s">
        <v>111</v>
      </c>
    </row>
    <row r="269" spans="1:42" x14ac:dyDescent="0.25">
      <c r="A269" s="1">
        <v>285</v>
      </c>
      <c r="B269" s="1" t="s">
        <v>350</v>
      </c>
      <c r="C269" s="1" t="s">
        <v>103</v>
      </c>
      <c r="D269" s="1" t="s">
        <v>282</v>
      </c>
      <c r="E269" s="1" t="s">
        <v>328</v>
      </c>
      <c r="F269" s="1" t="s">
        <v>106</v>
      </c>
      <c r="G269" s="1" t="s">
        <v>107</v>
      </c>
      <c r="H269" s="1" t="s">
        <v>108</v>
      </c>
      <c r="I269" s="1">
        <v>24.233000000000001</v>
      </c>
      <c r="J269" s="1">
        <v>30.614999999999998</v>
      </c>
      <c r="K269" s="1">
        <v>9.0250000000000004</v>
      </c>
      <c r="L269" s="1"/>
      <c r="M269" s="1"/>
      <c r="N269" s="1"/>
      <c r="O269" s="1"/>
      <c r="P269" s="1"/>
      <c r="Q269" s="1"/>
      <c r="R269" s="1"/>
      <c r="S269" s="1" t="s">
        <v>109</v>
      </c>
      <c r="T269" s="1">
        <v>0.16200000000000001</v>
      </c>
      <c r="U269" s="1" t="s">
        <v>109</v>
      </c>
      <c r="V269" s="1">
        <v>3</v>
      </c>
      <c r="W269" s="1">
        <v>19</v>
      </c>
      <c r="X269" s="1" t="s">
        <v>236</v>
      </c>
      <c r="Y269" s="1"/>
      <c r="Z269" s="1">
        <v>0</v>
      </c>
      <c r="AA269" s="1" t="s">
        <v>205</v>
      </c>
      <c r="AB269" s="1" t="s">
        <v>205</v>
      </c>
      <c r="AC269" s="1" t="s">
        <v>111</v>
      </c>
      <c r="AD269" s="1" t="s">
        <v>205</v>
      </c>
      <c r="AE269" s="1" t="s">
        <v>111</v>
      </c>
      <c r="AF269" s="1" t="s">
        <v>111</v>
      </c>
      <c r="AG269" s="1" t="s">
        <v>111</v>
      </c>
      <c r="AH269" s="1" t="s">
        <v>111</v>
      </c>
      <c r="AI269" s="1">
        <v>60</v>
      </c>
      <c r="AJ269" s="1" t="s">
        <v>111</v>
      </c>
      <c r="AK269" s="1"/>
      <c r="AL269" s="1" t="s">
        <v>111</v>
      </c>
      <c r="AM269" s="1"/>
      <c r="AN269" s="1" t="s">
        <v>205</v>
      </c>
      <c r="AO269" s="1"/>
      <c r="AP269" s="1" t="s">
        <v>111</v>
      </c>
    </row>
    <row r="270" spans="1:42" x14ac:dyDescent="0.25">
      <c r="A270" s="1">
        <v>286</v>
      </c>
      <c r="B270" s="1" t="s">
        <v>351</v>
      </c>
      <c r="C270" s="1" t="s">
        <v>103</v>
      </c>
      <c r="D270" s="1" t="s">
        <v>282</v>
      </c>
      <c r="E270" s="1" t="s">
        <v>328</v>
      </c>
      <c r="F270" s="1" t="s">
        <v>106</v>
      </c>
      <c r="G270" s="1" t="s">
        <v>107</v>
      </c>
      <c r="H270" s="1" t="s">
        <v>108</v>
      </c>
      <c r="I270" s="1" t="s">
        <v>235</v>
      </c>
      <c r="J270" s="1">
        <v>30.614999999999998</v>
      </c>
      <c r="K270" s="1">
        <v>9.0250000000000004</v>
      </c>
      <c r="L270" s="1"/>
      <c r="M270" s="1"/>
      <c r="N270" s="1"/>
      <c r="O270" s="1"/>
      <c r="P270" s="1"/>
      <c r="Q270" s="1"/>
      <c r="R270" s="1"/>
      <c r="S270" s="1" t="s">
        <v>109</v>
      </c>
      <c r="T270" s="1">
        <v>0.16200000000000001</v>
      </c>
      <c r="U270" s="1" t="s">
        <v>109</v>
      </c>
      <c r="V270" s="1">
        <v>3</v>
      </c>
      <c r="W270" s="1">
        <v>39</v>
      </c>
      <c r="X270" s="1" t="s">
        <v>236</v>
      </c>
      <c r="Y270" s="1"/>
      <c r="Z270" s="1">
        <v>0</v>
      </c>
      <c r="AA270" s="1" t="s">
        <v>205</v>
      </c>
      <c r="AB270" s="1" t="s">
        <v>111</v>
      </c>
      <c r="AC270" s="1" t="s">
        <v>205</v>
      </c>
      <c r="AD270" s="1" t="s">
        <v>111</v>
      </c>
      <c r="AE270" s="1" t="s">
        <v>111</v>
      </c>
      <c r="AF270" s="1" t="s">
        <v>111</v>
      </c>
      <c r="AG270" s="1" t="s">
        <v>111</v>
      </c>
      <c r="AH270" s="1" t="s">
        <v>111</v>
      </c>
      <c r="AI270" s="1">
        <v>60</v>
      </c>
      <c r="AJ270" s="1" t="s">
        <v>111</v>
      </c>
      <c r="AK270" s="1"/>
      <c r="AL270" s="1" t="s">
        <v>111</v>
      </c>
      <c r="AM270" s="1"/>
      <c r="AN270" s="1" t="s">
        <v>205</v>
      </c>
      <c r="AO270" s="1"/>
      <c r="AP270" s="1" t="s">
        <v>111</v>
      </c>
    </row>
    <row r="271" spans="1:42" x14ac:dyDescent="0.25">
      <c r="A271" s="1">
        <v>287</v>
      </c>
      <c r="B271" s="1" t="s">
        <v>352</v>
      </c>
      <c r="C271" s="1" t="s">
        <v>103</v>
      </c>
      <c r="D271" s="1" t="s">
        <v>282</v>
      </c>
      <c r="E271" s="1" t="s">
        <v>332</v>
      </c>
      <c r="F271" s="1" t="s">
        <v>106</v>
      </c>
      <c r="G271" s="1" t="s">
        <v>107</v>
      </c>
      <c r="H271" s="1" t="s">
        <v>108</v>
      </c>
      <c r="I271" s="1" t="s">
        <v>235</v>
      </c>
      <c r="J271" s="1">
        <v>23.638000000000002</v>
      </c>
      <c r="K271" s="1"/>
      <c r="L271" s="1"/>
      <c r="M271" s="1"/>
      <c r="N271" s="1"/>
      <c r="O271" s="1"/>
      <c r="P271" s="1"/>
      <c r="Q271" s="1"/>
      <c r="R271" s="1"/>
      <c r="S271" s="1" t="s">
        <v>109</v>
      </c>
      <c r="T271" s="1">
        <v>0.505</v>
      </c>
      <c r="U271" s="1" t="s">
        <v>109</v>
      </c>
      <c r="V271" s="1">
        <v>3</v>
      </c>
      <c r="W271" s="1">
        <v>39</v>
      </c>
      <c r="X271" s="1" t="s">
        <v>236</v>
      </c>
      <c r="Y271" s="1"/>
      <c r="Z271" s="1">
        <v>0</v>
      </c>
      <c r="AA271" s="1" t="s">
        <v>205</v>
      </c>
      <c r="AB271" s="1" t="s">
        <v>111</v>
      </c>
      <c r="AC271" s="1" t="s">
        <v>205</v>
      </c>
      <c r="AD271" s="1" t="s">
        <v>111</v>
      </c>
      <c r="AE271" s="1" t="s">
        <v>111</v>
      </c>
      <c r="AF271" s="1" t="s">
        <v>111</v>
      </c>
      <c r="AG271" s="1" t="s">
        <v>111</v>
      </c>
      <c r="AH271" s="1" t="s">
        <v>111</v>
      </c>
      <c r="AI271" s="1">
        <v>60</v>
      </c>
      <c r="AJ271" s="1" t="s">
        <v>205</v>
      </c>
      <c r="AK271" s="1"/>
      <c r="AL271" s="1" t="s">
        <v>111</v>
      </c>
      <c r="AM271" s="1"/>
      <c r="AN271" s="1" t="s">
        <v>205</v>
      </c>
      <c r="AO271" s="1"/>
      <c r="AP271" s="1" t="s">
        <v>111</v>
      </c>
    </row>
    <row r="272" spans="1:42" x14ac:dyDescent="0.25">
      <c r="A272" s="1">
        <v>288</v>
      </c>
      <c r="B272" s="1" t="s">
        <v>353</v>
      </c>
      <c r="C272" s="1" t="s">
        <v>103</v>
      </c>
      <c r="D272" s="1" t="s">
        <v>282</v>
      </c>
      <c r="E272" s="1" t="s">
        <v>332</v>
      </c>
      <c r="F272" s="1" t="s">
        <v>106</v>
      </c>
      <c r="G272" s="1" t="s">
        <v>107</v>
      </c>
      <c r="H272" s="1" t="s">
        <v>108</v>
      </c>
      <c r="I272" s="1">
        <v>23.638000000000002</v>
      </c>
      <c r="J272" s="1">
        <v>23.638000000000002</v>
      </c>
      <c r="K272" s="1"/>
      <c r="L272" s="1"/>
      <c r="M272" s="1"/>
      <c r="N272" s="1"/>
      <c r="O272" s="1"/>
      <c r="P272" s="1"/>
      <c r="Q272" s="1"/>
      <c r="R272" s="1"/>
      <c r="S272" s="1" t="s">
        <v>109</v>
      </c>
      <c r="T272" s="1">
        <v>0.505</v>
      </c>
      <c r="U272" s="1" t="s">
        <v>109</v>
      </c>
      <c r="V272" s="1">
        <v>3</v>
      </c>
      <c r="W272" s="1">
        <v>20</v>
      </c>
      <c r="X272" s="1" t="s">
        <v>236</v>
      </c>
      <c r="Y272" s="1"/>
      <c r="Z272" s="1">
        <v>0</v>
      </c>
      <c r="AA272" s="1" t="s">
        <v>205</v>
      </c>
      <c r="AB272" s="1" t="s">
        <v>205</v>
      </c>
      <c r="AC272" s="1" t="s">
        <v>111</v>
      </c>
      <c r="AD272" s="1" t="s">
        <v>111</v>
      </c>
      <c r="AE272" s="1" t="s">
        <v>205</v>
      </c>
      <c r="AF272" s="1" t="s">
        <v>111</v>
      </c>
      <c r="AG272" s="1" t="s">
        <v>111</v>
      </c>
      <c r="AH272" s="1" t="s">
        <v>111</v>
      </c>
      <c r="AI272" s="1">
        <v>60</v>
      </c>
      <c r="AJ272" s="1" t="s">
        <v>205</v>
      </c>
      <c r="AK272" s="1"/>
      <c r="AL272" s="1" t="s">
        <v>111</v>
      </c>
      <c r="AM272" s="1"/>
      <c r="AN272" s="1" t="s">
        <v>205</v>
      </c>
      <c r="AO272" s="1"/>
      <c r="AP272" s="1" t="s">
        <v>205</v>
      </c>
    </row>
    <row r="273" spans="1:42" x14ac:dyDescent="0.25">
      <c r="A273" s="1">
        <v>289</v>
      </c>
      <c r="B273" s="1" t="s">
        <v>354</v>
      </c>
      <c r="C273" s="1" t="s">
        <v>103</v>
      </c>
      <c r="D273" s="1" t="s">
        <v>104</v>
      </c>
      <c r="E273" s="1" t="s">
        <v>328</v>
      </c>
      <c r="F273" s="1" t="s">
        <v>106</v>
      </c>
      <c r="G273" s="1" t="s">
        <v>107</v>
      </c>
      <c r="H273" s="1" t="s">
        <v>108</v>
      </c>
      <c r="I273" s="1">
        <v>33.584000000000003</v>
      </c>
      <c r="J273" s="1">
        <v>33.584000000000003</v>
      </c>
      <c r="K273" s="1"/>
      <c r="L273" s="1"/>
      <c r="M273" s="1"/>
      <c r="N273" s="1"/>
      <c r="O273" s="1"/>
      <c r="P273" s="1"/>
      <c r="Q273" s="1"/>
      <c r="R273" s="1"/>
      <c r="S273" s="1" t="s">
        <v>109</v>
      </c>
      <c r="T273" s="1">
        <v>0.16200000000000001</v>
      </c>
      <c r="U273" s="1" t="s">
        <v>109</v>
      </c>
      <c r="V273" s="1">
        <v>3</v>
      </c>
      <c r="W273" s="1">
        <v>29</v>
      </c>
      <c r="X273" s="1" t="s">
        <v>110</v>
      </c>
      <c r="Y273" s="1"/>
      <c r="Z273" s="1">
        <v>0.98299999999999998</v>
      </c>
      <c r="AA273" s="1" t="s">
        <v>111</v>
      </c>
      <c r="AB273" s="1" t="s">
        <v>111</v>
      </c>
      <c r="AC273" s="1" t="s">
        <v>111</v>
      </c>
      <c r="AD273" s="1" t="s">
        <v>111</v>
      </c>
      <c r="AE273" s="1" t="s">
        <v>111</v>
      </c>
      <c r="AF273" s="1" t="s">
        <v>111</v>
      </c>
      <c r="AG273" s="1" t="s">
        <v>111</v>
      </c>
      <c r="AH273" s="1" t="s">
        <v>111</v>
      </c>
      <c r="AI273" s="1">
        <v>81.153999999999996</v>
      </c>
      <c r="AJ273" s="1" t="s">
        <v>111</v>
      </c>
      <c r="AK273" s="1"/>
      <c r="AL273" s="1" t="s">
        <v>111</v>
      </c>
      <c r="AM273" s="1"/>
      <c r="AN273" s="1" t="s">
        <v>111</v>
      </c>
      <c r="AO273" s="1"/>
      <c r="AP273" s="1" t="s">
        <v>111</v>
      </c>
    </row>
    <row r="274" spans="1:42" x14ac:dyDescent="0.25">
      <c r="A274" s="1">
        <v>290</v>
      </c>
      <c r="B274" s="1" t="s">
        <v>355</v>
      </c>
      <c r="C274" s="1" t="s">
        <v>103</v>
      </c>
      <c r="D274" s="1" t="s">
        <v>104</v>
      </c>
      <c r="E274" s="1" t="s">
        <v>328</v>
      </c>
      <c r="F274" s="1" t="s">
        <v>106</v>
      </c>
      <c r="G274" s="1" t="s">
        <v>107</v>
      </c>
      <c r="H274" s="1" t="s">
        <v>108</v>
      </c>
      <c r="I274" s="1" t="s">
        <v>235</v>
      </c>
      <c r="J274" s="1">
        <v>33.584000000000003</v>
      </c>
      <c r="K274" s="1"/>
      <c r="L274" s="1"/>
      <c r="M274" s="1"/>
      <c r="N274" s="1"/>
      <c r="O274" s="1"/>
      <c r="P274" s="1"/>
      <c r="Q274" s="1"/>
      <c r="R274" s="1"/>
      <c r="S274" s="1" t="s">
        <v>109</v>
      </c>
      <c r="T274" s="1">
        <v>0.16200000000000001</v>
      </c>
      <c r="U274" s="1" t="s">
        <v>109</v>
      </c>
      <c r="V274" s="1">
        <v>3</v>
      </c>
      <c r="W274" s="1">
        <v>39</v>
      </c>
      <c r="X274" s="1" t="s">
        <v>236</v>
      </c>
      <c r="Y274" s="1"/>
      <c r="Z274" s="1">
        <v>0</v>
      </c>
      <c r="AA274" s="1" t="s">
        <v>205</v>
      </c>
      <c r="AB274" s="1" t="s">
        <v>111</v>
      </c>
      <c r="AC274" s="1" t="s">
        <v>205</v>
      </c>
      <c r="AD274" s="1" t="s">
        <v>111</v>
      </c>
      <c r="AE274" s="1" t="s">
        <v>111</v>
      </c>
      <c r="AF274" s="1" t="s">
        <v>111</v>
      </c>
      <c r="AG274" s="1" t="s">
        <v>111</v>
      </c>
      <c r="AH274" s="1" t="s">
        <v>111</v>
      </c>
      <c r="AI274" s="1">
        <v>60</v>
      </c>
      <c r="AJ274" s="1" t="s">
        <v>111</v>
      </c>
      <c r="AK274" s="1"/>
      <c r="AL274" s="1" t="s">
        <v>111</v>
      </c>
      <c r="AM274" s="1"/>
      <c r="AN274" s="1" t="s">
        <v>111</v>
      </c>
      <c r="AO274" s="1"/>
      <c r="AP274" s="1" t="s">
        <v>111</v>
      </c>
    </row>
    <row r="275" spans="1:42" x14ac:dyDescent="0.25">
      <c r="A275" s="1">
        <v>291</v>
      </c>
      <c r="B275" s="1" t="s">
        <v>356</v>
      </c>
      <c r="C275" s="1" t="s">
        <v>103</v>
      </c>
      <c r="D275" s="1" t="s">
        <v>114</v>
      </c>
      <c r="E275" s="1" t="s">
        <v>328</v>
      </c>
      <c r="F275" s="1" t="s">
        <v>106</v>
      </c>
      <c r="G275" s="1" t="s">
        <v>107</v>
      </c>
      <c r="H275" s="1" t="s">
        <v>108</v>
      </c>
      <c r="I275" s="1">
        <v>33.777999999999999</v>
      </c>
      <c r="J275" s="1">
        <v>33.695999999999998</v>
      </c>
      <c r="K275" s="1">
        <v>0.11</v>
      </c>
      <c r="L275" s="1"/>
      <c r="M275" s="1"/>
      <c r="N275" s="1"/>
      <c r="O275" s="1"/>
      <c r="P275" s="1"/>
      <c r="Q275" s="1"/>
      <c r="R275" s="1"/>
      <c r="S275" s="1" t="s">
        <v>109</v>
      </c>
      <c r="T275" s="1">
        <v>0.16200000000000001</v>
      </c>
      <c r="U275" s="1" t="s">
        <v>109</v>
      </c>
      <c r="V275" s="1">
        <v>3</v>
      </c>
      <c r="W275" s="1">
        <v>28</v>
      </c>
      <c r="X275" s="1" t="s">
        <v>110</v>
      </c>
      <c r="Y275" s="1"/>
      <c r="Z275" s="1">
        <v>0.98599999999999999</v>
      </c>
      <c r="AA275" s="1" t="s">
        <v>111</v>
      </c>
      <c r="AB275" s="1" t="s">
        <v>111</v>
      </c>
      <c r="AC275" s="1" t="s">
        <v>111</v>
      </c>
      <c r="AD275" s="1" t="s">
        <v>111</v>
      </c>
      <c r="AE275" s="1" t="s">
        <v>111</v>
      </c>
      <c r="AF275" s="1" t="s">
        <v>111</v>
      </c>
      <c r="AG275" s="1" t="s">
        <v>111</v>
      </c>
      <c r="AH275" s="1" t="s">
        <v>111</v>
      </c>
      <c r="AI275" s="1">
        <v>81.153999999999996</v>
      </c>
      <c r="AJ275" s="1" t="s">
        <v>111</v>
      </c>
      <c r="AK275" s="1"/>
      <c r="AL275" s="1" t="s">
        <v>111</v>
      </c>
      <c r="AM275" s="1"/>
      <c r="AN275" s="1" t="s">
        <v>111</v>
      </c>
      <c r="AO275" s="1"/>
      <c r="AP275" s="1" t="s">
        <v>111</v>
      </c>
    </row>
    <row r="276" spans="1:42" x14ac:dyDescent="0.25">
      <c r="A276" s="1">
        <v>292</v>
      </c>
      <c r="B276" s="1" t="s">
        <v>357</v>
      </c>
      <c r="C276" s="1" t="s">
        <v>103</v>
      </c>
      <c r="D276" s="1" t="s">
        <v>114</v>
      </c>
      <c r="E276" s="1" t="s">
        <v>328</v>
      </c>
      <c r="F276" s="1" t="s">
        <v>106</v>
      </c>
      <c r="G276" s="1" t="s">
        <v>107</v>
      </c>
      <c r="H276" s="1" t="s">
        <v>108</v>
      </c>
      <c r="I276" s="1">
        <v>33.738</v>
      </c>
      <c r="J276" s="1">
        <v>33.695999999999998</v>
      </c>
      <c r="K276" s="1">
        <v>0.11</v>
      </c>
      <c r="L276" s="1"/>
      <c r="M276" s="1"/>
      <c r="N276" s="1"/>
      <c r="O276" s="1"/>
      <c r="P276" s="1"/>
      <c r="Q276" s="1"/>
      <c r="R276" s="1"/>
      <c r="S276" s="1" t="s">
        <v>109</v>
      </c>
      <c r="T276" s="1">
        <v>0.16200000000000001</v>
      </c>
      <c r="U276" s="1" t="s">
        <v>109</v>
      </c>
      <c r="V276" s="1">
        <v>3</v>
      </c>
      <c r="W276" s="1">
        <v>29</v>
      </c>
      <c r="X276" s="1" t="s">
        <v>110</v>
      </c>
      <c r="Y276" s="1"/>
      <c r="Z276" s="1">
        <v>0.98699999999999999</v>
      </c>
      <c r="AA276" s="1" t="s">
        <v>111</v>
      </c>
      <c r="AB276" s="1" t="s">
        <v>111</v>
      </c>
      <c r="AC276" s="1" t="s">
        <v>111</v>
      </c>
      <c r="AD276" s="1" t="s">
        <v>111</v>
      </c>
      <c r="AE276" s="1" t="s">
        <v>111</v>
      </c>
      <c r="AF276" s="1" t="s">
        <v>111</v>
      </c>
      <c r="AG276" s="1" t="s">
        <v>111</v>
      </c>
      <c r="AH276" s="1" t="s">
        <v>111</v>
      </c>
      <c r="AI276" s="1">
        <v>81.153999999999996</v>
      </c>
      <c r="AJ276" s="1" t="s">
        <v>111</v>
      </c>
      <c r="AK276" s="1"/>
      <c r="AL276" s="1" t="s">
        <v>111</v>
      </c>
      <c r="AM276" s="1"/>
      <c r="AN276" s="1" t="s">
        <v>111</v>
      </c>
      <c r="AO276" s="1"/>
      <c r="AP276" s="1" t="s">
        <v>111</v>
      </c>
    </row>
    <row r="277" spans="1:42" x14ac:dyDescent="0.25">
      <c r="A277" s="1">
        <v>293</v>
      </c>
      <c r="B277" s="1" t="s">
        <v>358</v>
      </c>
      <c r="C277" s="1" t="s">
        <v>103</v>
      </c>
      <c r="D277" s="1" t="s">
        <v>117</v>
      </c>
      <c r="E277" s="1" t="s">
        <v>328</v>
      </c>
      <c r="F277" s="1" t="s">
        <v>106</v>
      </c>
      <c r="G277" s="1" t="s">
        <v>107</v>
      </c>
      <c r="H277" s="1" t="s">
        <v>108</v>
      </c>
      <c r="I277" s="1" t="s">
        <v>235</v>
      </c>
      <c r="J277" s="1">
        <v>33.548000000000002</v>
      </c>
      <c r="K277" s="1"/>
      <c r="L277" s="1"/>
      <c r="M277" s="1"/>
      <c r="N277" s="1"/>
      <c r="O277" s="1"/>
      <c r="P277" s="1"/>
      <c r="Q277" s="1"/>
      <c r="R277" s="1"/>
      <c r="S277" s="1" t="s">
        <v>109</v>
      </c>
      <c r="T277" s="1">
        <v>0.16200000000000001</v>
      </c>
      <c r="U277" s="1" t="s">
        <v>109</v>
      </c>
      <c r="V277" s="1">
        <v>3</v>
      </c>
      <c r="W277" s="1">
        <v>39</v>
      </c>
      <c r="X277" s="1" t="s">
        <v>236</v>
      </c>
      <c r="Y277" s="1"/>
      <c r="Z277" s="1">
        <v>0</v>
      </c>
      <c r="AA277" s="1" t="s">
        <v>205</v>
      </c>
      <c r="AB277" s="1" t="s">
        <v>111</v>
      </c>
      <c r="AC277" s="1" t="s">
        <v>205</v>
      </c>
      <c r="AD277" s="1" t="s">
        <v>111</v>
      </c>
      <c r="AE277" s="1" t="s">
        <v>111</v>
      </c>
      <c r="AF277" s="1" t="s">
        <v>111</v>
      </c>
      <c r="AG277" s="1" t="s">
        <v>111</v>
      </c>
      <c r="AH277" s="1" t="s">
        <v>111</v>
      </c>
      <c r="AI277" s="1">
        <v>60</v>
      </c>
      <c r="AJ277" s="1" t="s">
        <v>111</v>
      </c>
      <c r="AK277" s="1"/>
      <c r="AL277" s="1" t="s">
        <v>205</v>
      </c>
      <c r="AM277" s="1"/>
      <c r="AN277" s="1" t="s">
        <v>111</v>
      </c>
      <c r="AO277" s="1"/>
      <c r="AP277" s="1" t="s">
        <v>111</v>
      </c>
    </row>
    <row r="278" spans="1:42" x14ac:dyDescent="0.25">
      <c r="A278" s="1">
        <v>294</v>
      </c>
      <c r="B278" s="1" t="s">
        <v>359</v>
      </c>
      <c r="C278" s="1" t="s">
        <v>103</v>
      </c>
      <c r="D278" s="1" t="s">
        <v>117</v>
      </c>
      <c r="E278" s="1" t="s">
        <v>328</v>
      </c>
      <c r="F278" s="1" t="s">
        <v>106</v>
      </c>
      <c r="G278" s="1" t="s">
        <v>107</v>
      </c>
      <c r="H278" s="1" t="s">
        <v>108</v>
      </c>
      <c r="I278" s="1" t="s">
        <v>235</v>
      </c>
      <c r="J278" s="1">
        <v>33.548000000000002</v>
      </c>
      <c r="K278" s="1"/>
      <c r="L278" s="1"/>
      <c r="M278" s="1"/>
      <c r="N278" s="1"/>
      <c r="O278" s="1"/>
      <c r="P278" s="1"/>
      <c r="Q278" s="1"/>
      <c r="R278" s="1"/>
      <c r="S278" s="1" t="s">
        <v>109</v>
      </c>
      <c r="T278" s="1">
        <v>0.16200000000000001</v>
      </c>
      <c r="U278" s="1" t="s">
        <v>109</v>
      </c>
      <c r="V278" s="1">
        <v>3</v>
      </c>
      <c r="W278" s="1">
        <v>39</v>
      </c>
      <c r="X278" s="1" t="s">
        <v>236</v>
      </c>
      <c r="Y278" s="1"/>
      <c r="Z278" s="1">
        <v>0</v>
      </c>
      <c r="AA278" s="1" t="s">
        <v>205</v>
      </c>
      <c r="AB278" s="1" t="s">
        <v>111</v>
      </c>
      <c r="AC278" s="1" t="s">
        <v>205</v>
      </c>
      <c r="AD278" s="1" t="s">
        <v>111</v>
      </c>
      <c r="AE278" s="1" t="s">
        <v>111</v>
      </c>
      <c r="AF278" s="1" t="s">
        <v>111</v>
      </c>
      <c r="AG278" s="1" t="s">
        <v>111</v>
      </c>
      <c r="AH278" s="1" t="s">
        <v>111</v>
      </c>
      <c r="AI278" s="1">
        <v>60</v>
      </c>
      <c r="AJ278" s="1" t="s">
        <v>111</v>
      </c>
      <c r="AK278" s="1"/>
      <c r="AL278" s="1" t="s">
        <v>205</v>
      </c>
      <c r="AM278" s="1"/>
      <c r="AN278" s="1" t="s">
        <v>111</v>
      </c>
      <c r="AO278" s="1"/>
      <c r="AP278" s="1" t="s">
        <v>111</v>
      </c>
    </row>
    <row r="279" spans="1:42" x14ac:dyDescent="0.25">
      <c r="A279" s="1">
        <v>295</v>
      </c>
      <c r="B279" s="1" t="s">
        <v>360</v>
      </c>
      <c r="C279" s="1" t="s">
        <v>103</v>
      </c>
      <c r="D279" s="1" t="s">
        <v>120</v>
      </c>
      <c r="E279" s="1" t="s">
        <v>328</v>
      </c>
      <c r="F279" s="1" t="s">
        <v>106</v>
      </c>
      <c r="G279" s="1" t="s">
        <v>107</v>
      </c>
      <c r="H279" s="1" t="s">
        <v>108</v>
      </c>
      <c r="I279" s="1" t="s">
        <v>235</v>
      </c>
      <c r="J279" s="1">
        <v>33.234999999999999</v>
      </c>
      <c r="K279" s="1">
        <v>0.84899999999999998</v>
      </c>
      <c r="L279" s="1"/>
      <c r="M279" s="1"/>
      <c r="N279" s="1"/>
      <c r="O279" s="1"/>
      <c r="P279" s="1"/>
      <c r="Q279" s="1"/>
      <c r="R279" s="1"/>
      <c r="S279" s="1" t="s">
        <v>109</v>
      </c>
      <c r="T279" s="1">
        <v>0.16200000000000001</v>
      </c>
      <c r="U279" s="1" t="s">
        <v>109</v>
      </c>
      <c r="V279" s="1">
        <v>3</v>
      </c>
      <c r="W279" s="1">
        <v>39</v>
      </c>
      <c r="X279" s="1" t="s">
        <v>236</v>
      </c>
      <c r="Y279" s="1"/>
      <c r="Z279" s="1">
        <v>0</v>
      </c>
      <c r="AA279" s="1" t="s">
        <v>205</v>
      </c>
      <c r="AB279" s="1" t="s">
        <v>111</v>
      </c>
      <c r="AC279" s="1" t="s">
        <v>205</v>
      </c>
      <c r="AD279" s="1" t="s">
        <v>111</v>
      </c>
      <c r="AE279" s="1" t="s">
        <v>111</v>
      </c>
      <c r="AF279" s="1" t="s">
        <v>111</v>
      </c>
      <c r="AG279" s="1" t="s">
        <v>111</v>
      </c>
      <c r="AH279" s="1" t="s">
        <v>111</v>
      </c>
      <c r="AI279" s="1">
        <v>60</v>
      </c>
      <c r="AJ279" s="1" t="s">
        <v>111</v>
      </c>
      <c r="AK279" s="1"/>
      <c r="AL279" s="1" t="s">
        <v>205</v>
      </c>
      <c r="AM279" s="1"/>
      <c r="AN279" s="1" t="s">
        <v>111</v>
      </c>
      <c r="AO279" s="1"/>
      <c r="AP279" s="1" t="s">
        <v>111</v>
      </c>
    </row>
    <row r="280" spans="1:42" x14ac:dyDescent="0.25">
      <c r="A280" s="1">
        <v>296</v>
      </c>
      <c r="B280" s="1" t="s">
        <v>361</v>
      </c>
      <c r="C280" s="1" t="s">
        <v>103</v>
      </c>
      <c r="D280" s="1" t="s">
        <v>120</v>
      </c>
      <c r="E280" s="1" t="s">
        <v>328</v>
      </c>
      <c r="F280" s="1" t="s">
        <v>106</v>
      </c>
      <c r="G280" s="1" t="s">
        <v>107</v>
      </c>
      <c r="H280" s="1" t="s">
        <v>108</v>
      </c>
      <c r="I280" s="1">
        <v>33.802</v>
      </c>
      <c r="J280" s="1">
        <v>33.234999999999999</v>
      </c>
      <c r="K280" s="1">
        <v>0.84899999999999998</v>
      </c>
      <c r="L280" s="1"/>
      <c r="M280" s="1"/>
      <c r="N280" s="1"/>
      <c r="O280" s="1"/>
      <c r="P280" s="1"/>
      <c r="Q280" s="1"/>
      <c r="R280" s="1"/>
      <c r="S280" s="1" t="s">
        <v>109</v>
      </c>
      <c r="T280" s="1">
        <v>0.16200000000000001</v>
      </c>
      <c r="U280" s="1" t="s">
        <v>109</v>
      </c>
      <c r="V280" s="1">
        <v>3</v>
      </c>
      <c r="W280" s="1">
        <v>29</v>
      </c>
      <c r="X280" s="1" t="s">
        <v>110</v>
      </c>
      <c r="Y280" s="1"/>
      <c r="Z280" s="1">
        <v>0.98899999999999999</v>
      </c>
      <c r="AA280" s="1" t="s">
        <v>111</v>
      </c>
      <c r="AB280" s="1" t="s">
        <v>111</v>
      </c>
      <c r="AC280" s="1" t="s">
        <v>111</v>
      </c>
      <c r="AD280" s="1" t="s">
        <v>205</v>
      </c>
      <c r="AE280" s="1" t="s">
        <v>111</v>
      </c>
      <c r="AF280" s="1" t="s">
        <v>111</v>
      </c>
      <c r="AG280" s="1" t="s">
        <v>111</v>
      </c>
      <c r="AH280" s="1" t="s">
        <v>111</v>
      </c>
      <c r="AI280" s="1">
        <v>81.195999999999998</v>
      </c>
      <c r="AJ280" s="1" t="s">
        <v>111</v>
      </c>
      <c r="AK280" s="1"/>
      <c r="AL280" s="1" t="s">
        <v>111</v>
      </c>
      <c r="AM280" s="1"/>
      <c r="AN280" s="1" t="s">
        <v>111</v>
      </c>
      <c r="AO280" s="1"/>
      <c r="AP280" s="1" t="s">
        <v>111</v>
      </c>
    </row>
    <row r="281" spans="1:42" x14ac:dyDescent="0.25">
      <c r="A281" s="1">
        <v>297</v>
      </c>
      <c r="B281" s="1" t="s">
        <v>362</v>
      </c>
      <c r="C281" s="1" t="s">
        <v>103</v>
      </c>
      <c r="D281" s="1" t="s">
        <v>123</v>
      </c>
      <c r="E281" s="1" t="s">
        <v>328</v>
      </c>
      <c r="F281" s="1" t="s">
        <v>106</v>
      </c>
      <c r="G281" s="1" t="s">
        <v>107</v>
      </c>
      <c r="H281" s="1" t="s">
        <v>108</v>
      </c>
      <c r="I281" s="1" t="s">
        <v>235</v>
      </c>
      <c r="J281" s="1">
        <v>32.076000000000001</v>
      </c>
      <c r="K281" s="1"/>
      <c r="L281" s="1"/>
      <c r="M281" s="1"/>
      <c r="N281" s="1"/>
      <c r="O281" s="1"/>
      <c r="P281" s="1"/>
      <c r="Q281" s="1"/>
      <c r="R281" s="1"/>
      <c r="S281" s="1" t="s">
        <v>109</v>
      </c>
      <c r="T281" s="1">
        <v>0.16200000000000001</v>
      </c>
      <c r="U281" s="1" t="s">
        <v>109</v>
      </c>
      <c r="V281" s="1">
        <v>3</v>
      </c>
      <c r="W281" s="1">
        <v>39</v>
      </c>
      <c r="X281" s="1" t="s">
        <v>236</v>
      </c>
      <c r="Y281" s="1"/>
      <c r="Z281" s="1">
        <v>0</v>
      </c>
      <c r="AA281" s="1" t="s">
        <v>205</v>
      </c>
      <c r="AB281" s="1" t="s">
        <v>111</v>
      </c>
      <c r="AC281" s="1" t="s">
        <v>205</v>
      </c>
      <c r="AD281" s="1" t="s">
        <v>111</v>
      </c>
      <c r="AE281" s="1" t="s">
        <v>111</v>
      </c>
      <c r="AF281" s="1" t="s">
        <v>111</v>
      </c>
      <c r="AG281" s="1" t="s">
        <v>111</v>
      </c>
      <c r="AH281" s="1" t="s">
        <v>111</v>
      </c>
      <c r="AI281" s="1">
        <v>60</v>
      </c>
      <c r="AJ281" s="1" t="s">
        <v>111</v>
      </c>
      <c r="AK281" s="1"/>
      <c r="AL281" s="1" t="s">
        <v>205</v>
      </c>
      <c r="AM281" s="1"/>
      <c r="AN281" s="1" t="s">
        <v>111</v>
      </c>
      <c r="AO281" s="1"/>
      <c r="AP281" s="1" t="s">
        <v>111</v>
      </c>
    </row>
    <row r="282" spans="1:42" x14ac:dyDescent="0.25">
      <c r="A282" s="1">
        <v>298</v>
      </c>
      <c r="B282" s="1" t="s">
        <v>363</v>
      </c>
      <c r="C282" s="1" t="s">
        <v>103</v>
      </c>
      <c r="D282" s="1" t="s">
        <v>123</v>
      </c>
      <c r="E282" s="1" t="s">
        <v>328</v>
      </c>
      <c r="F282" s="1" t="s">
        <v>106</v>
      </c>
      <c r="G282" s="1" t="s">
        <v>107</v>
      </c>
      <c r="H282" s="1" t="s">
        <v>108</v>
      </c>
      <c r="I282" s="1">
        <v>32.076000000000001</v>
      </c>
      <c r="J282" s="1">
        <v>32.076000000000001</v>
      </c>
      <c r="K282" s="1"/>
      <c r="L282" s="1"/>
      <c r="M282" s="1"/>
      <c r="N282" s="1"/>
      <c r="O282" s="1"/>
      <c r="P282" s="1"/>
      <c r="Q282" s="1"/>
      <c r="R282" s="1"/>
      <c r="S282" s="1" t="s">
        <v>109</v>
      </c>
      <c r="T282" s="1">
        <v>0.16200000000000001</v>
      </c>
      <c r="U282" s="1" t="s">
        <v>109</v>
      </c>
      <c r="V282" s="1">
        <v>3</v>
      </c>
      <c r="W282" s="1">
        <v>26</v>
      </c>
      <c r="X282" s="1" t="s">
        <v>110</v>
      </c>
      <c r="Y282" s="1"/>
      <c r="Z282" s="1">
        <v>0.99</v>
      </c>
      <c r="AA282" s="1" t="s">
        <v>111</v>
      </c>
      <c r="AB282" s="1" t="s">
        <v>111</v>
      </c>
      <c r="AC282" s="1" t="s">
        <v>111</v>
      </c>
      <c r="AD282" s="1" t="s">
        <v>111</v>
      </c>
      <c r="AE282" s="1" t="s">
        <v>111</v>
      </c>
      <c r="AF282" s="1" t="s">
        <v>111</v>
      </c>
      <c r="AG282" s="1" t="s">
        <v>111</v>
      </c>
      <c r="AH282" s="1" t="s">
        <v>111</v>
      </c>
      <c r="AI282" s="1">
        <v>81.283000000000001</v>
      </c>
      <c r="AJ282" s="1" t="s">
        <v>111</v>
      </c>
      <c r="AK282" s="1"/>
      <c r="AL282" s="1" t="s">
        <v>111</v>
      </c>
      <c r="AM282" s="1"/>
      <c r="AN282" s="1" t="s">
        <v>111</v>
      </c>
      <c r="AO282" s="1"/>
      <c r="AP282" s="1" t="s">
        <v>111</v>
      </c>
    </row>
    <row r="283" spans="1:42" x14ac:dyDescent="0.25">
      <c r="A283" s="1">
        <v>299</v>
      </c>
      <c r="B283" s="1" t="s">
        <v>364</v>
      </c>
      <c r="C283" s="1" t="s">
        <v>103</v>
      </c>
      <c r="D283" s="1" t="s">
        <v>126</v>
      </c>
      <c r="E283" s="1" t="s">
        <v>328</v>
      </c>
      <c r="F283" s="1" t="s">
        <v>106</v>
      </c>
      <c r="G283" s="1" t="s">
        <v>107</v>
      </c>
      <c r="H283" s="1" t="s">
        <v>108</v>
      </c>
      <c r="I283" s="1">
        <v>32.655000000000001</v>
      </c>
      <c r="J283" s="1">
        <v>31.829000000000001</v>
      </c>
      <c r="K283" s="1">
        <v>0.64900000000000002</v>
      </c>
      <c r="L283" s="1"/>
      <c r="M283" s="1"/>
      <c r="N283" s="1"/>
      <c r="O283" s="1"/>
      <c r="P283" s="1"/>
      <c r="Q283" s="1"/>
      <c r="R283" s="1"/>
      <c r="S283" s="1" t="s">
        <v>109</v>
      </c>
      <c r="T283" s="1">
        <v>0.16200000000000001</v>
      </c>
      <c r="U283" s="1" t="s">
        <v>109</v>
      </c>
      <c r="V283" s="1">
        <v>3</v>
      </c>
      <c r="W283" s="1">
        <v>28</v>
      </c>
      <c r="X283" s="1" t="s">
        <v>110</v>
      </c>
      <c r="Y283" s="1"/>
      <c r="Z283" s="1">
        <v>0.98899999999999999</v>
      </c>
      <c r="AA283" s="1" t="s">
        <v>111</v>
      </c>
      <c r="AB283" s="1" t="s">
        <v>111</v>
      </c>
      <c r="AC283" s="1" t="s">
        <v>111</v>
      </c>
      <c r="AD283" s="1" t="s">
        <v>205</v>
      </c>
      <c r="AE283" s="1" t="s">
        <v>111</v>
      </c>
      <c r="AF283" s="1" t="s">
        <v>111</v>
      </c>
      <c r="AG283" s="1" t="s">
        <v>111</v>
      </c>
      <c r="AH283" s="1" t="s">
        <v>111</v>
      </c>
      <c r="AI283" s="1">
        <v>81.168999999999997</v>
      </c>
      <c r="AJ283" s="1" t="s">
        <v>111</v>
      </c>
      <c r="AK283" s="1"/>
      <c r="AL283" s="1" t="s">
        <v>111</v>
      </c>
      <c r="AM283" s="1"/>
      <c r="AN283" s="1" t="s">
        <v>111</v>
      </c>
      <c r="AO283" s="1"/>
      <c r="AP283" s="1" t="s">
        <v>111</v>
      </c>
    </row>
    <row r="284" spans="1:42" x14ac:dyDescent="0.25">
      <c r="A284" s="1">
        <v>300</v>
      </c>
      <c r="B284" s="1" t="s">
        <v>365</v>
      </c>
      <c r="C284" s="1" t="s">
        <v>103</v>
      </c>
      <c r="D284" s="1" t="s">
        <v>126</v>
      </c>
      <c r="E284" s="1" t="s">
        <v>328</v>
      </c>
      <c r="F284" s="1" t="s">
        <v>106</v>
      </c>
      <c r="G284" s="1" t="s">
        <v>107</v>
      </c>
      <c r="H284" s="1" t="s">
        <v>108</v>
      </c>
      <c r="I284" s="1">
        <v>31.076000000000001</v>
      </c>
      <c r="J284" s="1">
        <v>31.829000000000001</v>
      </c>
      <c r="K284" s="1">
        <v>0.64900000000000002</v>
      </c>
      <c r="L284" s="1"/>
      <c r="M284" s="1"/>
      <c r="N284" s="1"/>
      <c r="O284" s="1"/>
      <c r="P284" s="1"/>
      <c r="Q284" s="1"/>
      <c r="R284" s="1"/>
      <c r="S284" s="1" t="s">
        <v>109</v>
      </c>
      <c r="T284" s="1">
        <v>0.16200000000000001</v>
      </c>
      <c r="U284" s="1" t="s">
        <v>109</v>
      </c>
      <c r="V284" s="1">
        <v>3</v>
      </c>
      <c r="W284" s="1">
        <v>25</v>
      </c>
      <c r="X284" s="1" t="s">
        <v>110</v>
      </c>
      <c r="Y284" s="1"/>
      <c r="Z284" s="1">
        <v>0.98699999999999999</v>
      </c>
      <c r="AA284" s="1" t="s">
        <v>111</v>
      </c>
      <c r="AB284" s="1" t="s">
        <v>111</v>
      </c>
      <c r="AC284" s="1" t="s">
        <v>111</v>
      </c>
      <c r="AD284" s="1" t="s">
        <v>205</v>
      </c>
      <c r="AE284" s="1" t="s">
        <v>111</v>
      </c>
      <c r="AF284" s="1" t="s">
        <v>111</v>
      </c>
      <c r="AG284" s="1" t="s">
        <v>111</v>
      </c>
      <c r="AH284" s="1" t="s">
        <v>111</v>
      </c>
      <c r="AI284" s="1">
        <v>81.283000000000001</v>
      </c>
      <c r="AJ284" s="1" t="s">
        <v>111</v>
      </c>
      <c r="AK284" s="1"/>
      <c r="AL284" s="1" t="s">
        <v>111</v>
      </c>
      <c r="AM284" s="1"/>
      <c r="AN284" s="1" t="s">
        <v>111</v>
      </c>
      <c r="AO284" s="1"/>
      <c r="AP284" s="1" t="s">
        <v>111</v>
      </c>
    </row>
    <row r="285" spans="1:42" x14ac:dyDescent="0.25">
      <c r="A285" s="1">
        <v>305</v>
      </c>
      <c r="B285" s="1" t="s">
        <v>366</v>
      </c>
      <c r="C285" s="1" t="s">
        <v>103</v>
      </c>
      <c r="D285" s="1" t="s">
        <v>282</v>
      </c>
      <c r="E285" s="1" t="s">
        <v>129</v>
      </c>
      <c r="F285" s="1" t="s">
        <v>106</v>
      </c>
      <c r="G285" s="1" t="s">
        <v>107</v>
      </c>
      <c r="H285" s="1" t="s">
        <v>108</v>
      </c>
      <c r="I285" s="1">
        <v>34.139000000000003</v>
      </c>
      <c r="J285" s="1">
        <v>31.163</v>
      </c>
      <c r="K285" s="1">
        <v>6.24</v>
      </c>
      <c r="L285" s="1"/>
      <c r="M285" s="1"/>
      <c r="N285" s="1"/>
      <c r="O285" s="1"/>
      <c r="P285" s="1"/>
      <c r="Q285" s="1"/>
      <c r="R285" s="1"/>
      <c r="S285" s="1" t="s">
        <v>109</v>
      </c>
      <c r="T285" s="1">
        <v>0.34599999999999997</v>
      </c>
      <c r="U285" s="1" t="s">
        <v>109</v>
      </c>
      <c r="V285" s="1">
        <v>3</v>
      </c>
      <c r="W285" s="1">
        <v>27</v>
      </c>
      <c r="X285" s="1" t="s">
        <v>110</v>
      </c>
      <c r="Y285" s="1"/>
      <c r="Z285" s="1">
        <v>0.98399999999999999</v>
      </c>
      <c r="AA285" s="1" t="s">
        <v>111</v>
      </c>
      <c r="AB285" s="1" t="s">
        <v>111</v>
      </c>
      <c r="AC285" s="1" t="s">
        <v>111</v>
      </c>
      <c r="AD285" s="1" t="s">
        <v>205</v>
      </c>
      <c r="AE285" s="1" t="s">
        <v>111</v>
      </c>
      <c r="AF285" s="1" t="s">
        <v>111</v>
      </c>
      <c r="AG285" s="1" t="s">
        <v>111</v>
      </c>
      <c r="AH285" s="1" t="s">
        <v>205</v>
      </c>
      <c r="AI285" s="1">
        <v>89.338999999999999</v>
      </c>
      <c r="AJ285" s="1" t="s">
        <v>111</v>
      </c>
      <c r="AK285" s="1">
        <v>64.191000000000003</v>
      </c>
      <c r="AL285" s="1" t="s">
        <v>111</v>
      </c>
      <c r="AM285" s="1">
        <v>84.921000000000006</v>
      </c>
      <c r="AN285" s="1" t="s">
        <v>111</v>
      </c>
      <c r="AO285" s="1"/>
      <c r="AP285" s="1" t="s">
        <v>111</v>
      </c>
    </row>
    <row r="286" spans="1:42" x14ac:dyDescent="0.25">
      <c r="A286" s="1">
        <v>306</v>
      </c>
      <c r="B286" s="1" t="s">
        <v>367</v>
      </c>
      <c r="C286" s="1" t="s">
        <v>103</v>
      </c>
      <c r="D286" s="1" t="s">
        <v>282</v>
      </c>
      <c r="E286" s="1" t="s">
        <v>129</v>
      </c>
      <c r="F286" s="1" t="s">
        <v>106</v>
      </c>
      <c r="G286" s="1" t="s">
        <v>107</v>
      </c>
      <c r="H286" s="1" t="s">
        <v>108</v>
      </c>
      <c r="I286" s="1">
        <v>35.356999999999999</v>
      </c>
      <c r="J286" s="1">
        <v>31.163</v>
      </c>
      <c r="K286" s="1">
        <v>6.24</v>
      </c>
      <c r="L286" s="1"/>
      <c r="M286" s="1"/>
      <c r="N286" s="1"/>
      <c r="O286" s="1"/>
      <c r="P286" s="1"/>
      <c r="Q286" s="1"/>
      <c r="R286" s="1"/>
      <c r="S286" s="1" t="s">
        <v>109</v>
      </c>
      <c r="T286" s="1">
        <v>0.34599999999999997</v>
      </c>
      <c r="U286" s="1" t="s">
        <v>109</v>
      </c>
      <c r="V286" s="1">
        <v>3</v>
      </c>
      <c r="W286" s="1">
        <v>28</v>
      </c>
      <c r="X286" s="1" t="s">
        <v>110</v>
      </c>
      <c r="Y286" s="1"/>
      <c r="Z286" s="1">
        <v>0.98499999999999999</v>
      </c>
      <c r="AA286" s="1" t="s">
        <v>111</v>
      </c>
      <c r="AB286" s="1" t="s">
        <v>111</v>
      </c>
      <c r="AC286" s="1" t="s">
        <v>111</v>
      </c>
      <c r="AD286" s="1" t="s">
        <v>205</v>
      </c>
      <c r="AE286" s="1" t="s">
        <v>111</v>
      </c>
      <c r="AF286" s="1" t="s">
        <v>111</v>
      </c>
      <c r="AG286" s="1" t="s">
        <v>111</v>
      </c>
      <c r="AH286" s="1" t="s">
        <v>111</v>
      </c>
      <c r="AI286" s="1">
        <v>82.316000000000003</v>
      </c>
      <c r="AJ286" s="1" t="s">
        <v>111</v>
      </c>
      <c r="AK286" s="1"/>
      <c r="AL286" s="1" t="s">
        <v>111</v>
      </c>
      <c r="AM286" s="1"/>
      <c r="AN286" s="1" t="s">
        <v>111</v>
      </c>
      <c r="AO286" s="1"/>
      <c r="AP286" s="1" t="s">
        <v>111</v>
      </c>
    </row>
    <row r="287" spans="1:42" x14ac:dyDescent="0.25">
      <c r="A287" s="1">
        <v>307</v>
      </c>
      <c r="B287" s="1" t="s">
        <v>368</v>
      </c>
      <c r="C287" s="1" t="s">
        <v>103</v>
      </c>
      <c r="D287" s="1" t="s">
        <v>282</v>
      </c>
      <c r="E287" s="1" t="s">
        <v>204</v>
      </c>
      <c r="F287" s="1" t="s">
        <v>106</v>
      </c>
      <c r="G287" s="1" t="s">
        <v>107</v>
      </c>
      <c r="H287" s="1" t="s">
        <v>108</v>
      </c>
      <c r="I287" s="1" t="s">
        <v>235</v>
      </c>
      <c r="J287" s="1"/>
      <c r="K287" s="1"/>
      <c r="L287" s="1"/>
      <c r="M287" s="1"/>
      <c r="N287" s="1"/>
      <c r="O287" s="1"/>
      <c r="P287" s="1"/>
      <c r="Q287" s="1"/>
      <c r="R287" s="1"/>
      <c r="S287" s="1" t="s">
        <v>109</v>
      </c>
      <c r="T287" s="1">
        <v>0.32100000000000001</v>
      </c>
      <c r="U287" s="1" t="s">
        <v>109</v>
      </c>
      <c r="V287" s="1">
        <v>3</v>
      </c>
      <c r="W287" s="1">
        <v>39</v>
      </c>
      <c r="X287" s="1" t="s">
        <v>236</v>
      </c>
      <c r="Y287" s="1"/>
      <c r="Z287" s="1">
        <v>0</v>
      </c>
      <c r="AA287" s="1" t="s">
        <v>205</v>
      </c>
      <c r="AB287" s="1" t="s">
        <v>111</v>
      </c>
      <c r="AC287" s="1" t="s">
        <v>205</v>
      </c>
      <c r="AD287" s="1" t="s">
        <v>111</v>
      </c>
      <c r="AE287" s="1" t="s">
        <v>111</v>
      </c>
      <c r="AF287" s="1" t="s">
        <v>111</v>
      </c>
      <c r="AG287" s="1" t="s">
        <v>111</v>
      </c>
      <c r="AH287" s="1" t="s">
        <v>111</v>
      </c>
      <c r="AI287" s="1">
        <v>60</v>
      </c>
      <c r="AJ287" s="1" t="s">
        <v>111</v>
      </c>
      <c r="AK287" s="1"/>
      <c r="AL287" s="1" t="s">
        <v>205</v>
      </c>
      <c r="AM287" s="1"/>
      <c r="AN287" s="1" t="s">
        <v>111</v>
      </c>
      <c r="AO287" s="1"/>
      <c r="AP287" s="1" t="s">
        <v>111</v>
      </c>
    </row>
    <row r="288" spans="1:42" x14ac:dyDescent="0.25">
      <c r="A288" s="1">
        <v>308</v>
      </c>
      <c r="B288" s="1" t="s">
        <v>369</v>
      </c>
      <c r="C288" s="1" t="s">
        <v>103</v>
      </c>
      <c r="D288" s="1" t="s">
        <v>282</v>
      </c>
      <c r="E288" s="1" t="s">
        <v>204</v>
      </c>
      <c r="F288" s="1" t="s">
        <v>106</v>
      </c>
      <c r="G288" s="1" t="s">
        <v>107</v>
      </c>
      <c r="H288" s="1" t="s">
        <v>108</v>
      </c>
      <c r="I288" s="1" t="s">
        <v>235</v>
      </c>
      <c r="J288" s="1"/>
      <c r="K288" s="1"/>
      <c r="L288" s="1"/>
      <c r="M288" s="1"/>
      <c r="N288" s="1"/>
      <c r="O288" s="1"/>
      <c r="P288" s="1"/>
      <c r="Q288" s="1"/>
      <c r="R288" s="1"/>
      <c r="S288" s="1" t="s">
        <v>109</v>
      </c>
      <c r="T288" s="1">
        <v>0.32100000000000001</v>
      </c>
      <c r="U288" s="1" t="s">
        <v>109</v>
      </c>
      <c r="V288" s="1">
        <v>3</v>
      </c>
      <c r="W288" s="1">
        <v>39</v>
      </c>
      <c r="X288" s="1" t="s">
        <v>236</v>
      </c>
      <c r="Y288" s="1"/>
      <c r="Z288" s="1">
        <v>0</v>
      </c>
      <c r="AA288" s="1" t="s">
        <v>205</v>
      </c>
      <c r="AB288" s="1" t="s">
        <v>111</v>
      </c>
      <c r="AC288" s="1" t="s">
        <v>205</v>
      </c>
      <c r="AD288" s="1" t="s">
        <v>111</v>
      </c>
      <c r="AE288" s="1" t="s">
        <v>111</v>
      </c>
      <c r="AF288" s="1" t="s">
        <v>111</v>
      </c>
      <c r="AG288" s="1" t="s">
        <v>111</v>
      </c>
      <c r="AH288" s="1" t="s">
        <v>111</v>
      </c>
      <c r="AI288" s="1">
        <v>60</v>
      </c>
      <c r="AJ288" s="1" t="s">
        <v>111</v>
      </c>
      <c r="AK288" s="1"/>
      <c r="AL288" s="1" t="s">
        <v>205</v>
      </c>
      <c r="AM288" s="1"/>
      <c r="AN288" s="1" t="s">
        <v>111</v>
      </c>
      <c r="AO288" s="1"/>
      <c r="AP288" s="1" t="s">
        <v>111</v>
      </c>
    </row>
    <row r="289" spans="1:42" x14ac:dyDescent="0.25">
      <c r="A289" s="1">
        <v>313</v>
      </c>
      <c r="B289" s="1" t="s">
        <v>370</v>
      </c>
      <c r="C289" s="1" t="s">
        <v>103</v>
      </c>
      <c r="D289" s="1" t="s">
        <v>104</v>
      </c>
      <c r="E289" s="1" t="s">
        <v>328</v>
      </c>
      <c r="F289" s="1" t="s">
        <v>106</v>
      </c>
      <c r="G289" s="1" t="s">
        <v>107</v>
      </c>
      <c r="H289" s="1" t="s">
        <v>108</v>
      </c>
      <c r="I289" s="1" t="s">
        <v>235</v>
      </c>
      <c r="J289" s="1">
        <v>33.584000000000003</v>
      </c>
      <c r="K289" s="1"/>
      <c r="L289" s="1"/>
      <c r="M289" s="1"/>
      <c r="N289" s="1"/>
      <c r="O289" s="1"/>
      <c r="P289" s="1"/>
      <c r="Q289" s="1"/>
      <c r="R289" s="1"/>
      <c r="S289" s="1" t="s">
        <v>109</v>
      </c>
      <c r="T289" s="1">
        <v>0.16200000000000001</v>
      </c>
      <c r="U289" s="1" t="s">
        <v>109</v>
      </c>
      <c r="V289" s="1">
        <v>3</v>
      </c>
      <c r="W289" s="1">
        <v>39</v>
      </c>
      <c r="X289" s="1" t="s">
        <v>236</v>
      </c>
      <c r="Y289" s="1"/>
      <c r="Z289" s="1">
        <v>0</v>
      </c>
      <c r="AA289" s="1" t="s">
        <v>205</v>
      </c>
      <c r="AB289" s="1" t="s">
        <v>111</v>
      </c>
      <c r="AC289" s="1" t="s">
        <v>205</v>
      </c>
      <c r="AD289" s="1" t="s">
        <v>111</v>
      </c>
      <c r="AE289" s="1" t="s">
        <v>111</v>
      </c>
      <c r="AF289" s="1" t="s">
        <v>111</v>
      </c>
      <c r="AG289" s="1" t="s">
        <v>111</v>
      </c>
      <c r="AH289" s="1" t="s">
        <v>111</v>
      </c>
      <c r="AI289" s="1">
        <v>60</v>
      </c>
      <c r="AJ289" s="1" t="s">
        <v>111</v>
      </c>
      <c r="AK289" s="1"/>
      <c r="AL289" s="1" t="s">
        <v>205</v>
      </c>
      <c r="AM289" s="1"/>
      <c r="AN289" s="1" t="s">
        <v>111</v>
      </c>
      <c r="AO289" s="1"/>
      <c r="AP289" s="1" t="s">
        <v>111</v>
      </c>
    </row>
    <row r="290" spans="1:42" x14ac:dyDescent="0.25">
      <c r="A290" s="1">
        <v>314</v>
      </c>
      <c r="B290" s="1" t="s">
        <v>371</v>
      </c>
      <c r="C290" s="1" t="s">
        <v>103</v>
      </c>
      <c r="D290" s="1" t="s">
        <v>104</v>
      </c>
      <c r="E290" s="1" t="s">
        <v>328</v>
      </c>
      <c r="F290" s="1" t="s">
        <v>106</v>
      </c>
      <c r="G290" s="1" t="s">
        <v>107</v>
      </c>
      <c r="H290" s="1" t="s">
        <v>108</v>
      </c>
      <c r="I290" s="1" t="s">
        <v>235</v>
      </c>
      <c r="J290" s="1">
        <v>33.584000000000003</v>
      </c>
      <c r="K290" s="1"/>
      <c r="L290" s="1"/>
      <c r="M290" s="1"/>
      <c r="N290" s="1"/>
      <c r="O290" s="1"/>
      <c r="P290" s="1"/>
      <c r="Q290" s="1"/>
      <c r="R290" s="1"/>
      <c r="S290" s="1" t="s">
        <v>109</v>
      </c>
      <c r="T290" s="1">
        <v>0.16200000000000001</v>
      </c>
      <c r="U290" s="1" t="s">
        <v>109</v>
      </c>
      <c r="V290" s="1">
        <v>3</v>
      </c>
      <c r="W290" s="1">
        <v>17</v>
      </c>
      <c r="X290" s="1" t="s">
        <v>236</v>
      </c>
      <c r="Y290" s="1"/>
      <c r="Z290" s="1">
        <v>0</v>
      </c>
      <c r="AA290" s="1" t="s">
        <v>205</v>
      </c>
      <c r="AB290" s="1" t="s">
        <v>111</v>
      </c>
      <c r="AC290" s="1" t="s">
        <v>111</v>
      </c>
      <c r="AD290" s="1" t="s">
        <v>111</v>
      </c>
      <c r="AE290" s="1" t="s">
        <v>111</v>
      </c>
      <c r="AF290" s="1" t="s">
        <v>111</v>
      </c>
      <c r="AG290" s="1" t="s">
        <v>111</v>
      </c>
      <c r="AH290" s="1" t="s">
        <v>111</v>
      </c>
      <c r="AI290" s="1">
        <v>60</v>
      </c>
      <c r="AJ290" s="1" t="s">
        <v>111</v>
      </c>
      <c r="AK290" s="1"/>
      <c r="AL290" s="1" t="s">
        <v>205</v>
      </c>
      <c r="AM290" s="1"/>
      <c r="AN290" s="1" t="s">
        <v>111</v>
      </c>
      <c r="AO290" s="1"/>
      <c r="AP290" s="1" t="s">
        <v>111</v>
      </c>
    </row>
    <row r="291" spans="1:42" x14ac:dyDescent="0.25">
      <c r="A291" s="1">
        <v>315</v>
      </c>
      <c r="B291" s="1" t="s">
        <v>372</v>
      </c>
      <c r="C291" s="1" t="s">
        <v>103</v>
      </c>
      <c r="D291" s="1" t="s">
        <v>114</v>
      </c>
      <c r="E291" s="1" t="s">
        <v>328</v>
      </c>
      <c r="F291" s="1" t="s">
        <v>106</v>
      </c>
      <c r="G291" s="1" t="s">
        <v>107</v>
      </c>
      <c r="H291" s="1" t="s">
        <v>108</v>
      </c>
      <c r="I291" s="1">
        <v>33.570999999999998</v>
      </c>
      <c r="J291" s="1">
        <v>33.695999999999998</v>
      </c>
      <c r="K291" s="1">
        <v>0.11</v>
      </c>
      <c r="L291" s="1"/>
      <c r="M291" s="1"/>
      <c r="N291" s="1"/>
      <c r="O291" s="1"/>
      <c r="P291" s="1"/>
      <c r="Q291" s="1"/>
      <c r="R291" s="1"/>
      <c r="S291" s="1" t="s">
        <v>109</v>
      </c>
      <c r="T291" s="1">
        <v>0.16200000000000001</v>
      </c>
      <c r="U291" s="1" t="s">
        <v>109</v>
      </c>
      <c r="V291" s="1">
        <v>3</v>
      </c>
      <c r="W291" s="1">
        <v>28</v>
      </c>
      <c r="X291" s="1" t="s">
        <v>110</v>
      </c>
      <c r="Y291" s="1"/>
      <c r="Z291" s="1">
        <v>0.99</v>
      </c>
      <c r="AA291" s="1" t="s">
        <v>111</v>
      </c>
      <c r="AB291" s="1" t="s">
        <v>111</v>
      </c>
      <c r="AC291" s="1" t="s">
        <v>111</v>
      </c>
      <c r="AD291" s="1" t="s">
        <v>111</v>
      </c>
      <c r="AE291" s="1" t="s">
        <v>111</v>
      </c>
      <c r="AF291" s="1" t="s">
        <v>111</v>
      </c>
      <c r="AG291" s="1" t="s">
        <v>111</v>
      </c>
      <c r="AH291" s="1" t="s">
        <v>111</v>
      </c>
      <c r="AI291" s="1">
        <v>81.153999999999996</v>
      </c>
      <c r="AJ291" s="1" t="s">
        <v>111</v>
      </c>
      <c r="AK291" s="1"/>
      <c r="AL291" s="1" t="s">
        <v>111</v>
      </c>
      <c r="AM291" s="1"/>
      <c r="AN291" s="1" t="s">
        <v>111</v>
      </c>
      <c r="AO291" s="1"/>
      <c r="AP291" s="1" t="s">
        <v>111</v>
      </c>
    </row>
    <row r="292" spans="1:42" x14ac:dyDescent="0.25">
      <c r="A292" s="1">
        <v>316</v>
      </c>
      <c r="B292" s="1" t="s">
        <v>373</v>
      </c>
      <c r="C292" s="1" t="s">
        <v>103</v>
      </c>
      <c r="D292" s="1" t="s">
        <v>114</v>
      </c>
      <c r="E292" s="1" t="s">
        <v>328</v>
      </c>
      <c r="F292" s="1" t="s">
        <v>106</v>
      </c>
      <c r="G292" s="1" t="s">
        <v>107</v>
      </c>
      <c r="H292" s="1" t="s">
        <v>108</v>
      </c>
      <c r="I292" s="1" t="s">
        <v>235</v>
      </c>
      <c r="J292" s="1">
        <v>33.695999999999998</v>
      </c>
      <c r="K292" s="1">
        <v>0.11</v>
      </c>
      <c r="L292" s="1"/>
      <c r="M292" s="1"/>
      <c r="N292" s="1"/>
      <c r="O292" s="1"/>
      <c r="P292" s="1"/>
      <c r="Q292" s="1"/>
      <c r="R292" s="1"/>
      <c r="S292" s="1" t="s">
        <v>109</v>
      </c>
      <c r="T292" s="1">
        <v>0.16200000000000001</v>
      </c>
      <c r="U292" s="1" t="s">
        <v>109</v>
      </c>
      <c r="V292" s="1">
        <v>3</v>
      </c>
      <c r="W292" s="1">
        <v>39</v>
      </c>
      <c r="X292" s="1" t="s">
        <v>236</v>
      </c>
      <c r="Y292" s="1"/>
      <c r="Z292" s="1">
        <v>0</v>
      </c>
      <c r="AA292" s="1" t="s">
        <v>205</v>
      </c>
      <c r="AB292" s="1" t="s">
        <v>111</v>
      </c>
      <c r="AC292" s="1" t="s">
        <v>205</v>
      </c>
      <c r="AD292" s="1" t="s">
        <v>111</v>
      </c>
      <c r="AE292" s="1" t="s">
        <v>111</v>
      </c>
      <c r="AF292" s="1" t="s">
        <v>111</v>
      </c>
      <c r="AG292" s="1" t="s">
        <v>111</v>
      </c>
      <c r="AH292" s="1" t="s">
        <v>111</v>
      </c>
      <c r="AI292" s="1">
        <v>60</v>
      </c>
      <c r="AJ292" s="1" t="s">
        <v>111</v>
      </c>
      <c r="AK292" s="1"/>
      <c r="AL292" s="1" t="s">
        <v>205</v>
      </c>
      <c r="AM292" s="1"/>
      <c r="AN292" s="1" t="s">
        <v>111</v>
      </c>
      <c r="AO292" s="1"/>
      <c r="AP292" s="1" t="s">
        <v>111</v>
      </c>
    </row>
    <row r="293" spans="1:42" x14ac:dyDescent="0.25">
      <c r="A293" s="1">
        <v>317</v>
      </c>
      <c r="B293" s="1" t="s">
        <v>374</v>
      </c>
      <c r="C293" s="1" t="s">
        <v>103</v>
      </c>
      <c r="D293" s="1" t="s">
        <v>117</v>
      </c>
      <c r="E293" s="1" t="s">
        <v>328</v>
      </c>
      <c r="F293" s="1" t="s">
        <v>106</v>
      </c>
      <c r="G293" s="1" t="s">
        <v>107</v>
      </c>
      <c r="H293" s="1" t="s">
        <v>108</v>
      </c>
      <c r="I293" s="1">
        <v>33.548000000000002</v>
      </c>
      <c r="J293" s="1">
        <v>33.548000000000002</v>
      </c>
      <c r="K293" s="1"/>
      <c r="L293" s="1"/>
      <c r="M293" s="1"/>
      <c r="N293" s="1"/>
      <c r="O293" s="1"/>
      <c r="P293" s="1"/>
      <c r="Q293" s="1"/>
      <c r="R293" s="1"/>
      <c r="S293" s="1" t="s">
        <v>109</v>
      </c>
      <c r="T293" s="1">
        <v>0.16200000000000001</v>
      </c>
      <c r="U293" s="1" t="s">
        <v>109</v>
      </c>
      <c r="V293" s="1">
        <v>3</v>
      </c>
      <c r="W293" s="1">
        <v>28</v>
      </c>
      <c r="X293" s="1" t="s">
        <v>110</v>
      </c>
      <c r="Y293" s="1"/>
      <c r="Z293" s="1">
        <v>0.98499999999999999</v>
      </c>
      <c r="AA293" s="1" t="s">
        <v>111</v>
      </c>
      <c r="AB293" s="1" t="s">
        <v>111</v>
      </c>
      <c r="AC293" s="1" t="s">
        <v>111</v>
      </c>
      <c r="AD293" s="1" t="s">
        <v>111</v>
      </c>
      <c r="AE293" s="1" t="s">
        <v>111</v>
      </c>
      <c r="AF293" s="1" t="s">
        <v>111</v>
      </c>
      <c r="AG293" s="1" t="s">
        <v>111</v>
      </c>
      <c r="AH293" s="1" t="s">
        <v>111</v>
      </c>
      <c r="AI293" s="1">
        <v>81.195999999999998</v>
      </c>
      <c r="AJ293" s="1" t="s">
        <v>111</v>
      </c>
      <c r="AK293" s="1"/>
      <c r="AL293" s="1" t="s">
        <v>111</v>
      </c>
      <c r="AM293" s="1"/>
      <c r="AN293" s="1" t="s">
        <v>111</v>
      </c>
      <c r="AO293" s="1"/>
      <c r="AP293" s="1" t="s">
        <v>111</v>
      </c>
    </row>
    <row r="294" spans="1:42" x14ac:dyDescent="0.25">
      <c r="A294" s="1">
        <v>318</v>
      </c>
      <c r="B294" s="1" t="s">
        <v>375</v>
      </c>
      <c r="C294" s="1" t="s">
        <v>103</v>
      </c>
      <c r="D294" s="1" t="s">
        <v>117</v>
      </c>
      <c r="E294" s="1" t="s">
        <v>328</v>
      </c>
      <c r="F294" s="1" t="s">
        <v>106</v>
      </c>
      <c r="G294" s="1" t="s">
        <v>107</v>
      </c>
      <c r="H294" s="1" t="s">
        <v>108</v>
      </c>
      <c r="I294" s="1" t="s">
        <v>235</v>
      </c>
      <c r="J294" s="1">
        <v>33.548000000000002</v>
      </c>
      <c r="K294" s="1"/>
      <c r="L294" s="1"/>
      <c r="M294" s="1"/>
      <c r="N294" s="1"/>
      <c r="O294" s="1"/>
      <c r="P294" s="1"/>
      <c r="Q294" s="1"/>
      <c r="R294" s="1"/>
      <c r="S294" s="1" t="s">
        <v>109</v>
      </c>
      <c r="T294" s="1">
        <v>0.16200000000000001</v>
      </c>
      <c r="U294" s="1" t="s">
        <v>109</v>
      </c>
      <c r="V294" s="1">
        <v>3</v>
      </c>
      <c r="W294" s="1">
        <v>39</v>
      </c>
      <c r="X294" s="1" t="s">
        <v>236</v>
      </c>
      <c r="Y294" s="1"/>
      <c r="Z294" s="1">
        <v>0</v>
      </c>
      <c r="AA294" s="1" t="s">
        <v>205</v>
      </c>
      <c r="AB294" s="1" t="s">
        <v>111</v>
      </c>
      <c r="AC294" s="1" t="s">
        <v>205</v>
      </c>
      <c r="AD294" s="1" t="s">
        <v>111</v>
      </c>
      <c r="AE294" s="1" t="s">
        <v>111</v>
      </c>
      <c r="AF294" s="1" t="s">
        <v>111</v>
      </c>
      <c r="AG294" s="1" t="s">
        <v>111</v>
      </c>
      <c r="AH294" s="1" t="s">
        <v>111</v>
      </c>
      <c r="AI294" s="1">
        <v>60</v>
      </c>
      <c r="AJ294" s="1" t="s">
        <v>111</v>
      </c>
      <c r="AK294" s="1"/>
      <c r="AL294" s="1" t="s">
        <v>205</v>
      </c>
      <c r="AM294" s="1"/>
      <c r="AN294" s="1" t="s">
        <v>111</v>
      </c>
      <c r="AO294" s="1"/>
      <c r="AP294" s="1" t="s">
        <v>111</v>
      </c>
    </row>
    <row r="295" spans="1:42" x14ac:dyDescent="0.25">
      <c r="A295" s="1">
        <v>319</v>
      </c>
      <c r="B295" s="1" t="s">
        <v>376</v>
      </c>
      <c r="C295" s="1" t="s">
        <v>103</v>
      </c>
      <c r="D295" s="1" t="s">
        <v>120</v>
      </c>
      <c r="E295" s="1" t="s">
        <v>328</v>
      </c>
      <c r="F295" s="1" t="s">
        <v>106</v>
      </c>
      <c r="G295" s="1" t="s">
        <v>107</v>
      </c>
      <c r="H295" s="1" t="s">
        <v>108</v>
      </c>
      <c r="I295" s="1">
        <v>33.643999999999998</v>
      </c>
      <c r="J295" s="1">
        <v>33.234999999999999</v>
      </c>
      <c r="K295" s="1">
        <v>0.84899999999999998</v>
      </c>
      <c r="L295" s="1"/>
      <c r="M295" s="1"/>
      <c r="N295" s="1"/>
      <c r="O295" s="1"/>
      <c r="P295" s="1"/>
      <c r="Q295" s="1"/>
      <c r="R295" s="1"/>
      <c r="S295" s="1" t="s">
        <v>109</v>
      </c>
      <c r="T295" s="1">
        <v>0.16200000000000001</v>
      </c>
      <c r="U295" s="1" t="s">
        <v>109</v>
      </c>
      <c r="V295" s="1">
        <v>3</v>
      </c>
      <c r="W295" s="1">
        <v>29</v>
      </c>
      <c r="X295" s="1" t="s">
        <v>110</v>
      </c>
      <c r="Y295" s="1"/>
      <c r="Z295" s="1">
        <v>0.99299999999999999</v>
      </c>
      <c r="AA295" s="1" t="s">
        <v>111</v>
      </c>
      <c r="AB295" s="1" t="s">
        <v>111</v>
      </c>
      <c r="AC295" s="1" t="s">
        <v>111</v>
      </c>
      <c r="AD295" s="1" t="s">
        <v>205</v>
      </c>
      <c r="AE295" s="1" t="s">
        <v>111</v>
      </c>
      <c r="AF295" s="1" t="s">
        <v>111</v>
      </c>
      <c r="AG295" s="1" t="s">
        <v>111</v>
      </c>
      <c r="AH295" s="1" t="s">
        <v>111</v>
      </c>
      <c r="AI295" s="1">
        <v>81.195999999999998</v>
      </c>
      <c r="AJ295" s="1" t="s">
        <v>111</v>
      </c>
      <c r="AK295" s="1"/>
      <c r="AL295" s="1" t="s">
        <v>111</v>
      </c>
      <c r="AM295" s="1"/>
      <c r="AN295" s="1" t="s">
        <v>111</v>
      </c>
      <c r="AO295" s="1"/>
      <c r="AP295" s="1" t="s">
        <v>111</v>
      </c>
    </row>
    <row r="296" spans="1:42" x14ac:dyDescent="0.25">
      <c r="A296" s="1">
        <v>320</v>
      </c>
      <c r="B296" s="1" t="s">
        <v>377</v>
      </c>
      <c r="C296" s="1" t="s">
        <v>103</v>
      </c>
      <c r="D296" s="1" t="s">
        <v>120</v>
      </c>
      <c r="E296" s="1" t="s">
        <v>328</v>
      </c>
      <c r="F296" s="1" t="s">
        <v>106</v>
      </c>
      <c r="G296" s="1" t="s">
        <v>107</v>
      </c>
      <c r="H296" s="1" t="s">
        <v>108</v>
      </c>
      <c r="I296" s="1">
        <v>32.259</v>
      </c>
      <c r="J296" s="1">
        <v>33.234999999999999</v>
      </c>
      <c r="K296" s="1">
        <v>0.84899999999999998</v>
      </c>
      <c r="L296" s="1"/>
      <c r="M296" s="1"/>
      <c r="N296" s="1"/>
      <c r="O296" s="1"/>
      <c r="P296" s="1"/>
      <c r="Q296" s="1"/>
      <c r="R296" s="1"/>
      <c r="S296" s="1" t="s">
        <v>109</v>
      </c>
      <c r="T296" s="1">
        <v>0.16200000000000001</v>
      </c>
      <c r="U296" s="1" t="s">
        <v>109</v>
      </c>
      <c r="V296" s="1">
        <v>3</v>
      </c>
      <c r="W296" s="1">
        <v>28</v>
      </c>
      <c r="X296" s="1" t="s">
        <v>110</v>
      </c>
      <c r="Y296" s="1"/>
      <c r="Z296" s="1">
        <v>0.99399999999999999</v>
      </c>
      <c r="AA296" s="1" t="s">
        <v>111</v>
      </c>
      <c r="AB296" s="1" t="s">
        <v>111</v>
      </c>
      <c r="AC296" s="1" t="s">
        <v>111</v>
      </c>
      <c r="AD296" s="1" t="s">
        <v>205</v>
      </c>
      <c r="AE296" s="1" t="s">
        <v>111</v>
      </c>
      <c r="AF296" s="1" t="s">
        <v>111</v>
      </c>
      <c r="AG296" s="1" t="s">
        <v>111</v>
      </c>
      <c r="AH296" s="1" t="s">
        <v>111</v>
      </c>
      <c r="AI296" s="1">
        <v>81.195999999999998</v>
      </c>
      <c r="AJ296" s="1" t="s">
        <v>111</v>
      </c>
      <c r="AK296" s="1"/>
      <c r="AL296" s="1" t="s">
        <v>111</v>
      </c>
      <c r="AM296" s="1"/>
      <c r="AN296" s="1" t="s">
        <v>111</v>
      </c>
      <c r="AO296" s="1"/>
      <c r="AP296" s="1" t="s">
        <v>111</v>
      </c>
    </row>
    <row r="297" spans="1:42" x14ac:dyDescent="0.25">
      <c r="A297" s="1">
        <v>321</v>
      </c>
      <c r="B297" s="1" t="s">
        <v>378</v>
      </c>
      <c r="C297" s="1" t="s">
        <v>103</v>
      </c>
      <c r="D297" s="1" t="s">
        <v>123</v>
      </c>
      <c r="E297" s="1" t="s">
        <v>328</v>
      </c>
      <c r="F297" s="1" t="s">
        <v>106</v>
      </c>
      <c r="G297" s="1" t="s">
        <v>107</v>
      </c>
      <c r="H297" s="1" t="s">
        <v>108</v>
      </c>
      <c r="I297" s="1" t="s">
        <v>235</v>
      </c>
      <c r="J297" s="1">
        <v>32.076000000000001</v>
      </c>
      <c r="K297" s="1"/>
      <c r="L297" s="1"/>
      <c r="M297" s="1"/>
      <c r="N297" s="1"/>
      <c r="O297" s="1"/>
      <c r="P297" s="1"/>
      <c r="Q297" s="1"/>
      <c r="R297" s="1"/>
      <c r="S297" s="1" t="s">
        <v>109</v>
      </c>
      <c r="T297" s="1">
        <v>0.16200000000000001</v>
      </c>
      <c r="U297" s="1" t="s">
        <v>109</v>
      </c>
      <c r="V297" s="1">
        <v>3</v>
      </c>
      <c r="W297" s="1">
        <v>39</v>
      </c>
      <c r="X297" s="1" t="s">
        <v>236</v>
      </c>
      <c r="Y297" s="1"/>
      <c r="Z297" s="1">
        <v>0</v>
      </c>
      <c r="AA297" s="1" t="s">
        <v>205</v>
      </c>
      <c r="AB297" s="1" t="s">
        <v>111</v>
      </c>
      <c r="AC297" s="1" t="s">
        <v>205</v>
      </c>
      <c r="AD297" s="1" t="s">
        <v>111</v>
      </c>
      <c r="AE297" s="1" t="s">
        <v>111</v>
      </c>
      <c r="AF297" s="1" t="s">
        <v>111</v>
      </c>
      <c r="AG297" s="1" t="s">
        <v>111</v>
      </c>
      <c r="AH297" s="1" t="s">
        <v>111</v>
      </c>
      <c r="AI297" s="1">
        <v>60</v>
      </c>
      <c r="AJ297" s="1" t="s">
        <v>111</v>
      </c>
      <c r="AK297" s="1"/>
      <c r="AL297" s="1" t="s">
        <v>205</v>
      </c>
      <c r="AM297" s="1"/>
      <c r="AN297" s="1" t="s">
        <v>111</v>
      </c>
      <c r="AO297" s="1"/>
      <c r="AP297" s="1" t="s">
        <v>111</v>
      </c>
    </row>
    <row r="298" spans="1:42" x14ac:dyDescent="0.25">
      <c r="A298" s="1">
        <v>322</v>
      </c>
      <c r="B298" s="1" t="s">
        <v>379</v>
      </c>
      <c r="C298" s="1" t="s">
        <v>103</v>
      </c>
      <c r="D298" s="1" t="s">
        <v>123</v>
      </c>
      <c r="E298" s="1" t="s">
        <v>328</v>
      </c>
      <c r="F298" s="1" t="s">
        <v>106</v>
      </c>
      <c r="G298" s="1" t="s">
        <v>107</v>
      </c>
      <c r="H298" s="1" t="s">
        <v>108</v>
      </c>
      <c r="I298" s="1" t="s">
        <v>235</v>
      </c>
      <c r="J298" s="1">
        <v>32.076000000000001</v>
      </c>
      <c r="K298" s="1"/>
      <c r="L298" s="1"/>
      <c r="M298" s="1"/>
      <c r="N298" s="1"/>
      <c r="O298" s="1"/>
      <c r="P298" s="1"/>
      <c r="Q298" s="1"/>
      <c r="R298" s="1"/>
      <c r="S298" s="1" t="s">
        <v>109</v>
      </c>
      <c r="T298" s="1">
        <v>0.16200000000000001</v>
      </c>
      <c r="U298" s="1" t="s">
        <v>109</v>
      </c>
      <c r="V298" s="1">
        <v>3</v>
      </c>
      <c r="W298" s="1">
        <v>39</v>
      </c>
      <c r="X298" s="1" t="s">
        <v>236</v>
      </c>
      <c r="Y298" s="1"/>
      <c r="Z298" s="1">
        <v>0</v>
      </c>
      <c r="AA298" s="1" t="s">
        <v>205</v>
      </c>
      <c r="AB298" s="1" t="s">
        <v>111</v>
      </c>
      <c r="AC298" s="1" t="s">
        <v>205</v>
      </c>
      <c r="AD298" s="1" t="s">
        <v>111</v>
      </c>
      <c r="AE298" s="1" t="s">
        <v>111</v>
      </c>
      <c r="AF298" s="1" t="s">
        <v>111</v>
      </c>
      <c r="AG298" s="1" t="s">
        <v>111</v>
      </c>
      <c r="AH298" s="1" t="s">
        <v>111</v>
      </c>
      <c r="AI298" s="1">
        <v>60</v>
      </c>
      <c r="AJ298" s="1" t="s">
        <v>111</v>
      </c>
      <c r="AK298" s="1"/>
      <c r="AL298" s="1" t="s">
        <v>205</v>
      </c>
      <c r="AM298" s="1"/>
      <c r="AN298" s="1" t="s">
        <v>111</v>
      </c>
      <c r="AO298" s="1"/>
      <c r="AP298" s="1" t="s">
        <v>111</v>
      </c>
    </row>
    <row r="299" spans="1:42" x14ac:dyDescent="0.25">
      <c r="A299" s="1">
        <v>323</v>
      </c>
      <c r="B299" s="1" t="s">
        <v>380</v>
      </c>
      <c r="C299" s="1" t="s">
        <v>103</v>
      </c>
      <c r="D299" s="1" t="s">
        <v>126</v>
      </c>
      <c r="E299" s="1" t="s">
        <v>328</v>
      </c>
      <c r="F299" s="1" t="s">
        <v>106</v>
      </c>
      <c r="G299" s="1" t="s">
        <v>107</v>
      </c>
      <c r="H299" s="1" t="s">
        <v>108</v>
      </c>
      <c r="I299" s="1">
        <v>31.722999999999999</v>
      </c>
      <c r="J299" s="1">
        <v>31.829000000000001</v>
      </c>
      <c r="K299" s="1">
        <v>0.64900000000000002</v>
      </c>
      <c r="L299" s="1"/>
      <c r="M299" s="1"/>
      <c r="N299" s="1"/>
      <c r="O299" s="1"/>
      <c r="P299" s="1"/>
      <c r="Q299" s="1"/>
      <c r="R299" s="1"/>
      <c r="S299" s="1" t="s">
        <v>109</v>
      </c>
      <c r="T299" s="1">
        <v>0.16200000000000001</v>
      </c>
      <c r="U299" s="1" t="s">
        <v>109</v>
      </c>
      <c r="V299" s="1">
        <v>3</v>
      </c>
      <c r="W299" s="1">
        <v>27</v>
      </c>
      <c r="X299" s="1" t="s">
        <v>110</v>
      </c>
      <c r="Y299" s="1"/>
      <c r="Z299" s="1">
        <v>0.99399999999999999</v>
      </c>
      <c r="AA299" s="1" t="s">
        <v>111</v>
      </c>
      <c r="AB299" s="1" t="s">
        <v>111</v>
      </c>
      <c r="AC299" s="1" t="s">
        <v>111</v>
      </c>
      <c r="AD299" s="1" t="s">
        <v>205</v>
      </c>
      <c r="AE299" s="1" t="s">
        <v>111</v>
      </c>
      <c r="AF299" s="1" t="s">
        <v>111</v>
      </c>
      <c r="AG299" s="1" t="s">
        <v>111</v>
      </c>
      <c r="AH299" s="1" t="s">
        <v>111</v>
      </c>
      <c r="AI299" s="1">
        <v>81.283000000000001</v>
      </c>
      <c r="AJ299" s="1" t="s">
        <v>111</v>
      </c>
      <c r="AK299" s="1"/>
      <c r="AL299" s="1" t="s">
        <v>111</v>
      </c>
      <c r="AM299" s="1"/>
      <c r="AN299" s="1" t="s">
        <v>111</v>
      </c>
      <c r="AO299" s="1"/>
      <c r="AP299" s="1" t="s">
        <v>111</v>
      </c>
    </row>
    <row r="300" spans="1:42" x14ac:dyDescent="0.25">
      <c r="A300" s="1">
        <v>324</v>
      </c>
      <c r="B300" s="1" t="s">
        <v>381</v>
      </c>
      <c r="C300" s="1" t="s">
        <v>103</v>
      </c>
      <c r="D300" s="1" t="s">
        <v>126</v>
      </c>
      <c r="E300" s="1" t="s">
        <v>328</v>
      </c>
      <c r="F300" s="1" t="s">
        <v>106</v>
      </c>
      <c r="G300" s="1" t="s">
        <v>107</v>
      </c>
      <c r="H300" s="1" t="s">
        <v>108</v>
      </c>
      <c r="I300" s="1">
        <v>31.864000000000001</v>
      </c>
      <c r="J300" s="1">
        <v>31.829000000000001</v>
      </c>
      <c r="K300" s="1">
        <v>0.64900000000000002</v>
      </c>
      <c r="L300" s="1"/>
      <c r="M300" s="1"/>
      <c r="N300" s="1"/>
      <c r="O300" s="1"/>
      <c r="P300" s="1"/>
      <c r="Q300" s="1"/>
      <c r="R300" s="1"/>
      <c r="S300" s="1" t="s">
        <v>109</v>
      </c>
      <c r="T300" s="1">
        <v>0.16200000000000001</v>
      </c>
      <c r="U300" s="1" t="s">
        <v>109</v>
      </c>
      <c r="V300" s="1">
        <v>3</v>
      </c>
      <c r="W300" s="1">
        <v>27</v>
      </c>
      <c r="X300" s="1" t="s">
        <v>110</v>
      </c>
      <c r="Y300" s="1"/>
      <c r="Z300" s="1">
        <v>0.99</v>
      </c>
      <c r="AA300" s="1" t="s">
        <v>111</v>
      </c>
      <c r="AB300" s="1" t="s">
        <v>111</v>
      </c>
      <c r="AC300" s="1" t="s">
        <v>111</v>
      </c>
      <c r="AD300" s="1" t="s">
        <v>205</v>
      </c>
      <c r="AE300" s="1" t="s">
        <v>111</v>
      </c>
      <c r="AF300" s="1" t="s">
        <v>111</v>
      </c>
      <c r="AG300" s="1" t="s">
        <v>111</v>
      </c>
      <c r="AH300" s="1" t="s">
        <v>111</v>
      </c>
      <c r="AI300" s="1">
        <v>81.283000000000001</v>
      </c>
      <c r="AJ300" s="1" t="s">
        <v>111</v>
      </c>
      <c r="AK300" s="1"/>
      <c r="AL300" s="1" t="s">
        <v>111</v>
      </c>
      <c r="AM300" s="1"/>
      <c r="AN300" s="1" t="s">
        <v>111</v>
      </c>
      <c r="AO300" s="1"/>
      <c r="AP300" s="1" t="s">
        <v>111</v>
      </c>
    </row>
    <row r="301" spans="1:42" x14ac:dyDescent="0.25">
      <c r="A301" s="1">
        <v>329</v>
      </c>
      <c r="B301" s="1" t="s">
        <v>382</v>
      </c>
      <c r="C301" s="1" t="s">
        <v>103</v>
      </c>
      <c r="D301" s="1" t="s">
        <v>282</v>
      </c>
      <c r="E301" s="1" t="s">
        <v>129</v>
      </c>
      <c r="F301" s="1" t="s">
        <v>106</v>
      </c>
      <c r="G301" s="1" t="s">
        <v>107</v>
      </c>
      <c r="H301" s="1" t="s">
        <v>108</v>
      </c>
      <c r="I301" s="1">
        <v>23.992000000000001</v>
      </c>
      <c r="J301" s="1">
        <v>31.163</v>
      </c>
      <c r="K301" s="1">
        <v>6.24</v>
      </c>
      <c r="L301" s="1"/>
      <c r="M301" s="1"/>
      <c r="N301" s="1"/>
      <c r="O301" s="1"/>
      <c r="P301" s="1"/>
      <c r="Q301" s="1"/>
      <c r="R301" s="1"/>
      <c r="S301" s="1" t="s">
        <v>109</v>
      </c>
      <c r="T301" s="1">
        <v>0.34599999999999997</v>
      </c>
      <c r="U301" s="1" t="s">
        <v>109</v>
      </c>
      <c r="V301" s="1">
        <v>3</v>
      </c>
      <c r="W301" s="1">
        <v>20</v>
      </c>
      <c r="X301" s="1" t="s">
        <v>236</v>
      </c>
      <c r="Y301" s="1"/>
      <c r="Z301" s="1">
        <v>0.46800000000000003</v>
      </c>
      <c r="AA301" s="1" t="s">
        <v>205</v>
      </c>
      <c r="AB301" s="1" t="s">
        <v>205</v>
      </c>
      <c r="AC301" s="1" t="s">
        <v>111</v>
      </c>
      <c r="AD301" s="1" t="s">
        <v>205</v>
      </c>
      <c r="AE301" s="1" t="s">
        <v>205</v>
      </c>
      <c r="AF301" s="1" t="s">
        <v>111</v>
      </c>
      <c r="AG301" s="1" t="s">
        <v>111</v>
      </c>
      <c r="AH301" s="1" t="s">
        <v>111</v>
      </c>
      <c r="AI301" s="1">
        <v>60</v>
      </c>
      <c r="AJ301" s="1" t="s">
        <v>205</v>
      </c>
      <c r="AK301" s="1"/>
      <c r="AL301" s="1" t="s">
        <v>111</v>
      </c>
      <c r="AM301" s="1"/>
      <c r="AN301" s="1" t="s">
        <v>205</v>
      </c>
      <c r="AO301" s="1"/>
      <c r="AP301" s="1" t="s">
        <v>111</v>
      </c>
    </row>
    <row r="302" spans="1:42" x14ac:dyDescent="0.25">
      <c r="A302" s="1">
        <v>330</v>
      </c>
      <c r="B302" s="1" t="s">
        <v>383</v>
      </c>
      <c r="C302" s="1" t="s">
        <v>103</v>
      </c>
      <c r="D302" s="1" t="s">
        <v>282</v>
      </c>
      <c r="E302" s="1" t="s">
        <v>129</v>
      </c>
      <c r="F302" s="1" t="s">
        <v>106</v>
      </c>
      <c r="G302" s="1" t="s">
        <v>107</v>
      </c>
      <c r="H302" s="1" t="s">
        <v>108</v>
      </c>
      <c r="I302" s="1" t="s">
        <v>235</v>
      </c>
      <c r="J302" s="1">
        <v>31.163</v>
      </c>
      <c r="K302" s="1">
        <v>6.24</v>
      </c>
      <c r="L302" s="1"/>
      <c r="M302" s="1"/>
      <c r="N302" s="1"/>
      <c r="O302" s="1"/>
      <c r="P302" s="1"/>
      <c r="Q302" s="1"/>
      <c r="R302" s="1"/>
      <c r="S302" s="1" t="s">
        <v>109</v>
      </c>
      <c r="T302" s="1">
        <v>0.34599999999999997</v>
      </c>
      <c r="U302" s="1" t="s">
        <v>109</v>
      </c>
      <c r="V302" s="1">
        <v>3</v>
      </c>
      <c r="W302" s="1">
        <v>28</v>
      </c>
      <c r="X302" s="1" t="s">
        <v>236</v>
      </c>
      <c r="Y302" s="1"/>
      <c r="Z302" s="1">
        <v>0</v>
      </c>
      <c r="AA302" s="1" t="s">
        <v>205</v>
      </c>
      <c r="AB302" s="1" t="s">
        <v>111</v>
      </c>
      <c r="AC302" s="1" t="s">
        <v>111</v>
      </c>
      <c r="AD302" s="1" t="s">
        <v>111</v>
      </c>
      <c r="AE302" s="1" t="s">
        <v>111</v>
      </c>
      <c r="AF302" s="1" t="s">
        <v>205</v>
      </c>
      <c r="AG302" s="1" t="s">
        <v>111</v>
      </c>
      <c r="AH302" s="1" t="s">
        <v>111</v>
      </c>
      <c r="AI302" s="1">
        <v>60</v>
      </c>
      <c r="AJ302" s="1" t="s">
        <v>205</v>
      </c>
      <c r="AK302" s="1"/>
      <c r="AL302" s="1" t="s">
        <v>111</v>
      </c>
      <c r="AM302" s="1"/>
      <c r="AN302" s="1" t="s">
        <v>205</v>
      </c>
      <c r="AO302" s="1"/>
      <c r="AP302" s="1" t="s">
        <v>111</v>
      </c>
    </row>
    <row r="303" spans="1:42" x14ac:dyDescent="0.25">
      <c r="A303" s="1">
        <v>331</v>
      </c>
      <c r="B303" s="1" t="s">
        <v>384</v>
      </c>
      <c r="C303" s="1" t="s">
        <v>103</v>
      </c>
      <c r="D303" s="1" t="s">
        <v>282</v>
      </c>
      <c r="E303" s="1" t="s">
        <v>204</v>
      </c>
      <c r="F303" s="1" t="s">
        <v>106</v>
      </c>
      <c r="G303" s="1" t="s">
        <v>107</v>
      </c>
      <c r="H303" s="1" t="s">
        <v>108</v>
      </c>
      <c r="I303" s="1" t="s">
        <v>235</v>
      </c>
      <c r="J303" s="1"/>
      <c r="K303" s="1"/>
      <c r="L303" s="1"/>
      <c r="M303" s="1"/>
      <c r="N303" s="1"/>
      <c r="O303" s="1"/>
      <c r="P303" s="1"/>
      <c r="Q303" s="1"/>
      <c r="R303" s="1"/>
      <c r="S303" s="1" t="s">
        <v>109</v>
      </c>
      <c r="T303" s="1">
        <v>0.32100000000000001</v>
      </c>
      <c r="U303" s="1" t="s">
        <v>109</v>
      </c>
      <c r="V303" s="1">
        <v>3</v>
      </c>
      <c r="W303" s="1">
        <v>21</v>
      </c>
      <c r="X303" s="1" t="s">
        <v>236</v>
      </c>
      <c r="Y303" s="1"/>
      <c r="Z303" s="1">
        <v>0</v>
      </c>
      <c r="AA303" s="1" t="s">
        <v>205</v>
      </c>
      <c r="AB303" s="1" t="s">
        <v>111</v>
      </c>
      <c r="AC303" s="1" t="s">
        <v>111</v>
      </c>
      <c r="AD303" s="1" t="s">
        <v>111</v>
      </c>
      <c r="AE303" s="1" t="s">
        <v>111</v>
      </c>
      <c r="AF303" s="1" t="s">
        <v>111</v>
      </c>
      <c r="AG303" s="1" t="s">
        <v>111</v>
      </c>
      <c r="AH303" s="1" t="s">
        <v>111</v>
      </c>
      <c r="AI303" s="1">
        <v>60</v>
      </c>
      <c r="AJ303" s="1" t="s">
        <v>205</v>
      </c>
      <c r="AK303" s="1"/>
      <c r="AL303" s="1" t="s">
        <v>111</v>
      </c>
      <c r="AM303" s="1"/>
      <c r="AN303" s="1" t="s">
        <v>205</v>
      </c>
      <c r="AO303" s="1"/>
      <c r="AP303" s="1" t="s">
        <v>111</v>
      </c>
    </row>
    <row r="304" spans="1:42" x14ac:dyDescent="0.25">
      <c r="A304" s="1">
        <v>332</v>
      </c>
      <c r="B304" s="1" t="s">
        <v>385</v>
      </c>
      <c r="C304" s="1" t="s">
        <v>103</v>
      </c>
      <c r="D304" s="1" t="s">
        <v>282</v>
      </c>
      <c r="E304" s="1" t="s">
        <v>204</v>
      </c>
      <c r="F304" s="1" t="s">
        <v>106</v>
      </c>
      <c r="G304" s="1" t="s">
        <v>107</v>
      </c>
      <c r="H304" s="1" t="s">
        <v>108</v>
      </c>
      <c r="I304" s="1" t="s">
        <v>235</v>
      </c>
      <c r="J304" s="1"/>
      <c r="K304" s="1"/>
      <c r="L304" s="1"/>
      <c r="M304" s="1"/>
      <c r="N304" s="1"/>
      <c r="O304" s="1"/>
      <c r="P304" s="1"/>
      <c r="Q304" s="1"/>
      <c r="R304" s="1"/>
      <c r="S304" s="1" t="s">
        <v>109</v>
      </c>
      <c r="T304" s="1">
        <v>0.32100000000000001</v>
      </c>
      <c r="U304" s="1" t="s">
        <v>109</v>
      </c>
      <c r="V304" s="1">
        <v>3</v>
      </c>
      <c r="W304" s="1">
        <v>39</v>
      </c>
      <c r="X304" s="1" t="s">
        <v>236</v>
      </c>
      <c r="Y304" s="1"/>
      <c r="Z304" s="1">
        <v>0</v>
      </c>
      <c r="AA304" s="1" t="s">
        <v>205</v>
      </c>
      <c r="AB304" s="1" t="s">
        <v>111</v>
      </c>
      <c r="AC304" s="1" t="s">
        <v>205</v>
      </c>
      <c r="AD304" s="1" t="s">
        <v>111</v>
      </c>
      <c r="AE304" s="1" t="s">
        <v>111</v>
      </c>
      <c r="AF304" s="1" t="s">
        <v>111</v>
      </c>
      <c r="AG304" s="1" t="s">
        <v>111</v>
      </c>
      <c r="AH304" s="1" t="s">
        <v>111</v>
      </c>
      <c r="AI304" s="1">
        <v>60</v>
      </c>
      <c r="AJ304" s="1" t="s">
        <v>205</v>
      </c>
      <c r="AK304" s="1"/>
      <c r="AL304" s="1" t="s">
        <v>111</v>
      </c>
      <c r="AM304" s="1"/>
      <c r="AN304" s="1" t="s">
        <v>205</v>
      </c>
      <c r="AO304" s="1"/>
      <c r="AP304" s="1" t="s">
        <v>111</v>
      </c>
    </row>
    <row r="305" spans="1:42" x14ac:dyDescent="0.25">
      <c r="A305" s="1">
        <v>337</v>
      </c>
      <c r="B305" s="1" t="s">
        <v>386</v>
      </c>
      <c r="C305" s="1" t="s">
        <v>103</v>
      </c>
      <c r="D305" s="1" t="s">
        <v>104</v>
      </c>
      <c r="E305" s="1" t="s">
        <v>332</v>
      </c>
      <c r="F305" s="1" t="s">
        <v>106</v>
      </c>
      <c r="G305" s="1" t="s">
        <v>107</v>
      </c>
      <c r="H305" s="1" t="s">
        <v>108</v>
      </c>
      <c r="I305" s="1">
        <v>23.096</v>
      </c>
      <c r="J305" s="1">
        <v>23.071999999999999</v>
      </c>
      <c r="K305" s="1">
        <v>2.3E-2</v>
      </c>
      <c r="L305" s="1"/>
      <c r="M305" s="1"/>
      <c r="N305" s="1"/>
      <c r="O305" s="1"/>
      <c r="P305" s="1"/>
      <c r="Q305" s="1"/>
      <c r="R305" s="1"/>
      <c r="S305" s="1" t="s">
        <v>109</v>
      </c>
      <c r="T305" s="1">
        <v>0.505</v>
      </c>
      <c r="U305" s="1" t="s">
        <v>109</v>
      </c>
      <c r="V305" s="1">
        <v>3</v>
      </c>
      <c r="W305" s="1">
        <v>16</v>
      </c>
      <c r="X305" s="1" t="s">
        <v>110</v>
      </c>
      <c r="Y305" s="1"/>
      <c r="Z305" s="1">
        <v>0.98299999999999998</v>
      </c>
      <c r="AA305" s="1" t="s">
        <v>111</v>
      </c>
      <c r="AB305" s="1" t="s">
        <v>111</v>
      </c>
      <c r="AC305" s="1" t="s">
        <v>111</v>
      </c>
      <c r="AD305" s="1" t="s">
        <v>111</v>
      </c>
      <c r="AE305" s="1" t="s">
        <v>111</v>
      </c>
      <c r="AF305" s="1" t="s">
        <v>111</v>
      </c>
      <c r="AG305" s="1" t="s">
        <v>111</v>
      </c>
      <c r="AH305" s="1" t="s">
        <v>111</v>
      </c>
      <c r="AI305" s="1">
        <v>80.471999999999994</v>
      </c>
      <c r="AJ305" s="1" t="s">
        <v>111</v>
      </c>
      <c r="AK305" s="1"/>
      <c r="AL305" s="1" t="s">
        <v>111</v>
      </c>
      <c r="AM305" s="1"/>
      <c r="AN305" s="1" t="s">
        <v>111</v>
      </c>
      <c r="AO305" s="1"/>
      <c r="AP305" s="1" t="s">
        <v>111</v>
      </c>
    </row>
    <row r="306" spans="1:42" x14ac:dyDescent="0.25">
      <c r="A306" s="1">
        <v>338</v>
      </c>
      <c r="B306" s="1" t="s">
        <v>387</v>
      </c>
      <c r="C306" s="1" t="s">
        <v>103</v>
      </c>
      <c r="D306" s="1" t="s">
        <v>104</v>
      </c>
      <c r="E306" s="1" t="s">
        <v>332</v>
      </c>
      <c r="F306" s="1" t="s">
        <v>106</v>
      </c>
      <c r="G306" s="1" t="s">
        <v>107</v>
      </c>
      <c r="H306" s="1" t="s">
        <v>108</v>
      </c>
      <c r="I306" s="1">
        <v>23.064</v>
      </c>
      <c r="J306" s="1">
        <v>23.071999999999999</v>
      </c>
      <c r="K306" s="1">
        <v>2.3E-2</v>
      </c>
      <c r="L306" s="1"/>
      <c r="M306" s="1"/>
      <c r="N306" s="1"/>
      <c r="O306" s="1"/>
      <c r="P306" s="1"/>
      <c r="Q306" s="1"/>
      <c r="R306" s="1"/>
      <c r="S306" s="1" t="s">
        <v>109</v>
      </c>
      <c r="T306" s="1">
        <v>0.505</v>
      </c>
      <c r="U306" s="1" t="s">
        <v>109</v>
      </c>
      <c r="V306" s="1">
        <v>3</v>
      </c>
      <c r="W306" s="1">
        <v>16</v>
      </c>
      <c r="X306" s="1" t="s">
        <v>110</v>
      </c>
      <c r="Y306" s="1"/>
      <c r="Z306" s="1">
        <v>0.97799999999999998</v>
      </c>
      <c r="AA306" s="1" t="s">
        <v>111</v>
      </c>
      <c r="AB306" s="1" t="s">
        <v>111</v>
      </c>
      <c r="AC306" s="1" t="s">
        <v>111</v>
      </c>
      <c r="AD306" s="1" t="s">
        <v>111</v>
      </c>
      <c r="AE306" s="1" t="s">
        <v>111</v>
      </c>
      <c r="AF306" s="1" t="s">
        <v>111</v>
      </c>
      <c r="AG306" s="1" t="s">
        <v>111</v>
      </c>
      <c r="AH306" s="1" t="s">
        <v>111</v>
      </c>
      <c r="AI306" s="1">
        <v>80.358000000000004</v>
      </c>
      <c r="AJ306" s="1" t="s">
        <v>111</v>
      </c>
      <c r="AK306" s="1"/>
      <c r="AL306" s="1" t="s">
        <v>111</v>
      </c>
      <c r="AM306" s="1"/>
      <c r="AN306" s="1" t="s">
        <v>111</v>
      </c>
      <c r="AO306" s="1"/>
      <c r="AP306" s="1" t="s">
        <v>111</v>
      </c>
    </row>
    <row r="307" spans="1:42" x14ac:dyDescent="0.25">
      <c r="A307" s="1">
        <v>339</v>
      </c>
      <c r="B307" s="1" t="s">
        <v>388</v>
      </c>
      <c r="C307" s="1" t="s">
        <v>103</v>
      </c>
      <c r="D307" s="1" t="s">
        <v>114</v>
      </c>
      <c r="E307" s="1" t="s">
        <v>332</v>
      </c>
      <c r="F307" s="1" t="s">
        <v>106</v>
      </c>
      <c r="G307" s="1" t="s">
        <v>107</v>
      </c>
      <c r="H307" s="1" t="s">
        <v>108</v>
      </c>
      <c r="I307" s="1">
        <v>22.887</v>
      </c>
      <c r="J307" s="1">
        <v>22.818000000000001</v>
      </c>
      <c r="K307" s="1">
        <v>5.6000000000000001E-2</v>
      </c>
      <c r="L307" s="1"/>
      <c r="M307" s="1"/>
      <c r="N307" s="1"/>
      <c r="O307" s="1"/>
      <c r="P307" s="1"/>
      <c r="Q307" s="1"/>
      <c r="R307" s="1"/>
      <c r="S307" s="1" t="s">
        <v>109</v>
      </c>
      <c r="T307" s="1">
        <v>0.505</v>
      </c>
      <c r="U307" s="1" t="s">
        <v>109</v>
      </c>
      <c r="V307" s="1">
        <v>3</v>
      </c>
      <c r="W307" s="1">
        <v>17</v>
      </c>
      <c r="X307" s="1" t="s">
        <v>110</v>
      </c>
      <c r="Y307" s="1"/>
      <c r="Z307" s="1">
        <v>0.98599999999999999</v>
      </c>
      <c r="AA307" s="1" t="s">
        <v>111</v>
      </c>
      <c r="AB307" s="1" t="s">
        <v>111</v>
      </c>
      <c r="AC307" s="1" t="s">
        <v>111</v>
      </c>
      <c r="AD307" s="1" t="s">
        <v>111</v>
      </c>
      <c r="AE307" s="1" t="s">
        <v>111</v>
      </c>
      <c r="AF307" s="1" t="s">
        <v>111</v>
      </c>
      <c r="AG307" s="1" t="s">
        <v>111</v>
      </c>
      <c r="AH307" s="1" t="s">
        <v>111</v>
      </c>
      <c r="AI307" s="1">
        <v>80.471999999999994</v>
      </c>
      <c r="AJ307" s="1" t="s">
        <v>111</v>
      </c>
      <c r="AK307" s="1"/>
      <c r="AL307" s="1" t="s">
        <v>111</v>
      </c>
      <c r="AM307" s="1"/>
      <c r="AN307" s="1" t="s">
        <v>111</v>
      </c>
      <c r="AO307" s="1"/>
      <c r="AP307" s="1" t="s">
        <v>111</v>
      </c>
    </row>
    <row r="308" spans="1:42" x14ac:dyDescent="0.25">
      <c r="A308" s="1">
        <v>340</v>
      </c>
      <c r="B308" s="1" t="s">
        <v>389</v>
      </c>
      <c r="C308" s="1" t="s">
        <v>103</v>
      </c>
      <c r="D308" s="1" t="s">
        <v>114</v>
      </c>
      <c r="E308" s="1" t="s">
        <v>332</v>
      </c>
      <c r="F308" s="1" t="s">
        <v>106</v>
      </c>
      <c r="G308" s="1" t="s">
        <v>107</v>
      </c>
      <c r="H308" s="1" t="s">
        <v>108</v>
      </c>
      <c r="I308" s="1">
        <v>22.84</v>
      </c>
      <c r="J308" s="1">
        <v>22.818000000000001</v>
      </c>
      <c r="K308" s="1">
        <v>5.6000000000000001E-2</v>
      </c>
      <c r="L308" s="1"/>
      <c r="M308" s="1"/>
      <c r="N308" s="1"/>
      <c r="O308" s="1"/>
      <c r="P308" s="1"/>
      <c r="Q308" s="1"/>
      <c r="R308" s="1"/>
      <c r="S308" s="1" t="s">
        <v>109</v>
      </c>
      <c r="T308" s="1">
        <v>0.505</v>
      </c>
      <c r="U308" s="1" t="s">
        <v>109</v>
      </c>
      <c r="V308" s="1">
        <v>3</v>
      </c>
      <c r="W308" s="1">
        <v>16</v>
      </c>
      <c r="X308" s="1" t="s">
        <v>110</v>
      </c>
      <c r="Y308" s="1"/>
      <c r="Z308" s="1">
        <v>0.98899999999999999</v>
      </c>
      <c r="AA308" s="1" t="s">
        <v>111</v>
      </c>
      <c r="AB308" s="1" t="s">
        <v>111</v>
      </c>
      <c r="AC308" s="1" t="s">
        <v>111</v>
      </c>
      <c r="AD308" s="1" t="s">
        <v>111</v>
      </c>
      <c r="AE308" s="1" t="s">
        <v>111</v>
      </c>
      <c r="AF308" s="1" t="s">
        <v>111</v>
      </c>
      <c r="AG308" s="1" t="s">
        <v>111</v>
      </c>
      <c r="AH308" s="1" t="s">
        <v>111</v>
      </c>
      <c r="AI308" s="1">
        <v>80.471999999999994</v>
      </c>
      <c r="AJ308" s="1" t="s">
        <v>111</v>
      </c>
      <c r="AK308" s="1"/>
      <c r="AL308" s="1" t="s">
        <v>111</v>
      </c>
      <c r="AM308" s="1"/>
      <c r="AN308" s="1" t="s">
        <v>111</v>
      </c>
      <c r="AO308" s="1"/>
      <c r="AP308" s="1" t="s">
        <v>111</v>
      </c>
    </row>
    <row r="309" spans="1:42" x14ac:dyDescent="0.25">
      <c r="A309" s="1">
        <v>341</v>
      </c>
      <c r="B309" s="1" t="s">
        <v>390</v>
      </c>
      <c r="C309" s="1" t="s">
        <v>103</v>
      </c>
      <c r="D309" s="1" t="s">
        <v>117</v>
      </c>
      <c r="E309" s="1" t="s">
        <v>332</v>
      </c>
      <c r="F309" s="1" t="s">
        <v>106</v>
      </c>
      <c r="G309" s="1" t="s">
        <v>107</v>
      </c>
      <c r="H309" s="1" t="s">
        <v>108</v>
      </c>
      <c r="I309" s="1">
        <v>22.46</v>
      </c>
      <c r="J309" s="1">
        <v>22.533999999999999</v>
      </c>
      <c r="K309" s="1">
        <v>5.8000000000000003E-2</v>
      </c>
      <c r="L309" s="1"/>
      <c r="M309" s="1"/>
      <c r="N309" s="1"/>
      <c r="O309" s="1"/>
      <c r="P309" s="1"/>
      <c r="Q309" s="1"/>
      <c r="R309" s="1"/>
      <c r="S309" s="1" t="s">
        <v>109</v>
      </c>
      <c r="T309" s="1">
        <v>0.505</v>
      </c>
      <c r="U309" s="1" t="s">
        <v>109</v>
      </c>
      <c r="V309" s="1">
        <v>3</v>
      </c>
      <c r="W309" s="1">
        <v>16</v>
      </c>
      <c r="X309" s="1" t="s">
        <v>110</v>
      </c>
      <c r="Y309" s="1"/>
      <c r="Z309" s="1">
        <v>0.98499999999999999</v>
      </c>
      <c r="AA309" s="1" t="s">
        <v>111</v>
      </c>
      <c r="AB309" s="1" t="s">
        <v>111</v>
      </c>
      <c r="AC309" s="1" t="s">
        <v>111</v>
      </c>
      <c r="AD309" s="1" t="s">
        <v>111</v>
      </c>
      <c r="AE309" s="1" t="s">
        <v>111</v>
      </c>
      <c r="AF309" s="1" t="s">
        <v>111</v>
      </c>
      <c r="AG309" s="1" t="s">
        <v>111</v>
      </c>
      <c r="AH309" s="1" t="s">
        <v>111</v>
      </c>
      <c r="AI309" s="1">
        <v>80.402000000000001</v>
      </c>
      <c r="AJ309" s="1" t="s">
        <v>111</v>
      </c>
      <c r="AK309" s="1"/>
      <c r="AL309" s="1" t="s">
        <v>111</v>
      </c>
      <c r="AM309" s="1"/>
      <c r="AN309" s="1" t="s">
        <v>111</v>
      </c>
      <c r="AO309" s="1"/>
      <c r="AP309" s="1" t="s">
        <v>111</v>
      </c>
    </row>
    <row r="310" spans="1:42" x14ac:dyDescent="0.25">
      <c r="A310" s="1">
        <v>342</v>
      </c>
      <c r="B310" s="1" t="s">
        <v>391</v>
      </c>
      <c r="C310" s="1" t="s">
        <v>103</v>
      </c>
      <c r="D310" s="1" t="s">
        <v>117</v>
      </c>
      <c r="E310" s="1" t="s">
        <v>332</v>
      </c>
      <c r="F310" s="1" t="s">
        <v>106</v>
      </c>
      <c r="G310" s="1" t="s">
        <v>107</v>
      </c>
      <c r="H310" s="1" t="s">
        <v>108</v>
      </c>
      <c r="I310" s="1">
        <v>22.559000000000001</v>
      </c>
      <c r="J310" s="1">
        <v>22.533999999999999</v>
      </c>
      <c r="K310" s="1">
        <v>5.8000000000000003E-2</v>
      </c>
      <c r="L310" s="1"/>
      <c r="M310" s="1"/>
      <c r="N310" s="1"/>
      <c r="O310" s="1"/>
      <c r="P310" s="1"/>
      <c r="Q310" s="1"/>
      <c r="R310" s="1"/>
      <c r="S310" s="1" t="s">
        <v>109</v>
      </c>
      <c r="T310" s="1">
        <v>0.505</v>
      </c>
      <c r="U310" s="1" t="s">
        <v>109</v>
      </c>
      <c r="V310" s="1">
        <v>3</v>
      </c>
      <c r="W310" s="1">
        <v>16</v>
      </c>
      <c r="X310" s="1" t="s">
        <v>110</v>
      </c>
      <c r="Y310" s="1"/>
      <c r="Z310" s="1">
        <v>0.98299999999999998</v>
      </c>
      <c r="AA310" s="1" t="s">
        <v>111</v>
      </c>
      <c r="AB310" s="1" t="s">
        <v>111</v>
      </c>
      <c r="AC310" s="1" t="s">
        <v>111</v>
      </c>
      <c r="AD310" s="1" t="s">
        <v>111</v>
      </c>
      <c r="AE310" s="1" t="s">
        <v>111</v>
      </c>
      <c r="AF310" s="1" t="s">
        <v>111</v>
      </c>
      <c r="AG310" s="1" t="s">
        <v>111</v>
      </c>
      <c r="AH310" s="1" t="s">
        <v>111</v>
      </c>
      <c r="AI310" s="1">
        <v>80.402000000000001</v>
      </c>
      <c r="AJ310" s="1" t="s">
        <v>111</v>
      </c>
      <c r="AK310" s="1"/>
      <c r="AL310" s="1" t="s">
        <v>111</v>
      </c>
      <c r="AM310" s="1"/>
      <c r="AN310" s="1" t="s">
        <v>111</v>
      </c>
      <c r="AO310" s="1"/>
      <c r="AP310" s="1" t="s">
        <v>111</v>
      </c>
    </row>
    <row r="311" spans="1:42" x14ac:dyDescent="0.25">
      <c r="A311" s="1">
        <v>343</v>
      </c>
      <c r="B311" s="1" t="s">
        <v>392</v>
      </c>
      <c r="C311" s="1" t="s">
        <v>103</v>
      </c>
      <c r="D311" s="1" t="s">
        <v>120</v>
      </c>
      <c r="E311" s="1" t="s">
        <v>332</v>
      </c>
      <c r="F311" s="1" t="s">
        <v>106</v>
      </c>
      <c r="G311" s="1" t="s">
        <v>107</v>
      </c>
      <c r="H311" s="1" t="s">
        <v>108</v>
      </c>
      <c r="I311" s="1">
        <v>22.733000000000001</v>
      </c>
      <c r="J311" s="1">
        <v>22.652999999999999</v>
      </c>
      <c r="K311" s="1">
        <v>6.6000000000000003E-2</v>
      </c>
      <c r="L311" s="1"/>
      <c r="M311" s="1"/>
      <c r="N311" s="1"/>
      <c r="O311" s="1"/>
      <c r="P311" s="1"/>
      <c r="Q311" s="1"/>
      <c r="R311" s="1"/>
      <c r="S311" s="1" t="s">
        <v>109</v>
      </c>
      <c r="T311" s="1">
        <v>0.505</v>
      </c>
      <c r="U311" s="1" t="s">
        <v>109</v>
      </c>
      <c r="V311" s="1">
        <v>3</v>
      </c>
      <c r="W311" s="1">
        <v>16</v>
      </c>
      <c r="X311" s="1" t="s">
        <v>110</v>
      </c>
      <c r="Y311" s="1"/>
      <c r="Z311" s="1">
        <v>0.98499999999999999</v>
      </c>
      <c r="AA311" s="1" t="s">
        <v>111</v>
      </c>
      <c r="AB311" s="1" t="s">
        <v>111</v>
      </c>
      <c r="AC311" s="1" t="s">
        <v>111</v>
      </c>
      <c r="AD311" s="1" t="s">
        <v>111</v>
      </c>
      <c r="AE311" s="1" t="s">
        <v>111</v>
      </c>
      <c r="AF311" s="1" t="s">
        <v>111</v>
      </c>
      <c r="AG311" s="1" t="s">
        <v>111</v>
      </c>
      <c r="AH311" s="1" t="s">
        <v>111</v>
      </c>
      <c r="AI311" s="1">
        <v>80.402000000000001</v>
      </c>
      <c r="AJ311" s="1" t="s">
        <v>111</v>
      </c>
      <c r="AK311" s="1"/>
      <c r="AL311" s="1" t="s">
        <v>111</v>
      </c>
      <c r="AM311" s="1"/>
      <c r="AN311" s="1" t="s">
        <v>111</v>
      </c>
      <c r="AO311" s="1"/>
      <c r="AP311" s="1" t="s">
        <v>111</v>
      </c>
    </row>
    <row r="312" spans="1:42" x14ac:dyDescent="0.25">
      <c r="A312" s="1">
        <v>344</v>
      </c>
      <c r="B312" s="1" t="s">
        <v>393</v>
      </c>
      <c r="C312" s="1" t="s">
        <v>103</v>
      </c>
      <c r="D312" s="1" t="s">
        <v>120</v>
      </c>
      <c r="E312" s="1" t="s">
        <v>332</v>
      </c>
      <c r="F312" s="1" t="s">
        <v>106</v>
      </c>
      <c r="G312" s="1" t="s">
        <v>107</v>
      </c>
      <c r="H312" s="1" t="s">
        <v>108</v>
      </c>
      <c r="I312" s="1">
        <v>22.619</v>
      </c>
      <c r="J312" s="1">
        <v>22.652999999999999</v>
      </c>
      <c r="K312" s="1">
        <v>6.6000000000000003E-2</v>
      </c>
      <c r="L312" s="1"/>
      <c r="M312" s="1"/>
      <c r="N312" s="1"/>
      <c r="O312" s="1"/>
      <c r="P312" s="1"/>
      <c r="Q312" s="1"/>
      <c r="R312" s="1"/>
      <c r="S312" s="1" t="s">
        <v>109</v>
      </c>
      <c r="T312" s="1">
        <v>0.505</v>
      </c>
      <c r="U312" s="1" t="s">
        <v>109</v>
      </c>
      <c r="V312" s="1">
        <v>3</v>
      </c>
      <c r="W312" s="1">
        <v>16</v>
      </c>
      <c r="X312" s="1" t="s">
        <v>110</v>
      </c>
      <c r="Y312" s="1"/>
      <c r="Z312" s="1">
        <v>0.98499999999999999</v>
      </c>
      <c r="AA312" s="1" t="s">
        <v>111</v>
      </c>
      <c r="AB312" s="1" t="s">
        <v>111</v>
      </c>
      <c r="AC312" s="1" t="s">
        <v>111</v>
      </c>
      <c r="AD312" s="1" t="s">
        <v>111</v>
      </c>
      <c r="AE312" s="1" t="s">
        <v>111</v>
      </c>
      <c r="AF312" s="1" t="s">
        <v>111</v>
      </c>
      <c r="AG312" s="1" t="s">
        <v>111</v>
      </c>
      <c r="AH312" s="1" t="s">
        <v>111</v>
      </c>
      <c r="AI312" s="1">
        <v>80.402000000000001</v>
      </c>
      <c r="AJ312" s="1" t="s">
        <v>111</v>
      </c>
      <c r="AK312" s="1"/>
      <c r="AL312" s="1" t="s">
        <v>111</v>
      </c>
      <c r="AM312" s="1"/>
      <c r="AN312" s="1" t="s">
        <v>111</v>
      </c>
      <c r="AO312" s="1"/>
      <c r="AP312" s="1" t="s">
        <v>111</v>
      </c>
    </row>
    <row r="313" spans="1:42" x14ac:dyDescent="0.25">
      <c r="A313" s="1">
        <v>345</v>
      </c>
      <c r="B313" s="1" t="s">
        <v>394</v>
      </c>
      <c r="C313" s="1" t="s">
        <v>103</v>
      </c>
      <c r="D313" s="1" t="s">
        <v>123</v>
      </c>
      <c r="E313" s="1" t="s">
        <v>332</v>
      </c>
      <c r="F313" s="1" t="s">
        <v>106</v>
      </c>
      <c r="G313" s="1" t="s">
        <v>107</v>
      </c>
      <c r="H313" s="1" t="s">
        <v>108</v>
      </c>
      <c r="I313" s="1">
        <v>23.177</v>
      </c>
      <c r="J313" s="1">
        <v>23.082999999999998</v>
      </c>
      <c r="K313" s="1">
        <v>8.6999999999999994E-2</v>
      </c>
      <c r="L313" s="1"/>
      <c r="M313" s="1"/>
      <c r="N313" s="1"/>
      <c r="O313" s="1"/>
      <c r="P313" s="1"/>
      <c r="Q313" s="1"/>
      <c r="R313" s="1"/>
      <c r="S313" s="1" t="s">
        <v>109</v>
      </c>
      <c r="T313" s="1">
        <v>0.505</v>
      </c>
      <c r="U313" s="1" t="s">
        <v>109</v>
      </c>
      <c r="V313" s="1">
        <v>3</v>
      </c>
      <c r="W313" s="1">
        <v>16</v>
      </c>
      <c r="X313" s="1" t="s">
        <v>110</v>
      </c>
      <c r="Y313" s="1"/>
      <c r="Z313" s="1">
        <v>0.98</v>
      </c>
      <c r="AA313" s="1" t="s">
        <v>111</v>
      </c>
      <c r="AB313" s="1" t="s">
        <v>111</v>
      </c>
      <c r="AC313" s="1" t="s">
        <v>111</v>
      </c>
      <c r="AD313" s="1" t="s">
        <v>111</v>
      </c>
      <c r="AE313" s="1" t="s">
        <v>111</v>
      </c>
      <c r="AF313" s="1" t="s">
        <v>111</v>
      </c>
      <c r="AG313" s="1" t="s">
        <v>111</v>
      </c>
      <c r="AH313" s="1" t="s">
        <v>111</v>
      </c>
      <c r="AI313" s="1">
        <v>80.486000000000004</v>
      </c>
      <c r="AJ313" s="1" t="s">
        <v>111</v>
      </c>
      <c r="AK313" s="1"/>
      <c r="AL313" s="1" t="s">
        <v>111</v>
      </c>
      <c r="AM313" s="1"/>
      <c r="AN313" s="1" t="s">
        <v>111</v>
      </c>
      <c r="AO313" s="1"/>
      <c r="AP313" s="1" t="s">
        <v>111</v>
      </c>
    </row>
    <row r="314" spans="1:42" x14ac:dyDescent="0.25">
      <c r="A314" s="1">
        <v>346</v>
      </c>
      <c r="B314" s="1" t="s">
        <v>395</v>
      </c>
      <c r="C314" s="1" t="s">
        <v>103</v>
      </c>
      <c r="D314" s="1" t="s">
        <v>123</v>
      </c>
      <c r="E314" s="1" t="s">
        <v>332</v>
      </c>
      <c r="F314" s="1" t="s">
        <v>106</v>
      </c>
      <c r="G314" s="1" t="s">
        <v>107</v>
      </c>
      <c r="H314" s="1" t="s">
        <v>108</v>
      </c>
      <c r="I314" s="1">
        <v>22.966999999999999</v>
      </c>
      <c r="J314" s="1">
        <v>23.082999999999998</v>
      </c>
      <c r="K314" s="1">
        <v>8.6999999999999994E-2</v>
      </c>
      <c r="L314" s="1"/>
      <c r="M314" s="1"/>
      <c r="N314" s="1"/>
      <c r="O314" s="1"/>
      <c r="P314" s="1"/>
      <c r="Q314" s="1"/>
      <c r="R314" s="1"/>
      <c r="S314" s="1" t="s">
        <v>109</v>
      </c>
      <c r="T314" s="1">
        <v>0.505</v>
      </c>
      <c r="U314" s="1" t="s">
        <v>109</v>
      </c>
      <c r="V314" s="1">
        <v>3</v>
      </c>
      <c r="W314" s="1">
        <v>17</v>
      </c>
      <c r="X314" s="1" t="s">
        <v>110</v>
      </c>
      <c r="Y314" s="1"/>
      <c r="Z314" s="1">
        <v>0.99099999999999999</v>
      </c>
      <c r="AA314" s="1" t="s">
        <v>111</v>
      </c>
      <c r="AB314" s="1" t="s">
        <v>111</v>
      </c>
      <c r="AC314" s="1" t="s">
        <v>111</v>
      </c>
      <c r="AD314" s="1" t="s">
        <v>111</v>
      </c>
      <c r="AE314" s="1" t="s">
        <v>111</v>
      </c>
      <c r="AF314" s="1" t="s">
        <v>111</v>
      </c>
      <c r="AG314" s="1" t="s">
        <v>111</v>
      </c>
      <c r="AH314" s="1" t="s">
        <v>111</v>
      </c>
      <c r="AI314" s="1">
        <v>80.486000000000004</v>
      </c>
      <c r="AJ314" s="1" t="s">
        <v>111</v>
      </c>
      <c r="AK314" s="1"/>
      <c r="AL314" s="1" t="s">
        <v>111</v>
      </c>
      <c r="AM314" s="1"/>
      <c r="AN314" s="1" t="s">
        <v>111</v>
      </c>
      <c r="AO314" s="1"/>
      <c r="AP314" s="1" t="s">
        <v>111</v>
      </c>
    </row>
    <row r="315" spans="1:42" x14ac:dyDescent="0.25">
      <c r="A315" s="1">
        <v>347</v>
      </c>
      <c r="B315" s="1" t="s">
        <v>396</v>
      </c>
      <c r="C315" s="1" t="s">
        <v>103</v>
      </c>
      <c r="D315" s="1" t="s">
        <v>126</v>
      </c>
      <c r="E315" s="1" t="s">
        <v>332</v>
      </c>
      <c r="F315" s="1" t="s">
        <v>106</v>
      </c>
      <c r="G315" s="1" t="s">
        <v>107</v>
      </c>
      <c r="H315" s="1" t="s">
        <v>108</v>
      </c>
      <c r="I315" s="1">
        <v>22.98</v>
      </c>
      <c r="J315" s="1">
        <v>22.963000000000001</v>
      </c>
      <c r="K315" s="1">
        <v>1.7999999999999999E-2</v>
      </c>
      <c r="L315" s="1"/>
      <c r="M315" s="1"/>
      <c r="N315" s="1"/>
      <c r="O315" s="1"/>
      <c r="P315" s="1"/>
      <c r="Q315" s="1"/>
      <c r="R315" s="1"/>
      <c r="S315" s="1" t="s">
        <v>109</v>
      </c>
      <c r="T315" s="1">
        <v>0.505</v>
      </c>
      <c r="U315" s="1" t="s">
        <v>109</v>
      </c>
      <c r="V315" s="1">
        <v>3</v>
      </c>
      <c r="W315" s="1">
        <v>17</v>
      </c>
      <c r="X315" s="1" t="s">
        <v>110</v>
      </c>
      <c r="Y315" s="1"/>
      <c r="Z315" s="1">
        <v>0.98899999999999999</v>
      </c>
      <c r="AA315" s="1" t="s">
        <v>111</v>
      </c>
      <c r="AB315" s="1" t="s">
        <v>111</v>
      </c>
      <c r="AC315" s="1" t="s">
        <v>111</v>
      </c>
      <c r="AD315" s="1" t="s">
        <v>111</v>
      </c>
      <c r="AE315" s="1" t="s">
        <v>111</v>
      </c>
      <c r="AF315" s="1" t="s">
        <v>111</v>
      </c>
      <c r="AG315" s="1" t="s">
        <v>111</v>
      </c>
      <c r="AH315" s="1" t="s">
        <v>111</v>
      </c>
      <c r="AI315" s="1">
        <v>80.486000000000004</v>
      </c>
      <c r="AJ315" s="1" t="s">
        <v>111</v>
      </c>
      <c r="AK315" s="1"/>
      <c r="AL315" s="1" t="s">
        <v>111</v>
      </c>
      <c r="AM315" s="1"/>
      <c r="AN315" s="1" t="s">
        <v>111</v>
      </c>
      <c r="AO315" s="1"/>
      <c r="AP315" s="1" t="s">
        <v>111</v>
      </c>
    </row>
    <row r="316" spans="1:42" x14ac:dyDescent="0.25">
      <c r="A316" s="1">
        <v>348</v>
      </c>
      <c r="B316" s="1" t="s">
        <v>397</v>
      </c>
      <c r="C316" s="1" t="s">
        <v>103</v>
      </c>
      <c r="D316" s="1" t="s">
        <v>126</v>
      </c>
      <c r="E316" s="1" t="s">
        <v>332</v>
      </c>
      <c r="F316" s="1" t="s">
        <v>106</v>
      </c>
      <c r="G316" s="1" t="s">
        <v>107</v>
      </c>
      <c r="H316" s="1" t="s">
        <v>108</v>
      </c>
      <c r="I316" s="1">
        <v>22.96</v>
      </c>
      <c r="J316" s="1">
        <v>22.963000000000001</v>
      </c>
      <c r="K316" s="1">
        <v>1.7999999999999999E-2</v>
      </c>
      <c r="L316" s="1"/>
      <c r="M316" s="1"/>
      <c r="N316" s="1"/>
      <c r="O316" s="1"/>
      <c r="P316" s="1"/>
      <c r="Q316" s="1"/>
      <c r="R316" s="1"/>
      <c r="S316" s="1" t="s">
        <v>109</v>
      </c>
      <c r="T316" s="1">
        <v>0.505</v>
      </c>
      <c r="U316" s="1" t="s">
        <v>109</v>
      </c>
      <c r="V316" s="1">
        <v>3</v>
      </c>
      <c r="W316" s="1">
        <v>16</v>
      </c>
      <c r="X316" s="1" t="s">
        <v>110</v>
      </c>
      <c r="Y316" s="1"/>
      <c r="Z316" s="1">
        <v>0.99</v>
      </c>
      <c r="AA316" s="1" t="s">
        <v>111</v>
      </c>
      <c r="AB316" s="1" t="s">
        <v>111</v>
      </c>
      <c r="AC316" s="1" t="s">
        <v>111</v>
      </c>
      <c r="AD316" s="1" t="s">
        <v>111</v>
      </c>
      <c r="AE316" s="1" t="s">
        <v>111</v>
      </c>
      <c r="AF316" s="1" t="s">
        <v>111</v>
      </c>
      <c r="AG316" s="1" t="s">
        <v>111</v>
      </c>
      <c r="AH316" s="1" t="s">
        <v>111</v>
      </c>
      <c r="AI316" s="1">
        <v>80.486000000000004</v>
      </c>
      <c r="AJ316" s="1" t="s">
        <v>111</v>
      </c>
      <c r="AK316" s="1"/>
      <c r="AL316" s="1" t="s">
        <v>111</v>
      </c>
      <c r="AM316" s="1"/>
      <c r="AN316" s="1" t="s">
        <v>111</v>
      </c>
      <c r="AO316" s="1"/>
      <c r="AP316" s="1" t="s">
        <v>111</v>
      </c>
    </row>
    <row r="317" spans="1:42" x14ac:dyDescent="0.25">
      <c r="A317" s="1">
        <v>361</v>
      </c>
      <c r="B317" s="1" t="s">
        <v>398</v>
      </c>
      <c r="C317" s="1" t="s">
        <v>103</v>
      </c>
      <c r="D317" s="1" t="s">
        <v>104</v>
      </c>
      <c r="E317" s="1" t="s">
        <v>332</v>
      </c>
      <c r="F317" s="1" t="s">
        <v>106</v>
      </c>
      <c r="G317" s="1" t="s">
        <v>107</v>
      </c>
      <c r="H317" s="1" t="s">
        <v>108</v>
      </c>
      <c r="I317" s="1">
        <v>23.042999999999999</v>
      </c>
      <c r="J317" s="1">
        <v>23.071999999999999</v>
      </c>
      <c r="K317" s="1">
        <v>2.3E-2</v>
      </c>
      <c r="L317" s="1"/>
      <c r="M317" s="1"/>
      <c r="N317" s="1"/>
      <c r="O317" s="1"/>
      <c r="P317" s="1"/>
      <c r="Q317" s="1"/>
      <c r="R317" s="1"/>
      <c r="S317" s="1" t="s">
        <v>109</v>
      </c>
      <c r="T317" s="1">
        <v>0.505</v>
      </c>
      <c r="U317" s="1" t="s">
        <v>109</v>
      </c>
      <c r="V317" s="1">
        <v>3</v>
      </c>
      <c r="W317" s="1">
        <v>17</v>
      </c>
      <c r="X317" s="1" t="s">
        <v>110</v>
      </c>
      <c r="Y317" s="1"/>
      <c r="Z317" s="1">
        <v>0.98599999999999999</v>
      </c>
      <c r="AA317" s="1" t="s">
        <v>111</v>
      </c>
      <c r="AB317" s="1" t="s">
        <v>111</v>
      </c>
      <c r="AC317" s="1" t="s">
        <v>111</v>
      </c>
      <c r="AD317" s="1" t="s">
        <v>111</v>
      </c>
      <c r="AE317" s="1" t="s">
        <v>111</v>
      </c>
      <c r="AF317" s="1" t="s">
        <v>111</v>
      </c>
      <c r="AG317" s="1" t="s">
        <v>111</v>
      </c>
      <c r="AH317" s="1" t="s">
        <v>111</v>
      </c>
      <c r="AI317" s="1">
        <v>80.471999999999994</v>
      </c>
      <c r="AJ317" s="1" t="s">
        <v>111</v>
      </c>
      <c r="AK317" s="1"/>
      <c r="AL317" s="1" t="s">
        <v>111</v>
      </c>
      <c r="AM317" s="1"/>
      <c r="AN317" s="1" t="s">
        <v>111</v>
      </c>
      <c r="AO317" s="1"/>
      <c r="AP317" s="1" t="s">
        <v>111</v>
      </c>
    </row>
    <row r="318" spans="1:42" x14ac:dyDescent="0.25">
      <c r="A318" s="1">
        <v>362</v>
      </c>
      <c r="B318" s="1" t="s">
        <v>399</v>
      </c>
      <c r="C318" s="1" t="s">
        <v>103</v>
      </c>
      <c r="D318" s="1" t="s">
        <v>104</v>
      </c>
      <c r="E318" s="1" t="s">
        <v>332</v>
      </c>
      <c r="F318" s="1" t="s">
        <v>106</v>
      </c>
      <c r="G318" s="1" t="s">
        <v>107</v>
      </c>
      <c r="H318" s="1" t="s">
        <v>108</v>
      </c>
      <c r="I318" s="1">
        <v>23.084</v>
      </c>
      <c r="J318" s="1">
        <v>23.071999999999999</v>
      </c>
      <c r="K318" s="1">
        <v>2.3E-2</v>
      </c>
      <c r="L318" s="1"/>
      <c r="M318" s="1"/>
      <c r="N318" s="1"/>
      <c r="O318" s="1"/>
      <c r="P318" s="1"/>
      <c r="Q318" s="1"/>
      <c r="R318" s="1"/>
      <c r="S318" s="1" t="s">
        <v>109</v>
      </c>
      <c r="T318" s="1">
        <v>0.505</v>
      </c>
      <c r="U318" s="1" t="s">
        <v>109</v>
      </c>
      <c r="V318" s="1">
        <v>3</v>
      </c>
      <c r="W318" s="1">
        <v>16</v>
      </c>
      <c r="X318" s="1" t="s">
        <v>110</v>
      </c>
      <c r="Y318" s="1"/>
      <c r="Z318" s="1">
        <v>0.98</v>
      </c>
      <c r="AA318" s="1" t="s">
        <v>111</v>
      </c>
      <c r="AB318" s="1" t="s">
        <v>111</v>
      </c>
      <c r="AC318" s="1" t="s">
        <v>111</v>
      </c>
      <c r="AD318" s="1" t="s">
        <v>111</v>
      </c>
      <c r="AE318" s="1" t="s">
        <v>111</v>
      </c>
      <c r="AF318" s="1" t="s">
        <v>111</v>
      </c>
      <c r="AG318" s="1" t="s">
        <v>111</v>
      </c>
      <c r="AH318" s="1" t="s">
        <v>111</v>
      </c>
      <c r="AI318" s="1">
        <v>80.471999999999994</v>
      </c>
      <c r="AJ318" s="1" t="s">
        <v>111</v>
      </c>
      <c r="AK318" s="1"/>
      <c r="AL318" s="1" t="s">
        <v>111</v>
      </c>
      <c r="AM318" s="1"/>
      <c r="AN318" s="1" t="s">
        <v>111</v>
      </c>
      <c r="AO318" s="1"/>
      <c r="AP318" s="1" t="s">
        <v>111</v>
      </c>
    </row>
    <row r="319" spans="1:42" x14ac:dyDescent="0.25">
      <c r="A319" s="1">
        <v>363</v>
      </c>
      <c r="B319" s="1" t="s">
        <v>400</v>
      </c>
      <c r="C319" s="1" t="s">
        <v>103</v>
      </c>
      <c r="D319" s="1" t="s">
        <v>114</v>
      </c>
      <c r="E319" s="1" t="s">
        <v>332</v>
      </c>
      <c r="F319" s="1" t="s">
        <v>106</v>
      </c>
      <c r="G319" s="1" t="s">
        <v>107</v>
      </c>
      <c r="H319" s="1" t="s">
        <v>108</v>
      </c>
      <c r="I319" s="1">
        <v>22.777999999999999</v>
      </c>
      <c r="J319" s="1">
        <v>22.818000000000001</v>
      </c>
      <c r="K319" s="1">
        <v>5.6000000000000001E-2</v>
      </c>
      <c r="L319" s="1"/>
      <c r="M319" s="1"/>
      <c r="N319" s="1"/>
      <c r="O319" s="1"/>
      <c r="P319" s="1"/>
      <c r="Q319" s="1"/>
      <c r="R319" s="1"/>
      <c r="S319" s="1" t="s">
        <v>109</v>
      </c>
      <c r="T319" s="1">
        <v>0.505</v>
      </c>
      <c r="U319" s="1" t="s">
        <v>109</v>
      </c>
      <c r="V319" s="1">
        <v>3</v>
      </c>
      <c r="W319" s="1">
        <v>17</v>
      </c>
      <c r="X319" s="1" t="s">
        <v>110</v>
      </c>
      <c r="Y319" s="1"/>
      <c r="Z319" s="1">
        <v>0.98299999999999998</v>
      </c>
      <c r="AA319" s="1" t="s">
        <v>111</v>
      </c>
      <c r="AB319" s="1" t="s">
        <v>111</v>
      </c>
      <c r="AC319" s="1" t="s">
        <v>111</v>
      </c>
      <c r="AD319" s="1" t="s">
        <v>111</v>
      </c>
      <c r="AE319" s="1" t="s">
        <v>111</v>
      </c>
      <c r="AF319" s="1" t="s">
        <v>111</v>
      </c>
      <c r="AG319" s="1" t="s">
        <v>111</v>
      </c>
      <c r="AH319" s="1" t="s">
        <v>111</v>
      </c>
      <c r="AI319" s="1">
        <v>80.471999999999994</v>
      </c>
      <c r="AJ319" s="1" t="s">
        <v>111</v>
      </c>
      <c r="AK319" s="1"/>
      <c r="AL319" s="1" t="s">
        <v>111</v>
      </c>
      <c r="AM319" s="1"/>
      <c r="AN319" s="1" t="s">
        <v>111</v>
      </c>
      <c r="AO319" s="1"/>
      <c r="AP319" s="1" t="s">
        <v>111</v>
      </c>
    </row>
    <row r="320" spans="1:42" x14ac:dyDescent="0.25">
      <c r="A320" s="1">
        <v>364</v>
      </c>
      <c r="B320" s="1" t="s">
        <v>401</v>
      </c>
      <c r="C320" s="1" t="s">
        <v>103</v>
      </c>
      <c r="D320" s="1" t="s">
        <v>114</v>
      </c>
      <c r="E320" s="1" t="s">
        <v>332</v>
      </c>
      <c r="F320" s="1" t="s">
        <v>106</v>
      </c>
      <c r="G320" s="1" t="s">
        <v>107</v>
      </c>
      <c r="H320" s="1" t="s">
        <v>108</v>
      </c>
      <c r="I320" s="1">
        <v>22.766999999999999</v>
      </c>
      <c r="J320" s="1">
        <v>22.818000000000001</v>
      </c>
      <c r="K320" s="1">
        <v>5.6000000000000001E-2</v>
      </c>
      <c r="L320" s="1"/>
      <c r="M320" s="1"/>
      <c r="N320" s="1"/>
      <c r="O320" s="1"/>
      <c r="P320" s="1"/>
      <c r="Q320" s="1"/>
      <c r="R320" s="1"/>
      <c r="S320" s="1" t="s">
        <v>109</v>
      </c>
      <c r="T320" s="1">
        <v>0.505</v>
      </c>
      <c r="U320" s="1" t="s">
        <v>109</v>
      </c>
      <c r="V320" s="1">
        <v>3</v>
      </c>
      <c r="W320" s="1">
        <v>16</v>
      </c>
      <c r="X320" s="1" t="s">
        <v>110</v>
      </c>
      <c r="Y320" s="1"/>
      <c r="Z320" s="1">
        <v>0.98199999999999998</v>
      </c>
      <c r="AA320" s="1" t="s">
        <v>111</v>
      </c>
      <c r="AB320" s="1" t="s">
        <v>111</v>
      </c>
      <c r="AC320" s="1" t="s">
        <v>111</v>
      </c>
      <c r="AD320" s="1" t="s">
        <v>111</v>
      </c>
      <c r="AE320" s="1" t="s">
        <v>111</v>
      </c>
      <c r="AF320" s="1" t="s">
        <v>111</v>
      </c>
      <c r="AG320" s="1" t="s">
        <v>111</v>
      </c>
      <c r="AH320" s="1" t="s">
        <v>111</v>
      </c>
      <c r="AI320" s="1">
        <v>80.471999999999994</v>
      </c>
      <c r="AJ320" s="1" t="s">
        <v>111</v>
      </c>
      <c r="AK320" s="1"/>
      <c r="AL320" s="1" t="s">
        <v>111</v>
      </c>
      <c r="AM320" s="1"/>
      <c r="AN320" s="1" t="s">
        <v>111</v>
      </c>
      <c r="AO320" s="1"/>
      <c r="AP320" s="1" t="s">
        <v>111</v>
      </c>
    </row>
    <row r="321" spans="1:43" x14ac:dyDescent="0.25">
      <c r="A321" s="1">
        <v>365</v>
      </c>
      <c r="B321" s="1" t="s">
        <v>402</v>
      </c>
      <c r="C321" s="1" t="s">
        <v>103</v>
      </c>
      <c r="D321" s="1" t="s">
        <v>117</v>
      </c>
      <c r="E321" s="1" t="s">
        <v>332</v>
      </c>
      <c r="F321" s="1" t="s">
        <v>106</v>
      </c>
      <c r="G321" s="1" t="s">
        <v>107</v>
      </c>
      <c r="H321" s="1" t="s">
        <v>108</v>
      </c>
      <c r="I321" s="1">
        <v>22.52</v>
      </c>
      <c r="J321" s="1">
        <v>22.533999999999999</v>
      </c>
      <c r="K321" s="1">
        <v>5.8000000000000003E-2</v>
      </c>
      <c r="L321" s="1"/>
      <c r="M321" s="1"/>
      <c r="N321" s="1"/>
      <c r="O321" s="1"/>
      <c r="P321" s="1"/>
      <c r="Q321" s="1"/>
      <c r="R321" s="1"/>
      <c r="S321" s="1" t="s">
        <v>109</v>
      </c>
      <c r="T321" s="1">
        <v>0.505</v>
      </c>
      <c r="U321" s="1" t="s">
        <v>109</v>
      </c>
      <c r="V321" s="1">
        <v>3</v>
      </c>
      <c r="W321" s="1">
        <v>16</v>
      </c>
      <c r="X321" s="1" t="s">
        <v>110</v>
      </c>
      <c r="Y321" s="1"/>
      <c r="Z321" s="1">
        <v>0.98399999999999999</v>
      </c>
      <c r="AA321" s="1" t="s">
        <v>111</v>
      </c>
      <c r="AB321" s="1" t="s">
        <v>111</v>
      </c>
      <c r="AC321" s="1" t="s">
        <v>111</v>
      </c>
      <c r="AD321" s="1" t="s">
        <v>111</v>
      </c>
      <c r="AE321" s="1" t="s">
        <v>111</v>
      </c>
      <c r="AF321" s="1" t="s">
        <v>111</v>
      </c>
      <c r="AG321" s="1" t="s">
        <v>111</v>
      </c>
      <c r="AH321" s="1" t="s">
        <v>111</v>
      </c>
      <c r="AI321" s="1">
        <v>80.402000000000001</v>
      </c>
      <c r="AJ321" s="1" t="s">
        <v>111</v>
      </c>
      <c r="AK321" s="1"/>
      <c r="AL321" s="1" t="s">
        <v>111</v>
      </c>
      <c r="AM321" s="1"/>
      <c r="AN321" s="1" t="s">
        <v>111</v>
      </c>
      <c r="AO321" s="1"/>
      <c r="AP321" s="1" t="s">
        <v>111</v>
      </c>
    </row>
    <row r="322" spans="1:43" x14ac:dyDescent="0.25">
      <c r="A322" s="1">
        <v>366</v>
      </c>
      <c r="B322" s="1" t="s">
        <v>403</v>
      </c>
      <c r="C322" s="1" t="s">
        <v>103</v>
      </c>
      <c r="D322" s="1" t="s">
        <v>117</v>
      </c>
      <c r="E322" s="1" t="s">
        <v>332</v>
      </c>
      <c r="F322" s="1" t="s">
        <v>106</v>
      </c>
      <c r="G322" s="1" t="s">
        <v>107</v>
      </c>
      <c r="H322" s="1" t="s">
        <v>108</v>
      </c>
      <c r="I322" s="1">
        <v>22.594999999999999</v>
      </c>
      <c r="J322" s="1">
        <v>22.533999999999999</v>
      </c>
      <c r="K322" s="1">
        <v>5.8000000000000003E-2</v>
      </c>
      <c r="L322" s="1"/>
      <c r="M322" s="1"/>
      <c r="N322" s="1"/>
      <c r="O322" s="1"/>
      <c r="P322" s="1"/>
      <c r="Q322" s="1"/>
      <c r="R322" s="1"/>
      <c r="S322" s="1" t="s">
        <v>109</v>
      </c>
      <c r="T322" s="1">
        <v>0.505</v>
      </c>
      <c r="U322" s="1" t="s">
        <v>109</v>
      </c>
      <c r="V322" s="1">
        <v>3</v>
      </c>
      <c r="W322" s="1">
        <v>15</v>
      </c>
      <c r="X322" s="1" t="s">
        <v>110</v>
      </c>
      <c r="Y322" s="1"/>
      <c r="Z322" s="1">
        <v>0.98699999999999999</v>
      </c>
      <c r="AA322" s="1" t="s">
        <v>111</v>
      </c>
      <c r="AB322" s="1" t="s">
        <v>111</v>
      </c>
      <c r="AC322" s="1" t="s">
        <v>111</v>
      </c>
      <c r="AD322" s="1" t="s">
        <v>111</v>
      </c>
      <c r="AE322" s="1" t="s">
        <v>111</v>
      </c>
      <c r="AF322" s="1" t="s">
        <v>111</v>
      </c>
      <c r="AG322" s="1" t="s">
        <v>111</v>
      </c>
      <c r="AH322" s="1" t="s">
        <v>111</v>
      </c>
      <c r="AI322" s="1">
        <v>80.402000000000001</v>
      </c>
      <c r="AJ322" s="1" t="s">
        <v>111</v>
      </c>
      <c r="AK322" s="1"/>
      <c r="AL322" s="1" t="s">
        <v>111</v>
      </c>
      <c r="AM322" s="1"/>
      <c r="AN322" s="1" t="s">
        <v>111</v>
      </c>
      <c r="AO322" s="1"/>
      <c r="AP322" s="1" t="s">
        <v>111</v>
      </c>
    </row>
    <row r="323" spans="1:43" x14ac:dyDescent="0.25">
      <c r="A323" s="1">
        <v>367</v>
      </c>
      <c r="B323" s="1" t="s">
        <v>404</v>
      </c>
      <c r="C323" s="1" t="s">
        <v>103</v>
      </c>
      <c r="D323" s="1" t="s">
        <v>120</v>
      </c>
      <c r="E323" s="1" t="s">
        <v>332</v>
      </c>
      <c r="F323" s="1" t="s">
        <v>106</v>
      </c>
      <c r="G323" s="1" t="s">
        <v>107</v>
      </c>
      <c r="H323" s="1" t="s">
        <v>108</v>
      </c>
      <c r="I323" s="1">
        <v>22.678000000000001</v>
      </c>
      <c r="J323" s="1">
        <v>22.652999999999999</v>
      </c>
      <c r="K323" s="1">
        <v>6.6000000000000003E-2</v>
      </c>
      <c r="L323" s="1"/>
      <c r="M323" s="1"/>
      <c r="N323" s="1"/>
      <c r="O323" s="1"/>
      <c r="P323" s="1"/>
      <c r="Q323" s="1"/>
      <c r="R323" s="1"/>
      <c r="S323" s="1" t="s">
        <v>109</v>
      </c>
      <c r="T323" s="1">
        <v>0.505</v>
      </c>
      <c r="U323" s="1" t="s">
        <v>109</v>
      </c>
      <c r="V323" s="1">
        <v>3</v>
      </c>
      <c r="W323" s="1">
        <v>16</v>
      </c>
      <c r="X323" s="1" t="s">
        <v>110</v>
      </c>
      <c r="Y323" s="1"/>
      <c r="Z323" s="1">
        <v>0.98699999999999999</v>
      </c>
      <c r="AA323" s="1" t="s">
        <v>111</v>
      </c>
      <c r="AB323" s="1" t="s">
        <v>111</v>
      </c>
      <c r="AC323" s="1" t="s">
        <v>111</v>
      </c>
      <c r="AD323" s="1" t="s">
        <v>111</v>
      </c>
      <c r="AE323" s="1" t="s">
        <v>111</v>
      </c>
      <c r="AF323" s="1" t="s">
        <v>111</v>
      </c>
      <c r="AG323" s="1" t="s">
        <v>111</v>
      </c>
      <c r="AH323" s="1" t="s">
        <v>111</v>
      </c>
      <c r="AI323" s="1">
        <v>80.402000000000001</v>
      </c>
      <c r="AJ323" s="1" t="s">
        <v>111</v>
      </c>
      <c r="AK323" s="1"/>
      <c r="AL323" s="1" t="s">
        <v>111</v>
      </c>
      <c r="AM323" s="1"/>
      <c r="AN323" s="1" t="s">
        <v>111</v>
      </c>
      <c r="AO323" s="1"/>
      <c r="AP323" s="1" t="s">
        <v>111</v>
      </c>
    </row>
    <row r="324" spans="1:43" x14ac:dyDescent="0.25">
      <c r="A324" s="1">
        <v>368</v>
      </c>
      <c r="B324" s="1" t="s">
        <v>405</v>
      </c>
      <c r="C324" s="1" t="s">
        <v>103</v>
      </c>
      <c r="D324" s="1" t="s">
        <v>120</v>
      </c>
      <c r="E324" s="1" t="s">
        <v>332</v>
      </c>
      <c r="F324" s="1" t="s">
        <v>106</v>
      </c>
      <c r="G324" s="1" t="s">
        <v>107</v>
      </c>
      <c r="H324" s="1" t="s">
        <v>108</v>
      </c>
      <c r="I324" s="1">
        <v>22.582000000000001</v>
      </c>
      <c r="J324" s="1">
        <v>22.652999999999999</v>
      </c>
      <c r="K324" s="1">
        <v>6.6000000000000003E-2</v>
      </c>
      <c r="L324" s="1"/>
      <c r="M324" s="1"/>
      <c r="N324" s="1"/>
      <c r="O324" s="1"/>
      <c r="P324" s="1"/>
      <c r="Q324" s="1"/>
      <c r="R324" s="1"/>
      <c r="S324" s="1" t="s">
        <v>109</v>
      </c>
      <c r="T324" s="1">
        <v>0.505</v>
      </c>
      <c r="U324" s="1" t="s">
        <v>109</v>
      </c>
      <c r="V324" s="1">
        <v>3</v>
      </c>
      <c r="W324" s="1">
        <v>16</v>
      </c>
      <c r="X324" s="1" t="s">
        <v>110</v>
      </c>
      <c r="Y324" s="1"/>
      <c r="Z324" s="1">
        <v>0.98799999999999999</v>
      </c>
      <c r="AA324" s="1" t="s">
        <v>111</v>
      </c>
      <c r="AB324" s="1" t="s">
        <v>111</v>
      </c>
      <c r="AC324" s="1" t="s">
        <v>111</v>
      </c>
      <c r="AD324" s="1" t="s">
        <v>111</v>
      </c>
      <c r="AE324" s="1" t="s">
        <v>111</v>
      </c>
      <c r="AF324" s="1" t="s">
        <v>111</v>
      </c>
      <c r="AG324" s="1" t="s">
        <v>111</v>
      </c>
      <c r="AH324" s="1" t="s">
        <v>111</v>
      </c>
      <c r="AI324" s="1">
        <v>80.402000000000001</v>
      </c>
      <c r="AJ324" s="1" t="s">
        <v>111</v>
      </c>
      <c r="AK324" s="1"/>
      <c r="AL324" s="1" t="s">
        <v>111</v>
      </c>
      <c r="AM324" s="1"/>
      <c r="AN324" s="1" t="s">
        <v>111</v>
      </c>
      <c r="AO324" s="1"/>
      <c r="AP324" s="1" t="s">
        <v>111</v>
      </c>
    </row>
    <row r="325" spans="1:43" x14ac:dyDescent="0.25">
      <c r="A325" s="1">
        <v>369</v>
      </c>
      <c r="B325" s="1" t="s">
        <v>406</v>
      </c>
      <c r="C325" s="1" t="s">
        <v>103</v>
      </c>
      <c r="D325" s="1" t="s">
        <v>123</v>
      </c>
      <c r="E325" s="1" t="s">
        <v>332</v>
      </c>
      <c r="F325" s="1" t="s">
        <v>106</v>
      </c>
      <c r="G325" s="1" t="s">
        <v>107</v>
      </c>
      <c r="H325" s="1" t="s">
        <v>108</v>
      </c>
      <c r="I325" s="1">
        <v>23.096</v>
      </c>
      <c r="J325" s="1">
        <v>23.082999999999998</v>
      </c>
      <c r="K325" s="1">
        <v>8.6999999999999994E-2</v>
      </c>
      <c r="L325" s="1"/>
      <c r="M325" s="1"/>
      <c r="N325" s="1"/>
      <c r="O325" s="1"/>
      <c r="P325" s="1"/>
      <c r="Q325" s="1"/>
      <c r="R325" s="1"/>
      <c r="S325" s="1" t="s">
        <v>109</v>
      </c>
      <c r="T325" s="1">
        <v>0.505</v>
      </c>
      <c r="U325" s="1" t="s">
        <v>109</v>
      </c>
      <c r="V325" s="1">
        <v>3</v>
      </c>
      <c r="W325" s="1">
        <v>16</v>
      </c>
      <c r="X325" s="1" t="s">
        <v>110</v>
      </c>
      <c r="Y325" s="1"/>
      <c r="Z325" s="1">
        <v>0.98499999999999999</v>
      </c>
      <c r="AA325" s="1" t="s">
        <v>111</v>
      </c>
      <c r="AB325" s="1" t="s">
        <v>111</v>
      </c>
      <c r="AC325" s="1" t="s">
        <v>111</v>
      </c>
      <c r="AD325" s="1" t="s">
        <v>111</v>
      </c>
      <c r="AE325" s="1" t="s">
        <v>111</v>
      </c>
      <c r="AF325" s="1" t="s">
        <v>111</v>
      </c>
      <c r="AG325" s="1" t="s">
        <v>111</v>
      </c>
      <c r="AH325" s="1" t="s">
        <v>111</v>
      </c>
      <c r="AI325" s="1">
        <v>80.486000000000004</v>
      </c>
      <c r="AJ325" s="1" t="s">
        <v>111</v>
      </c>
      <c r="AK325" s="1"/>
      <c r="AL325" s="1" t="s">
        <v>111</v>
      </c>
      <c r="AM325" s="1"/>
      <c r="AN325" s="1" t="s">
        <v>111</v>
      </c>
      <c r="AO325" s="1"/>
      <c r="AP325" s="1" t="s">
        <v>111</v>
      </c>
    </row>
    <row r="326" spans="1:43" x14ac:dyDescent="0.25">
      <c r="A326" s="1">
        <v>370</v>
      </c>
      <c r="B326" s="1" t="s">
        <v>407</v>
      </c>
      <c r="C326" s="1" t="s">
        <v>103</v>
      </c>
      <c r="D326" s="1" t="s">
        <v>123</v>
      </c>
      <c r="E326" s="1" t="s">
        <v>332</v>
      </c>
      <c r="F326" s="1" t="s">
        <v>106</v>
      </c>
      <c r="G326" s="1" t="s">
        <v>107</v>
      </c>
      <c r="H326" s="1" t="s">
        <v>108</v>
      </c>
      <c r="I326" s="1">
        <v>23.094000000000001</v>
      </c>
      <c r="J326" s="1">
        <v>23.082999999999998</v>
      </c>
      <c r="K326" s="1">
        <v>8.6999999999999994E-2</v>
      </c>
      <c r="L326" s="1"/>
      <c r="M326" s="1"/>
      <c r="N326" s="1"/>
      <c r="O326" s="1"/>
      <c r="P326" s="1"/>
      <c r="Q326" s="1"/>
      <c r="R326" s="1"/>
      <c r="S326" s="1" t="s">
        <v>109</v>
      </c>
      <c r="T326" s="1">
        <v>0.505</v>
      </c>
      <c r="U326" s="1" t="s">
        <v>109</v>
      </c>
      <c r="V326" s="1">
        <v>3</v>
      </c>
      <c r="W326" s="1">
        <v>16</v>
      </c>
      <c r="X326" s="1" t="s">
        <v>110</v>
      </c>
      <c r="Y326" s="1"/>
      <c r="Z326" s="1">
        <v>0.98599999999999999</v>
      </c>
      <c r="AA326" s="1" t="s">
        <v>111</v>
      </c>
      <c r="AB326" s="1" t="s">
        <v>111</v>
      </c>
      <c r="AC326" s="1" t="s">
        <v>111</v>
      </c>
      <c r="AD326" s="1" t="s">
        <v>111</v>
      </c>
      <c r="AE326" s="1" t="s">
        <v>111</v>
      </c>
      <c r="AF326" s="1" t="s">
        <v>111</v>
      </c>
      <c r="AG326" s="1" t="s">
        <v>111</v>
      </c>
      <c r="AH326" s="1" t="s">
        <v>111</v>
      </c>
      <c r="AI326" s="1">
        <v>80.486000000000004</v>
      </c>
      <c r="AJ326" s="1" t="s">
        <v>111</v>
      </c>
      <c r="AK326" s="1"/>
      <c r="AL326" s="1" t="s">
        <v>111</v>
      </c>
      <c r="AM326" s="1"/>
      <c r="AN326" s="1" t="s">
        <v>111</v>
      </c>
      <c r="AO326" s="1"/>
      <c r="AP326" s="1" t="s">
        <v>111</v>
      </c>
    </row>
    <row r="327" spans="1:43" x14ac:dyDescent="0.25">
      <c r="A327" s="1">
        <v>371</v>
      </c>
      <c r="B327" s="1" t="s">
        <v>408</v>
      </c>
      <c r="C327" s="1" t="s">
        <v>103</v>
      </c>
      <c r="D327" s="1" t="s">
        <v>126</v>
      </c>
      <c r="E327" s="1" t="s">
        <v>332</v>
      </c>
      <c r="F327" s="1" t="s">
        <v>106</v>
      </c>
      <c r="G327" s="1" t="s">
        <v>107</v>
      </c>
      <c r="H327" s="1" t="s">
        <v>108</v>
      </c>
      <c r="I327" s="1">
        <v>22.972000000000001</v>
      </c>
      <c r="J327" s="1">
        <v>22.963000000000001</v>
      </c>
      <c r="K327" s="1">
        <v>1.7999999999999999E-2</v>
      </c>
      <c r="L327" s="1"/>
      <c r="M327" s="1"/>
      <c r="N327" s="1"/>
      <c r="O327" s="1"/>
      <c r="P327" s="1"/>
      <c r="Q327" s="1"/>
      <c r="R327" s="1"/>
      <c r="S327" s="1" t="s">
        <v>109</v>
      </c>
      <c r="T327" s="1">
        <v>0.505</v>
      </c>
      <c r="U327" s="1" t="s">
        <v>109</v>
      </c>
      <c r="V327" s="1">
        <v>3</v>
      </c>
      <c r="W327" s="1">
        <v>17</v>
      </c>
      <c r="X327" s="1" t="s">
        <v>110</v>
      </c>
      <c r="Y327" s="1"/>
      <c r="Z327" s="1">
        <v>0.98899999999999999</v>
      </c>
      <c r="AA327" s="1" t="s">
        <v>111</v>
      </c>
      <c r="AB327" s="1" t="s">
        <v>111</v>
      </c>
      <c r="AC327" s="1" t="s">
        <v>111</v>
      </c>
      <c r="AD327" s="1" t="s">
        <v>111</v>
      </c>
      <c r="AE327" s="1" t="s">
        <v>111</v>
      </c>
      <c r="AF327" s="1" t="s">
        <v>111</v>
      </c>
      <c r="AG327" s="1" t="s">
        <v>111</v>
      </c>
      <c r="AH327" s="1" t="s">
        <v>111</v>
      </c>
      <c r="AI327" s="1">
        <v>80.486000000000004</v>
      </c>
      <c r="AJ327" s="1" t="s">
        <v>111</v>
      </c>
      <c r="AK327" s="1"/>
      <c r="AL327" s="1" t="s">
        <v>111</v>
      </c>
      <c r="AM327" s="1"/>
      <c r="AN327" s="1" t="s">
        <v>111</v>
      </c>
      <c r="AO327" s="1"/>
      <c r="AP327" s="1" t="s">
        <v>111</v>
      </c>
    </row>
    <row r="328" spans="1:43" x14ac:dyDescent="0.25">
      <c r="A328" s="1">
        <v>372</v>
      </c>
      <c r="B328" s="1" t="s">
        <v>409</v>
      </c>
      <c r="C328" s="1" t="s">
        <v>103</v>
      </c>
      <c r="D328" s="1" t="s">
        <v>126</v>
      </c>
      <c r="E328" s="1" t="s">
        <v>332</v>
      </c>
      <c r="F328" s="1" t="s">
        <v>106</v>
      </c>
      <c r="G328" s="1" t="s">
        <v>107</v>
      </c>
      <c r="H328" s="1" t="s">
        <v>108</v>
      </c>
      <c r="I328" s="1">
        <v>22.937999999999999</v>
      </c>
      <c r="J328" s="1">
        <v>22.963000000000001</v>
      </c>
      <c r="K328" s="1">
        <v>1.7999999999999999E-2</v>
      </c>
      <c r="L328" s="1"/>
      <c r="M328" s="1"/>
      <c r="N328" s="1"/>
      <c r="O328" s="1"/>
      <c r="P328" s="1"/>
      <c r="Q328" s="1"/>
      <c r="R328" s="1"/>
      <c r="S328" s="1" t="s">
        <v>109</v>
      </c>
      <c r="T328" s="1">
        <v>0.505</v>
      </c>
      <c r="U328" s="1" t="s">
        <v>109</v>
      </c>
      <c r="V328" s="1">
        <v>3</v>
      </c>
      <c r="W328" s="1">
        <v>16</v>
      </c>
      <c r="X328" s="1" t="s">
        <v>110</v>
      </c>
      <c r="Y328" s="1"/>
      <c r="Z328" s="1">
        <v>0.98499999999999999</v>
      </c>
      <c r="AA328" s="1" t="s">
        <v>111</v>
      </c>
      <c r="AB328" s="1" t="s">
        <v>111</v>
      </c>
      <c r="AC328" s="1" t="s">
        <v>111</v>
      </c>
      <c r="AD328" s="1" t="s">
        <v>111</v>
      </c>
      <c r="AE328" s="1" t="s">
        <v>111</v>
      </c>
      <c r="AF328" s="1" t="s">
        <v>111</v>
      </c>
      <c r="AG328" s="1" t="s">
        <v>111</v>
      </c>
      <c r="AH328" s="1" t="s">
        <v>111</v>
      </c>
      <c r="AI328" s="1">
        <v>80.486000000000004</v>
      </c>
      <c r="AJ328" s="1" t="s">
        <v>111</v>
      </c>
      <c r="AK328" s="1"/>
      <c r="AL328" s="1" t="s">
        <v>111</v>
      </c>
      <c r="AM328" s="1"/>
      <c r="AN328" s="1" t="s">
        <v>111</v>
      </c>
      <c r="AO328" s="1"/>
      <c r="AP328" s="1" t="s">
        <v>111</v>
      </c>
    </row>
    <row r="333" spans="1:43" x14ac:dyDescent="0.25">
      <c r="A333" s="1" t="s">
        <v>0</v>
      </c>
      <c r="B333" s="1" t="s">
        <v>1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 t="s">
        <v>2</v>
      </c>
      <c r="B334" s="1" t="s">
        <v>3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 t="s">
        <v>4</v>
      </c>
      <c r="B335" s="2">
        <v>46044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 t="s">
        <v>5</v>
      </c>
      <c r="B336" s="1" t="s">
        <v>3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 t="s">
        <v>6</v>
      </c>
      <c r="B337" s="2">
        <v>46044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 t="s">
        <v>7</v>
      </c>
      <c r="B338" s="1" t="s">
        <v>3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 t="s">
        <v>8</v>
      </c>
      <c r="B339" s="2">
        <v>46044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 t="s">
        <v>9</v>
      </c>
      <c r="B340" s="1" t="s">
        <v>3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 t="s">
        <v>10</v>
      </c>
      <c r="B341" s="2">
        <v>46044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 t="s">
        <v>11</v>
      </c>
      <c r="B342" s="1" t="s">
        <v>3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 t="s">
        <v>12</v>
      </c>
      <c r="B343" s="2">
        <v>46044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 t="s">
        <v>13</v>
      </c>
      <c r="B344" s="1" t="s">
        <v>3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 t="s">
        <v>14</v>
      </c>
      <c r="B345" s="2">
        <v>46044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 t="s">
        <v>15</v>
      </c>
      <c r="B346" s="1" t="s">
        <v>3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 t="s">
        <v>16</v>
      </c>
      <c r="B347" s="2">
        <v>46044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 t="s">
        <v>17</v>
      </c>
      <c r="B348" s="1" t="s">
        <v>3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 t="s">
        <v>18</v>
      </c>
      <c r="B349" s="2">
        <v>46044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 t="s">
        <v>19</v>
      </c>
      <c r="B350" s="1" t="s">
        <v>3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 t="s">
        <v>20</v>
      </c>
      <c r="B351" s="2">
        <v>46044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 t="s">
        <v>21</v>
      </c>
      <c r="B352" s="1" t="s">
        <v>3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 t="s">
        <v>22</v>
      </c>
      <c r="B353" s="2">
        <v>46044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 t="s">
        <v>23</v>
      </c>
      <c r="B354" s="1" t="s">
        <v>3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 t="s">
        <v>24</v>
      </c>
      <c r="B355" s="2">
        <v>46044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 t="s">
        <v>25</v>
      </c>
      <c r="B356" s="1" t="s">
        <v>3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 t="s">
        <v>26</v>
      </c>
      <c r="B357" s="2">
        <v>46044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 t="s">
        <v>27</v>
      </c>
      <c r="B358" s="1" t="s">
        <v>3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 t="s">
        <v>28</v>
      </c>
      <c r="B359" s="2">
        <v>46044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 t="s">
        <v>29</v>
      </c>
      <c r="B360" s="1" t="s">
        <v>30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 t="s">
        <v>31</v>
      </c>
      <c r="B361" s="1" t="s">
        <v>410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 t="s">
        <v>33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 t="s">
        <v>34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 t="s">
        <v>35</v>
      </c>
      <c r="B364" s="1" t="s">
        <v>411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 t="s">
        <v>37</v>
      </c>
      <c r="B365" s="1" t="s">
        <v>412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 t="s">
        <v>39</v>
      </c>
      <c r="B366" s="1" t="s">
        <v>413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 t="s">
        <v>41</v>
      </c>
      <c r="B367" s="1" t="s">
        <v>42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 t="s">
        <v>43</v>
      </c>
      <c r="B368" s="1" t="s">
        <v>414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 t="s">
        <v>45</v>
      </c>
      <c r="B369" s="1">
        <v>272533911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 t="s">
        <v>46</v>
      </c>
      <c r="B370" s="1" t="s">
        <v>47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 t="s">
        <v>48</v>
      </c>
      <c r="B371" s="1" t="s">
        <v>49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 t="s">
        <v>50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 t="s">
        <v>51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 t="s">
        <v>52</v>
      </c>
      <c r="B374" s="1" t="s">
        <v>53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 t="s">
        <v>54</v>
      </c>
      <c r="B375" s="1" t="b">
        <v>1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 t="s">
        <v>55</v>
      </c>
      <c r="B376" s="1" t="s">
        <v>56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 t="s">
        <v>57</v>
      </c>
      <c r="B377" s="1" t="s">
        <v>58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 t="s">
        <v>59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 t="s">
        <v>60</v>
      </c>
      <c r="B380" s="1" t="s">
        <v>61</v>
      </c>
      <c r="C380" s="1" t="s">
        <v>62</v>
      </c>
      <c r="D380" s="1" t="s">
        <v>63</v>
      </c>
      <c r="E380" s="1" t="s">
        <v>64</v>
      </c>
      <c r="F380" s="1" t="s">
        <v>65</v>
      </c>
      <c r="G380" s="1" t="s">
        <v>66</v>
      </c>
      <c r="H380" s="1" t="s">
        <v>67</v>
      </c>
      <c r="I380" s="1" t="s">
        <v>68</v>
      </c>
      <c r="J380" s="1" t="s">
        <v>69</v>
      </c>
      <c r="K380" s="1" t="s">
        <v>70</v>
      </c>
      <c r="L380" s="1" t="s">
        <v>71</v>
      </c>
      <c r="M380" s="1" t="s">
        <v>72</v>
      </c>
      <c r="N380" s="1" t="s">
        <v>73</v>
      </c>
      <c r="O380" s="1" t="s">
        <v>74</v>
      </c>
      <c r="P380" s="1" t="s">
        <v>75</v>
      </c>
      <c r="Q380" s="1" t="s">
        <v>76</v>
      </c>
      <c r="R380" s="1" t="s">
        <v>77</v>
      </c>
      <c r="S380" s="1" t="s">
        <v>78</v>
      </c>
      <c r="T380" s="1" t="s">
        <v>79</v>
      </c>
      <c r="U380" s="1" t="s">
        <v>80</v>
      </c>
      <c r="V380" s="1" t="s">
        <v>81</v>
      </c>
      <c r="W380" s="1" t="s">
        <v>82</v>
      </c>
      <c r="X380" s="1" t="s">
        <v>83</v>
      </c>
      <c r="Y380" s="1" t="s">
        <v>84</v>
      </c>
      <c r="Z380" s="1" t="s">
        <v>85</v>
      </c>
      <c r="AA380" s="1" t="s">
        <v>86</v>
      </c>
      <c r="AB380" s="1" t="s">
        <v>88</v>
      </c>
      <c r="AC380" s="1" t="s">
        <v>90</v>
      </c>
      <c r="AD380" s="1" t="s">
        <v>87</v>
      </c>
      <c r="AE380" s="1" t="s">
        <v>92</v>
      </c>
      <c r="AF380" s="1" t="s">
        <v>91</v>
      </c>
      <c r="AG380" s="1" t="s">
        <v>89</v>
      </c>
      <c r="AH380" s="1" t="s">
        <v>93</v>
      </c>
      <c r="AI380" s="1" t="s">
        <v>94</v>
      </c>
      <c r="AJ380" s="1" t="s">
        <v>415</v>
      </c>
      <c r="AK380" s="1" t="s">
        <v>96</v>
      </c>
      <c r="AL380" s="1" t="s">
        <v>101</v>
      </c>
      <c r="AM380" s="1" t="s">
        <v>98</v>
      </c>
      <c r="AN380" s="1" t="s">
        <v>95</v>
      </c>
      <c r="AO380" s="1" t="s">
        <v>100</v>
      </c>
      <c r="AP380" s="1" t="s">
        <v>97</v>
      </c>
      <c r="AQ380" s="1" t="s">
        <v>99</v>
      </c>
    </row>
    <row r="381" spans="1:43" x14ac:dyDescent="0.25">
      <c r="A381" s="1">
        <v>1</v>
      </c>
      <c r="B381" s="1" t="s">
        <v>102</v>
      </c>
      <c r="C381" s="1" t="s">
        <v>103</v>
      </c>
      <c r="D381" s="1" t="s">
        <v>416</v>
      </c>
      <c r="E381" s="1" t="s">
        <v>105</v>
      </c>
      <c r="F381" s="1" t="s">
        <v>106</v>
      </c>
      <c r="G381" s="1" t="s">
        <v>107</v>
      </c>
      <c r="H381" s="1" t="s">
        <v>108</v>
      </c>
      <c r="I381" s="1">
        <v>22.887</v>
      </c>
      <c r="J381" s="1">
        <v>23.013999999999999</v>
      </c>
      <c r="K381" s="1">
        <v>0.11600000000000001</v>
      </c>
      <c r="L381" s="1"/>
      <c r="M381" s="1"/>
      <c r="N381" s="1"/>
      <c r="O381" s="1"/>
      <c r="P381" s="1"/>
      <c r="Q381" s="1"/>
      <c r="R381" s="1"/>
      <c r="S381" s="1" t="s">
        <v>109</v>
      </c>
      <c r="T381" s="1">
        <v>0.44700000000000001</v>
      </c>
      <c r="U381" s="1" t="s">
        <v>109</v>
      </c>
      <c r="V381" s="1">
        <v>3</v>
      </c>
      <c r="W381" s="1">
        <v>16</v>
      </c>
      <c r="X381" s="1" t="s">
        <v>110</v>
      </c>
      <c r="Y381" s="1"/>
      <c r="Z381" s="1">
        <v>0.98199999999999998</v>
      </c>
      <c r="AA381" s="1" t="s">
        <v>111</v>
      </c>
      <c r="AB381" s="1" t="s">
        <v>111</v>
      </c>
      <c r="AC381" s="1" t="s">
        <v>111</v>
      </c>
      <c r="AD381" s="1" t="s">
        <v>111</v>
      </c>
      <c r="AE381" s="1" t="s">
        <v>111</v>
      </c>
      <c r="AF381" s="1" t="s">
        <v>111</v>
      </c>
      <c r="AG381" s="1" t="s">
        <v>111</v>
      </c>
      <c r="AH381" s="1" t="s">
        <v>111</v>
      </c>
      <c r="AI381" s="1">
        <v>82.13</v>
      </c>
      <c r="AJ381" s="1" t="s">
        <v>111</v>
      </c>
      <c r="AK381" s="1"/>
      <c r="AL381" s="1" t="s">
        <v>111</v>
      </c>
      <c r="AM381" s="1"/>
      <c r="AN381" s="1" t="s">
        <v>111</v>
      </c>
      <c r="AO381" s="1"/>
      <c r="AP381" s="1" t="s">
        <v>111</v>
      </c>
      <c r="AQ381" s="1" t="s">
        <v>111</v>
      </c>
    </row>
    <row r="382" spans="1:43" x14ac:dyDescent="0.25">
      <c r="A382" s="1">
        <v>2</v>
      </c>
      <c r="B382" s="1" t="s">
        <v>112</v>
      </c>
      <c r="C382" s="1" t="s">
        <v>103</v>
      </c>
      <c r="D382" s="1" t="s">
        <v>416</v>
      </c>
      <c r="E382" s="1" t="s">
        <v>105</v>
      </c>
      <c r="F382" s="1" t="s">
        <v>106</v>
      </c>
      <c r="G382" s="1" t="s">
        <v>107</v>
      </c>
      <c r="H382" s="1" t="s">
        <v>108</v>
      </c>
      <c r="I382" s="1">
        <v>22.984999999999999</v>
      </c>
      <c r="J382" s="1">
        <v>23.013999999999999</v>
      </c>
      <c r="K382" s="1">
        <v>0.11600000000000001</v>
      </c>
      <c r="L382" s="1"/>
      <c r="M382" s="1"/>
      <c r="N382" s="1"/>
      <c r="O382" s="1"/>
      <c r="P382" s="1"/>
      <c r="Q382" s="1"/>
      <c r="R382" s="1"/>
      <c r="S382" s="1" t="s">
        <v>109</v>
      </c>
      <c r="T382" s="1">
        <v>0.44700000000000001</v>
      </c>
      <c r="U382" s="1" t="s">
        <v>109</v>
      </c>
      <c r="V382" s="1">
        <v>3</v>
      </c>
      <c r="W382" s="1">
        <v>16</v>
      </c>
      <c r="X382" s="1" t="s">
        <v>110</v>
      </c>
      <c r="Y382" s="1"/>
      <c r="Z382" s="1">
        <v>0.98099999999999998</v>
      </c>
      <c r="AA382" s="1" t="s">
        <v>111</v>
      </c>
      <c r="AB382" s="1" t="s">
        <v>111</v>
      </c>
      <c r="AC382" s="1" t="s">
        <v>111</v>
      </c>
      <c r="AD382" s="1" t="s">
        <v>111</v>
      </c>
      <c r="AE382" s="1" t="s">
        <v>111</v>
      </c>
      <c r="AF382" s="1" t="s">
        <v>111</v>
      </c>
      <c r="AG382" s="1" t="s">
        <v>111</v>
      </c>
      <c r="AH382" s="1" t="s">
        <v>111</v>
      </c>
      <c r="AI382" s="1">
        <v>82.13</v>
      </c>
      <c r="AJ382" s="1" t="s">
        <v>111</v>
      </c>
      <c r="AK382" s="1"/>
      <c r="AL382" s="1" t="s">
        <v>111</v>
      </c>
      <c r="AM382" s="1"/>
      <c r="AN382" s="1" t="s">
        <v>111</v>
      </c>
      <c r="AO382" s="1"/>
      <c r="AP382" s="1" t="s">
        <v>111</v>
      </c>
      <c r="AQ382" s="1" t="s">
        <v>111</v>
      </c>
    </row>
    <row r="383" spans="1:43" x14ac:dyDescent="0.25">
      <c r="A383" s="1">
        <v>3</v>
      </c>
      <c r="B383" s="1" t="s">
        <v>113</v>
      </c>
      <c r="C383" s="1" t="s">
        <v>103</v>
      </c>
      <c r="D383" s="1" t="s">
        <v>417</v>
      </c>
      <c r="E383" s="1" t="s">
        <v>105</v>
      </c>
      <c r="F383" s="1" t="s">
        <v>106</v>
      </c>
      <c r="G383" s="1" t="s">
        <v>107</v>
      </c>
      <c r="H383" s="1" t="s">
        <v>108</v>
      </c>
      <c r="I383" s="1">
        <v>22.760999999999999</v>
      </c>
      <c r="J383" s="1">
        <v>22.762</v>
      </c>
      <c r="K383" s="1">
        <v>7.0999999999999994E-2</v>
      </c>
      <c r="L383" s="1"/>
      <c r="M383" s="1"/>
      <c r="N383" s="1"/>
      <c r="O383" s="1"/>
      <c r="P383" s="1"/>
      <c r="Q383" s="1"/>
      <c r="R383" s="1"/>
      <c r="S383" s="1" t="s">
        <v>109</v>
      </c>
      <c r="T383" s="1">
        <v>0.44700000000000001</v>
      </c>
      <c r="U383" s="1" t="s">
        <v>109</v>
      </c>
      <c r="V383" s="1">
        <v>3</v>
      </c>
      <c r="W383" s="1">
        <v>16</v>
      </c>
      <c r="X383" s="1" t="s">
        <v>110</v>
      </c>
      <c r="Y383" s="1"/>
      <c r="Z383" s="1">
        <v>0.98399999999999999</v>
      </c>
      <c r="AA383" s="1" t="s">
        <v>111</v>
      </c>
      <c r="AB383" s="1" t="s">
        <v>111</v>
      </c>
      <c r="AC383" s="1" t="s">
        <v>111</v>
      </c>
      <c r="AD383" s="1" t="s">
        <v>111</v>
      </c>
      <c r="AE383" s="1" t="s">
        <v>111</v>
      </c>
      <c r="AF383" s="1" t="s">
        <v>111</v>
      </c>
      <c r="AG383" s="1" t="s">
        <v>111</v>
      </c>
      <c r="AH383" s="1" t="s">
        <v>111</v>
      </c>
      <c r="AI383" s="1">
        <v>82.13</v>
      </c>
      <c r="AJ383" s="1" t="s">
        <v>111</v>
      </c>
      <c r="AK383" s="1"/>
      <c r="AL383" s="1" t="s">
        <v>111</v>
      </c>
      <c r="AM383" s="1"/>
      <c r="AN383" s="1" t="s">
        <v>111</v>
      </c>
      <c r="AO383" s="1"/>
      <c r="AP383" s="1" t="s">
        <v>111</v>
      </c>
      <c r="AQ383" s="1" t="s">
        <v>111</v>
      </c>
    </row>
    <row r="384" spans="1:43" x14ac:dyDescent="0.25">
      <c r="A384" s="1">
        <v>4</v>
      </c>
      <c r="B384" s="1" t="s">
        <v>115</v>
      </c>
      <c r="C384" s="1" t="s">
        <v>103</v>
      </c>
      <c r="D384" s="1" t="s">
        <v>417</v>
      </c>
      <c r="E384" s="1" t="s">
        <v>105</v>
      </c>
      <c r="F384" s="1" t="s">
        <v>106</v>
      </c>
      <c r="G384" s="1" t="s">
        <v>107</v>
      </c>
      <c r="H384" s="1" t="s">
        <v>108</v>
      </c>
      <c r="I384" s="1">
        <v>22.661999999999999</v>
      </c>
      <c r="J384" s="1">
        <v>22.762</v>
      </c>
      <c r="K384" s="1">
        <v>7.0999999999999994E-2</v>
      </c>
      <c r="L384" s="1"/>
      <c r="M384" s="1"/>
      <c r="N384" s="1"/>
      <c r="O384" s="1"/>
      <c r="P384" s="1"/>
      <c r="Q384" s="1"/>
      <c r="R384" s="1"/>
      <c r="S384" s="1" t="s">
        <v>109</v>
      </c>
      <c r="T384" s="1">
        <v>0.44700000000000001</v>
      </c>
      <c r="U384" s="1" t="s">
        <v>109</v>
      </c>
      <c r="V384" s="1">
        <v>3</v>
      </c>
      <c r="W384" s="1">
        <v>16</v>
      </c>
      <c r="X384" s="1" t="s">
        <v>110</v>
      </c>
      <c r="Y384" s="1"/>
      <c r="Z384" s="1">
        <v>0.97699999999999998</v>
      </c>
      <c r="AA384" s="1" t="s">
        <v>111</v>
      </c>
      <c r="AB384" s="1" t="s">
        <v>111</v>
      </c>
      <c r="AC384" s="1" t="s">
        <v>111</v>
      </c>
      <c r="AD384" s="1" t="s">
        <v>111</v>
      </c>
      <c r="AE384" s="1" t="s">
        <v>111</v>
      </c>
      <c r="AF384" s="1" t="s">
        <v>111</v>
      </c>
      <c r="AG384" s="1" t="s">
        <v>111</v>
      </c>
      <c r="AH384" s="1" t="s">
        <v>111</v>
      </c>
      <c r="AI384" s="1">
        <v>82.13</v>
      </c>
      <c r="AJ384" s="1" t="s">
        <v>111</v>
      </c>
      <c r="AK384" s="1"/>
      <c r="AL384" s="1" t="s">
        <v>111</v>
      </c>
      <c r="AM384" s="1"/>
      <c r="AN384" s="1" t="s">
        <v>111</v>
      </c>
      <c r="AO384" s="1"/>
      <c r="AP384" s="1" t="s">
        <v>111</v>
      </c>
      <c r="AQ384" s="1" t="s">
        <v>111</v>
      </c>
    </row>
    <row r="385" spans="1:43" x14ac:dyDescent="0.25">
      <c r="A385" s="1">
        <v>5</v>
      </c>
      <c r="B385" s="1" t="s">
        <v>116</v>
      </c>
      <c r="C385" s="1" t="s">
        <v>103</v>
      </c>
      <c r="D385" s="1" t="s">
        <v>418</v>
      </c>
      <c r="E385" s="1" t="s">
        <v>105</v>
      </c>
      <c r="F385" s="1" t="s">
        <v>106</v>
      </c>
      <c r="G385" s="1" t="s">
        <v>107</v>
      </c>
      <c r="H385" s="1" t="s">
        <v>108</v>
      </c>
      <c r="I385" s="1">
        <v>23.811</v>
      </c>
      <c r="J385" s="1">
        <v>23.841999999999999</v>
      </c>
      <c r="K385" s="1">
        <v>0.112</v>
      </c>
      <c r="L385" s="1"/>
      <c r="M385" s="1"/>
      <c r="N385" s="1"/>
      <c r="O385" s="1"/>
      <c r="P385" s="1"/>
      <c r="Q385" s="1"/>
      <c r="R385" s="1"/>
      <c r="S385" s="1" t="s">
        <v>109</v>
      </c>
      <c r="T385" s="1">
        <v>0.44700000000000001</v>
      </c>
      <c r="U385" s="1" t="s">
        <v>109</v>
      </c>
      <c r="V385" s="1">
        <v>3</v>
      </c>
      <c r="W385" s="1">
        <v>17</v>
      </c>
      <c r="X385" s="1" t="s">
        <v>110</v>
      </c>
      <c r="Y385" s="1"/>
      <c r="Z385" s="1">
        <v>0.98199999999999998</v>
      </c>
      <c r="AA385" s="1" t="s">
        <v>111</v>
      </c>
      <c r="AB385" s="1" t="s">
        <v>111</v>
      </c>
      <c r="AC385" s="1" t="s">
        <v>111</v>
      </c>
      <c r="AD385" s="1" t="s">
        <v>111</v>
      </c>
      <c r="AE385" s="1" t="s">
        <v>111</v>
      </c>
      <c r="AF385" s="1" t="s">
        <v>111</v>
      </c>
      <c r="AG385" s="1" t="s">
        <v>111</v>
      </c>
      <c r="AH385" s="1" t="s">
        <v>111</v>
      </c>
      <c r="AI385" s="1">
        <v>82.119</v>
      </c>
      <c r="AJ385" s="1" t="s">
        <v>111</v>
      </c>
      <c r="AK385" s="1"/>
      <c r="AL385" s="1" t="s">
        <v>111</v>
      </c>
      <c r="AM385" s="1"/>
      <c r="AN385" s="1" t="s">
        <v>111</v>
      </c>
      <c r="AO385" s="1"/>
      <c r="AP385" s="1" t="s">
        <v>111</v>
      </c>
      <c r="AQ385" s="1" t="s">
        <v>111</v>
      </c>
    </row>
    <row r="386" spans="1:43" x14ac:dyDescent="0.25">
      <c r="A386" s="1">
        <v>6</v>
      </c>
      <c r="B386" s="1" t="s">
        <v>118</v>
      </c>
      <c r="C386" s="1" t="s">
        <v>103</v>
      </c>
      <c r="D386" s="1" t="s">
        <v>418</v>
      </c>
      <c r="E386" s="1" t="s">
        <v>105</v>
      </c>
      <c r="F386" s="1" t="s">
        <v>106</v>
      </c>
      <c r="G386" s="1" t="s">
        <v>107</v>
      </c>
      <c r="H386" s="1" t="s">
        <v>108</v>
      </c>
      <c r="I386" s="1">
        <v>23.853999999999999</v>
      </c>
      <c r="J386" s="1">
        <v>23.841999999999999</v>
      </c>
      <c r="K386" s="1">
        <v>0.112</v>
      </c>
      <c r="L386" s="1"/>
      <c r="M386" s="1"/>
      <c r="N386" s="1"/>
      <c r="O386" s="1"/>
      <c r="P386" s="1"/>
      <c r="Q386" s="1"/>
      <c r="R386" s="1"/>
      <c r="S386" s="1" t="s">
        <v>109</v>
      </c>
      <c r="T386" s="1">
        <v>0.44700000000000001</v>
      </c>
      <c r="U386" s="1" t="s">
        <v>109</v>
      </c>
      <c r="V386" s="1">
        <v>3</v>
      </c>
      <c r="W386" s="1">
        <v>17</v>
      </c>
      <c r="X386" s="1" t="s">
        <v>110</v>
      </c>
      <c r="Y386" s="1"/>
      <c r="Z386" s="1">
        <v>0.98199999999999998</v>
      </c>
      <c r="AA386" s="1" t="s">
        <v>111</v>
      </c>
      <c r="AB386" s="1" t="s">
        <v>111</v>
      </c>
      <c r="AC386" s="1" t="s">
        <v>111</v>
      </c>
      <c r="AD386" s="1" t="s">
        <v>111</v>
      </c>
      <c r="AE386" s="1" t="s">
        <v>111</v>
      </c>
      <c r="AF386" s="1" t="s">
        <v>111</v>
      </c>
      <c r="AG386" s="1" t="s">
        <v>111</v>
      </c>
      <c r="AH386" s="1" t="s">
        <v>111</v>
      </c>
      <c r="AI386" s="1">
        <v>82.119</v>
      </c>
      <c r="AJ386" s="1" t="s">
        <v>111</v>
      </c>
      <c r="AK386" s="1"/>
      <c r="AL386" s="1" t="s">
        <v>111</v>
      </c>
      <c r="AM386" s="1"/>
      <c r="AN386" s="1" t="s">
        <v>111</v>
      </c>
      <c r="AO386" s="1"/>
      <c r="AP386" s="1" t="s">
        <v>111</v>
      </c>
      <c r="AQ386" s="1" t="s">
        <v>111</v>
      </c>
    </row>
    <row r="387" spans="1:43" x14ac:dyDescent="0.25">
      <c r="A387" s="1">
        <v>7</v>
      </c>
      <c r="B387" s="1" t="s">
        <v>119</v>
      </c>
      <c r="C387" s="1" t="s">
        <v>103</v>
      </c>
      <c r="D387" s="1" t="s">
        <v>419</v>
      </c>
      <c r="E387" s="1" t="s">
        <v>105</v>
      </c>
      <c r="F387" s="1" t="s">
        <v>106</v>
      </c>
      <c r="G387" s="1" t="s">
        <v>107</v>
      </c>
      <c r="H387" s="1" t="s">
        <v>108</v>
      </c>
      <c r="I387" s="1">
        <v>23.966000000000001</v>
      </c>
      <c r="J387" s="1">
        <v>23.922999999999998</v>
      </c>
      <c r="K387" s="1">
        <v>0.11</v>
      </c>
      <c r="L387" s="1"/>
      <c r="M387" s="1"/>
      <c r="N387" s="1"/>
      <c r="O387" s="1"/>
      <c r="P387" s="1"/>
      <c r="Q387" s="1"/>
      <c r="R387" s="1"/>
      <c r="S387" s="1" t="s">
        <v>109</v>
      </c>
      <c r="T387" s="1">
        <v>0.44700000000000001</v>
      </c>
      <c r="U387" s="1" t="s">
        <v>109</v>
      </c>
      <c r="V387" s="1">
        <v>3</v>
      </c>
      <c r="W387" s="1">
        <v>18</v>
      </c>
      <c r="X387" s="1" t="s">
        <v>110</v>
      </c>
      <c r="Y387" s="1"/>
      <c r="Z387" s="1">
        <v>0.99</v>
      </c>
      <c r="AA387" s="1" t="s">
        <v>111</v>
      </c>
      <c r="AB387" s="1" t="s">
        <v>111</v>
      </c>
      <c r="AC387" s="1" t="s">
        <v>111</v>
      </c>
      <c r="AD387" s="1" t="s">
        <v>111</v>
      </c>
      <c r="AE387" s="1" t="s">
        <v>111</v>
      </c>
      <c r="AF387" s="1" t="s">
        <v>111</v>
      </c>
      <c r="AG387" s="1" t="s">
        <v>111</v>
      </c>
      <c r="AH387" s="1" t="s">
        <v>111</v>
      </c>
      <c r="AI387" s="1">
        <v>82.119</v>
      </c>
      <c r="AJ387" s="1" t="s">
        <v>111</v>
      </c>
      <c r="AK387" s="1"/>
      <c r="AL387" s="1" t="s">
        <v>111</v>
      </c>
      <c r="AM387" s="1"/>
      <c r="AN387" s="1" t="s">
        <v>111</v>
      </c>
      <c r="AO387" s="1"/>
      <c r="AP387" s="1" t="s">
        <v>111</v>
      </c>
      <c r="AQ387" s="1" t="s">
        <v>111</v>
      </c>
    </row>
    <row r="388" spans="1:43" x14ac:dyDescent="0.25">
      <c r="A388" s="1">
        <v>8</v>
      </c>
      <c r="B388" s="1" t="s">
        <v>121</v>
      </c>
      <c r="C388" s="1" t="s">
        <v>103</v>
      </c>
      <c r="D388" s="1" t="s">
        <v>419</v>
      </c>
      <c r="E388" s="1" t="s">
        <v>105</v>
      </c>
      <c r="F388" s="1" t="s">
        <v>106</v>
      </c>
      <c r="G388" s="1" t="s">
        <v>107</v>
      </c>
      <c r="H388" s="1" t="s">
        <v>108</v>
      </c>
      <c r="I388" s="1">
        <v>24.045999999999999</v>
      </c>
      <c r="J388" s="1">
        <v>23.922999999999998</v>
      </c>
      <c r="K388" s="1">
        <v>0.11</v>
      </c>
      <c r="L388" s="1"/>
      <c r="M388" s="1"/>
      <c r="N388" s="1"/>
      <c r="O388" s="1"/>
      <c r="P388" s="1"/>
      <c r="Q388" s="1"/>
      <c r="R388" s="1"/>
      <c r="S388" s="1" t="s">
        <v>109</v>
      </c>
      <c r="T388" s="1">
        <v>0.44700000000000001</v>
      </c>
      <c r="U388" s="1" t="s">
        <v>109</v>
      </c>
      <c r="V388" s="1">
        <v>3</v>
      </c>
      <c r="W388" s="1">
        <v>18</v>
      </c>
      <c r="X388" s="1" t="s">
        <v>110</v>
      </c>
      <c r="Y388" s="1"/>
      <c r="Z388" s="1">
        <v>0.98</v>
      </c>
      <c r="AA388" s="1" t="s">
        <v>111</v>
      </c>
      <c r="AB388" s="1" t="s">
        <v>111</v>
      </c>
      <c r="AC388" s="1" t="s">
        <v>111</v>
      </c>
      <c r="AD388" s="1" t="s">
        <v>111</v>
      </c>
      <c r="AE388" s="1" t="s">
        <v>111</v>
      </c>
      <c r="AF388" s="1" t="s">
        <v>111</v>
      </c>
      <c r="AG388" s="1" t="s">
        <v>111</v>
      </c>
      <c r="AH388" s="1" t="s">
        <v>111</v>
      </c>
      <c r="AI388" s="1">
        <v>82.119</v>
      </c>
      <c r="AJ388" s="1" t="s">
        <v>111</v>
      </c>
      <c r="AK388" s="1"/>
      <c r="AL388" s="1" t="s">
        <v>111</v>
      </c>
      <c r="AM388" s="1"/>
      <c r="AN388" s="1" t="s">
        <v>111</v>
      </c>
      <c r="AO388" s="1"/>
      <c r="AP388" s="1" t="s">
        <v>111</v>
      </c>
      <c r="AQ388" s="1" t="s">
        <v>111</v>
      </c>
    </row>
    <row r="389" spans="1:43" x14ac:dyDescent="0.25">
      <c r="A389" s="1">
        <v>9</v>
      </c>
      <c r="B389" s="1" t="s">
        <v>122</v>
      </c>
      <c r="C389" s="1" t="s">
        <v>103</v>
      </c>
      <c r="D389" s="1" t="s">
        <v>420</v>
      </c>
      <c r="E389" s="1" t="s">
        <v>105</v>
      </c>
      <c r="F389" s="1" t="s">
        <v>106</v>
      </c>
      <c r="G389" s="1" t="s">
        <v>107</v>
      </c>
      <c r="H389" s="1" t="s">
        <v>108</v>
      </c>
      <c r="I389" s="1">
        <v>25.911999999999999</v>
      </c>
      <c r="J389" s="1">
        <v>26.018000000000001</v>
      </c>
      <c r="K389" s="1">
        <v>0.13100000000000001</v>
      </c>
      <c r="L389" s="1"/>
      <c r="M389" s="1"/>
      <c r="N389" s="1"/>
      <c r="O389" s="1"/>
      <c r="P389" s="1"/>
      <c r="Q389" s="1"/>
      <c r="R389" s="1"/>
      <c r="S389" s="1" t="s">
        <v>109</v>
      </c>
      <c r="T389" s="1">
        <v>0.44700000000000001</v>
      </c>
      <c r="U389" s="1" t="s">
        <v>109</v>
      </c>
      <c r="V389" s="1">
        <v>3</v>
      </c>
      <c r="W389" s="1">
        <v>20</v>
      </c>
      <c r="X389" s="1" t="s">
        <v>110</v>
      </c>
      <c r="Y389" s="1"/>
      <c r="Z389" s="1">
        <v>0.98599999999999999</v>
      </c>
      <c r="AA389" s="1" t="s">
        <v>111</v>
      </c>
      <c r="AB389" s="1" t="s">
        <v>111</v>
      </c>
      <c r="AC389" s="1" t="s">
        <v>111</v>
      </c>
      <c r="AD389" s="1" t="s">
        <v>111</v>
      </c>
      <c r="AE389" s="1" t="s">
        <v>111</v>
      </c>
      <c r="AF389" s="1" t="s">
        <v>111</v>
      </c>
      <c r="AG389" s="1" t="s">
        <v>111</v>
      </c>
      <c r="AH389" s="1" t="s">
        <v>111</v>
      </c>
      <c r="AI389" s="1">
        <v>82.016999999999996</v>
      </c>
      <c r="AJ389" s="1" t="s">
        <v>111</v>
      </c>
      <c r="AK389" s="1"/>
      <c r="AL389" s="1" t="s">
        <v>111</v>
      </c>
      <c r="AM389" s="1"/>
      <c r="AN389" s="1" t="s">
        <v>111</v>
      </c>
      <c r="AO389" s="1"/>
      <c r="AP389" s="1" t="s">
        <v>111</v>
      </c>
      <c r="AQ389" s="1" t="s">
        <v>111</v>
      </c>
    </row>
    <row r="390" spans="1:43" x14ac:dyDescent="0.25">
      <c r="A390" s="1">
        <v>10</v>
      </c>
      <c r="B390" s="1" t="s">
        <v>124</v>
      </c>
      <c r="C390" s="1" t="s">
        <v>103</v>
      </c>
      <c r="D390" s="1" t="s">
        <v>420</v>
      </c>
      <c r="E390" s="1" t="s">
        <v>105</v>
      </c>
      <c r="F390" s="1" t="s">
        <v>106</v>
      </c>
      <c r="G390" s="1" t="s">
        <v>107</v>
      </c>
      <c r="H390" s="1" t="s">
        <v>108</v>
      </c>
      <c r="I390" s="1">
        <v>25.974</v>
      </c>
      <c r="J390" s="1">
        <v>26.018000000000001</v>
      </c>
      <c r="K390" s="1">
        <v>0.13100000000000001</v>
      </c>
      <c r="L390" s="1"/>
      <c r="M390" s="1"/>
      <c r="N390" s="1"/>
      <c r="O390" s="1"/>
      <c r="P390" s="1"/>
      <c r="Q390" s="1"/>
      <c r="R390" s="1"/>
      <c r="S390" s="1" t="s">
        <v>109</v>
      </c>
      <c r="T390" s="1">
        <v>0.44700000000000001</v>
      </c>
      <c r="U390" s="1" t="s">
        <v>109</v>
      </c>
      <c r="V390" s="1">
        <v>3</v>
      </c>
      <c r="W390" s="1">
        <v>20</v>
      </c>
      <c r="X390" s="1" t="s">
        <v>110</v>
      </c>
      <c r="Y390" s="1"/>
      <c r="Z390" s="1">
        <v>0.98699999999999999</v>
      </c>
      <c r="AA390" s="1" t="s">
        <v>111</v>
      </c>
      <c r="AB390" s="1" t="s">
        <v>111</v>
      </c>
      <c r="AC390" s="1" t="s">
        <v>111</v>
      </c>
      <c r="AD390" s="1" t="s">
        <v>111</v>
      </c>
      <c r="AE390" s="1" t="s">
        <v>111</v>
      </c>
      <c r="AF390" s="1" t="s">
        <v>111</v>
      </c>
      <c r="AG390" s="1" t="s">
        <v>111</v>
      </c>
      <c r="AH390" s="1" t="s">
        <v>111</v>
      </c>
      <c r="AI390" s="1">
        <v>82.016999999999996</v>
      </c>
      <c r="AJ390" s="1" t="s">
        <v>111</v>
      </c>
      <c r="AK390" s="1"/>
      <c r="AL390" s="1" t="s">
        <v>111</v>
      </c>
      <c r="AM390" s="1"/>
      <c r="AN390" s="1" t="s">
        <v>111</v>
      </c>
      <c r="AO390" s="1"/>
      <c r="AP390" s="1" t="s">
        <v>111</v>
      </c>
      <c r="AQ390" s="1" t="s">
        <v>111</v>
      </c>
    </row>
    <row r="391" spans="1:43" x14ac:dyDescent="0.25">
      <c r="A391" s="1">
        <v>11</v>
      </c>
      <c r="B391" s="1" t="s">
        <v>125</v>
      </c>
      <c r="C391" s="1" t="s">
        <v>103</v>
      </c>
      <c r="D391" s="1" t="s">
        <v>421</v>
      </c>
      <c r="E391" s="1" t="s">
        <v>105</v>
      </c>
      <c r="F391" s="1" t="s">
        <v>106</v>
      </c>
      <c r="G391" s="1" t="s">
        <v>107</v>
      </c>
      <c r="H391" s="1" t="s">
        <v>108</v>
      </c>
      <c r="I391" s="1">
        <v>24.78</v>
      </c>
      <c r="J391" s="1">
        <v>24.756</v>
      </c>
      <c r="K391" s="1">
        <v>5.8000000000000003E-2</v>
      </c>
      <c r="L391" s="1"/>
      <c r="M391" s="1"/>
      <c r="N391" s="1"/>
      <c r="O391" s="1"/>
      <c r="P391" s="1"/>
      <c r="Q391" s="1"/>
      <c r="R391" s="1"/>
      <c r="S391" s="1" t="s">
        <v>109</v>
      </c>
      <c r="T391" s="1">
        <v>0.44700000000000001</v>
      </c>
      <c r="U391" s="1" t="s">
        <v>109</v>
      </c>
      <c r="V391" s="1">
        <v>3</v>
      </c>
      <c r="W391" s="1">
        <v>18</v>
      </c>
      <c r="X391" s="1" t="s">
        <v>110</v>
      </c>
      <c r="Y391" s="1"/>
      <c r="Z391" s="1">
        <v>0.98699999999999999</v>
      </c>
      <c r="AA391" s="1" t="s">
        <v>111</v>
      </c>
      <c r="AB391" s="1" t="s">
        <v>111</v>
      </c>
      <c r="AC391" s="1" t="s">
        <v>111</v>
      </c>
      <c r="AD391" s="1" t="s">
        <v>111</v>
      </c>
      <c r="AE391" s="1" t="s">
        <v>111</v>
      </c>
      <c r="AF391" s="1" t="s">
        <v>111</v>
      </c>
      <c r="AG391" s="1" t="s">
        <v>111</v>
      </c>
      <c r="AH391" s="1" t="s">
        <v>111</v>
      </c>
      <c r="AI391" s="1">
        <v>82.13</v>
      </c>
      <c r="AJ391" s="1" t="s">
        <v>111</v>
      </c>
      <c r="AK391" s="1"/>
      <c r="AL391" s="1" t="s">
        <v>111</v>
      </c>
      <c r="AM391" s="1"/>
      <c r="AN391" s="1" t="s">
        <v>111</v>
      </c>
      <c r="AO391" s="1"/>
      <c r="AP391" s="1" t="s">
        <v>111</v>
      </c>
      <c r="AQ391" s="1" t="s">
        <v>111</v>
      </c>
    </row>
    <row r="392" spans="1:43" x14ac:dyDescent="0.25">
      <c r="A392" s="1">
        <v>12</v>
      </c>
      <c r="B392" s="1" t="s">
        <v>127</v>
      </c>
      <c r="C392" s="1" t="s">
        <v>103</v>
      </c>
      <c r="D392" s="1" t="s">
        <v>421</v>
      </c>
      <c r="E392" s="1" t="s">
        <v>105</v>
      </c>
      <c r="F392" s="1" t="s">
        <v>106</v>
      </c>
      <c r="G392" s="1" t="s">
        <v>107</v>
      </c>
      <c r="H392" s="1" t="s">
        <v>108</v>
      </c>
      <c r="I392" s="1">
        <v>24.696999999999999</v>
      </c>
      <c r="J392" s="1">
        <v>24.756</v>
      </c>
      <c r="K392" s="1">
        <v>5.8000000000000003E-2</v>
      </c>
      <c r="L392" s="1"/>
      <c r="M392" s="1"/>
      <c r="N392" s="1"/>
      <c r="O392" s="1"/>
      <c r="P392" s="1"/>
      <c r="Q392" s="1"/>
      <c r="R392" s="1"/>
      <c r="S392" s="1" t="s">
        <v>109</v>
      </c>
      <c r="T392" s="1">
        <v>0.44700000000000001</v>
      </c>
      <c r="U392" s="1" t="s">
        <v>109</v>
      </c>
      <c r="V392" s="1">
        <v>3</v>
      </c>
      <c r="W392" s="1">
        <v>18</v>
      </c>
      <c r="X392" s="1" t="s">
        <v>110</v>
      </c>
      <c r="Y392" s="1"/>
      <c r="Z392" s="1">
        <v>0.98399999999999999</v>
      </c>
      <c r="AA392" s="1" t="s">
        <v>111</v>
      </c>
      <c r="AB392" s="1" t="s">
        <v>111</v>
      </c>
      <c r="AC392" s="1" t="s">
        <v>111</v>
      </c>
      <c r="AD392" s="1" t="s">
        <v>111</v>
      </c>
      <c r="AE392" s="1" t="s">
        <v>111</v>
      </c>
      <c r="AF392" s="1" t="s">
        <v>111</v>
      </c>
      <c r="AG392" s="1" t="s">
        <v>111</v>
      </c>
      <c r="AH392" s="1" t="s">
        <v>111</v>
      </c>
      <c r="AI392" s="1">
        <v>82.13</v>
      </c>
      <c r="AJ392" s="1" t="s">
        <v>111</v>
      </c>
      <c r="AK392" s="1"/>
      <c r="AL392" s="1" t="s">
        <v>111</v>
      </c>
      <c r="AM392" s="1"/>
      <c r="AN392" s="1" t="s">
        <v>111</v>
      </c>
      <c r="AO392" s="1"/>
      <c r="AP392" s="1" t="s">
        <v>111</v>
      </c>
      <c r="AQ392" s="1" t="s">
        <v>111</v>
      </c>
    </row>
    <row r="393" spans="1:43" x14ac:dyDescent="0.25">
      <c r="A393" s="1">
        <v>17</v>
      </c>
      <c r="B393" s="1" t="s">
        <v>128</v>
      </c>
      <c r="C393" s="1" t="s">
        <v>103</v>
      </c>
      <c r="D393" s="1" t="s">
        <v>416</v>
      </c>
      <c r="E393" s="1" t="s">
        <v>129</v>
      </c>
      <c r="F393" s="1" t="s">
        <v>106</v>
      </c>
      <c r="G393" s="1" t="s">
        <v>107</v>
      </c>
      <c r="H393" s="1" t="s">
        <v>108</v>
      </c>
      <c r="I393" s="1">
        <v>18.667000000000002</v>
      </c>
      <c r="J393" s="1">
        <v>18.757000000000001</v>
      </c>
      <c r="K393" s="1">
        <v>0.13400000000000001</v>
      </c>
      <c r="L393" s="1"/>
      <c r="M393" s="1"/>
      <c r="N393" s="1"/>
      <c r="O393" s="1"/>
      <c r="P393" s="1"/>
      <c r="Q393" s="1"/>
      <c r="R393" s="1"/>
      <c r="S393" s="1" t="s">
        <v>109</v>
      </c>
      <c r="T393" s="1">
        <v>0.38700000000000001</v>
      </c>
      <c r="U393" s="1" t="s">
        <v>109</v>
      </c>
      <c r="V393" s="1">
        <v>3</v>
      </c>
      <c r="W393" s="1">
        <v>12</v>
      </c>
      <c r="X393" s="1" t="s">
        <v>110</v>
      </c>
      <c r="Y393" s="1"/>
      <c r="Z393" s="1">
        <v>0.98299999999999998</v>
      </c>
      <c r="AA393" s="1" t="s">
        <v>111</v>
      </c>
      <c r="AB393" s="1" t="s">
        <v>111</v>
      </c>
      <c r="AC393" s="1" t="s">
        <v>111</v>
      </c>
      <c r="AD393" s="1" t="s">
        <v>111</v>
      </c>
      <c r="AE393" s="1" t="s">
        <v>111</v>
      </c>
      <c r="AF393" s="1" t="s">
        <v>111</v>
      </c>
      <c r="AG393" s="1" t="s">
        <v>111</v>
      </c>
      <c r="AH393" s="1" t="s">
        <v>111</v>
      </c>
      <c r="AI393" s="1">
        <v>82.459000000000003</v>
      </c>
      <c r="AJ393" s="1" t="s">
        <v>111</v>
      </c>
      <c r="AK393" s="1"/>
      <c r="AL393" s="1" t="s">
        <v>111</v>
      </c>
      <c r="AM393" s="1"/>
      <c r="AN393" s="1" t="s">
        <v>111</v>
      </c>
      <c r="AO393" s="1"/>
      <c r="AP393" s="1" t="s">
        <v>111</v>
      </c>
      <c r="AQ393" s="1" t="s">
        <v>111</v>
      </c>
    </row>
    <row r="394" spans="1:43" x14ac:dyDescent="0.25">
      <c r="A394" s="1">
        <v>18</v>
      </c>
      <c r="B394" s="1" t="s">
        <v>130</v>
      </c>
      <c r="C394" s="1" t="s">
        <v>103</v>
      </c>
      <c r="D394" s="1" t="s">
        <v>416</v>
      </c>
      <c r="E394" s="1" t="s">
        <v>129</v>
      </c>
      <c r="F394" s="1" t="s">
        <v>106</v>
      </c>
      <c r="G394" s="1" t="s">
        <v>107</v>
      </c>
      <c r="H394" s="1" t="s">
        <v>108</v>
      </c>
      <c r="I394" s="1">
        <v>18.649000000000001</v>
      </c>
      <c r="J394" s="1">
        <v>18.757000000000001</v>
      </c>
      <c r="K394" s="1">
        <v>0.13400000000000001</v>
      </c>
      <c r="L394" s="1"/>
      <c r="M394" s="1"/>
      <c r="N394" s="1"/>
      <c r="O394" s="1"/>
      <c r="P394" s="1"/>
      <c r="Q394" s="1"/>
      <c r="R394" s="1"/>
      <c r="S394" s="1" t="s">
        <v>109</v>
      </c>
      <c r="T394" s="1">
        <v>0.38700000000000001</v>
      </c>
      <c r="U394" s="1" t="s">
        <v>109</v>
      </c>
      <c r="V394" s="1">
        <v>3</v>
      </c>
      <c r="W394" s="1">
        <v>12</v>
      </c>
      <c r="X394" s="1" t="s">
        <v>110</v>
      </c>
      <c r="Y394" s="1"/>
      <c r="Z394" s="1">
        <v>0.98499999999999999</v>
      </c>
      <c r="AA394" s="1" t="s">
        <v>111</v>
      </c>
      <c r="AB394" s="1" t="s">
        <v>111</v>
      </c>
      <c r="AC394" s="1" t="s">
        <v>111</v>
      </c>
      <c r="AD394" s="1" t="s">
        <v>111</v>
      </c>
      <c r="AE394" s="1" t="s">
        <v>111</v>
      </c>
      <c r="AF394" s="1" t="s">
        <v>111</v>
      </c>
      <c r="AG394" s="1" t="s">
        <v>111</v>
      </c>
      <c r="AH394" s="1" t="s">
        <v>111</v>
      </c>
      <c r="AI394" s="1">
        <v>82.459000000000003</v>
      </c>
      <c r="AJ394" s="1" t="s">
        <v>111</v>
      </c>
      <c r="AK394" s="1"/>
      <c r="AL394" s="1" t="s">
        <v>111</v>
      </c>
      <c r="AM394" s="1"/>
      <c r="AN394" s="1" t="s">
        <v>111</v>
      </c>
      <c r="AO394" s="1"/>
      <c r="AP394" s="1" t="s">
        <v>111</v>
      </c>
      <c r="AQ394" s="1" t="s">
        <v>111</v>
      </c>
    </row>
    <row r="395" spans="1:43" x14ac:dyDescent="0.25">
      <c r="A395" s="1">
        <v>19</v>
      </c>
      <c r="B395" s="1" t="s">
        <v>131</v>
      </c>
      <c r="C395" s="1" t="s">
        <v>103</v>
      </c>
      <c r="D395" s="1" t="s">
        <v>417</v>
      </c>
      <c r="E395" s="1" t="s">
        <v>129</v>
      </c>
      <c r="F395" s="1" t="s">
        <v>106</v>
      </c>
      <c r="G395" s="1" t="s">
        <v>107</v>
      </c>
      <c r="H395" s="1" t="s">
        <v>108</v>
      </c>
      <c r="I395" s="1">
        <v>18.515000000000001</v>
      </c>
      <c r="J395" s="1">
        <v>18.29</v>
      </c>
      <c r="K395" s="1">
        <v>0.441</v>
      </c>
      <c r="L395" s="1"/>
      <c r="M395" s="1"/>
      <c r="N395" s="1"/>
      <c r="O395" s="1"/>
      <c r="P395" s="1"/>
      <c r="Q395" s="1"/>
      <c r="R395" s="1"/>
      <c r="S395" s="1" t="s">
        <v>109</v>
      </c>
      <c r="T395" s="1">
        <v>0.38700000000000001</v>
      </c>
      <c r="U395" s="1" t="s">
        <v>109</v>
      </c>
      <c r="V395" s="1">
        <v>3</v>
      </c>
      <c r="W395" s="1">
        <v>13</v>
      </c>
      <c r="X395" s="1" t="s">
        <v>110</v>
      </c>
      <c r="Y395" s="1"/>
      <c r="Z395" s="1">
        <v>0.98499999999999999</v>
      </c>
      <c r="AA395" s="1" t="s">
        <v>111</v>
      </c>
      <c r="AB395" s="1" t="s">
        <v>111</v>
      </c>
      <c r="AC395" s="1" t="s">
        <v>111</v>
      </c>
      <c r="AD395" s="1" t="s">
        <v>111</v>
      </c>
      <c r="AE395" s="1" t="s">
        <v>111</v>
      </c>
      <c r="AF395" s="1" t="s">
        <v>111</v>
      </c>
      <c r="AG395" s="1" t="s">
        <v>111</v>
      </c>
      <c r="AH395" s="1" t="s">
        <v>111</v>
      </c>
      <c r="AI395" s="1">
        <v>82.459000000000003</v>
      </c>
      <c r="AJ395" s="1" t="s">
        <v>111</v>
      </c>
      <c r="AK395" s="1"/>
      <c r="AL395" s="1" t="s">
        <v>111</v>
      </c>
      <c r="AM395" s="1"/>
      <c r="AN395" s="1" t="s">
        <v>111</v>
      </c>
      <c r="AO395" s="1"/>
      <c r="AP395" s="1" t="s">
        <v>111</v>
      </c>
      <c r="AQ395" s="1" t="s">
        <v>111</v>
      </c>
    </row>
    <row r="396" spans="1:43" x14ac:dyDescent="0.25">
      <c r="A396" s="1">
        <v>20</v>
      </c>
      <c r="B396" s="1" t="s">
        <v>132</v>
      </c>
      <c r="C396" s="1" t="s">
        <v>103</v>
      </c>
      <c r="D396" s="1" t="s">
        <v>417</v>
      </c>
      <c r="E396" s="1" t="s">
        <v>129</v>
      </c>
      <c r="F396" s="1" t="s">
        <v>106</v>
      </c>
      <c r="G396" s="1" t="s">
        <v>107</v>
      </c>
      <c r="H396" s="1" t="s">
        <v>108</v>
      </c>
      <c r="I396" s="1">
        <v>18.411999999999999</v>
      </c>
      <c r="J396" s="1">
        <v>18.29</v>
      </c>
      <c r="K396" s="1">
        <v>0.441</v>
      </c>
      <c r="L396" s="1"/>
      <c r="M396" s="1"/>
      <c r="N396" s="1"/>
      <c r="O396" s="1"/>
      <c r="P396" s="1"/>
      <c r="Q396" s="1"/>
      <c r="R396" s="1"/>
      <c r="S396" s="1" t="s">
        <v>109</v>
      </c>
      <c r="T396" s="1">
        <v>0.38700000000000001</v>
      </c>
      <c r="U396" s="1" t="s">
        <v>109</v>
      </c>
      <c r="V396" s="1">
        <v>3</v>
      </c>
      <c r="W396" s="1">
        <v>13</v>
      </c>
      <c r="X396" s="1" t="s">
        <v>110</v>
      </c>
      <c r="Y396" s="1"/>
      <c r="Z396" s="1">
        <v>0.98399999999999999</v>
      </c>
      <c r="AA396" s="1" t="s">
        <v>111</v>
      </c>
      <c r="AB396" s="1" t="s">
        <v>111</v>
      </c>
      <c r="AC396" s="1" t="s">
        <v>111</v>
      </c>
      <c r="AD396" s="1" t="s">
        <v>111</v>
      </c>
      <c r="AE396" s="1" t="s">
        <v>111</v>
      </c>
      <c r="AF396" s="1" t="s">
        <v>111</v>
      </c>
      <c r="AG396" s="1" t="s">
        <v>111</v>
      </c>
      <c r="AH396" s="1" t="s">
        <v>111</v>
      </c>
      <c r="AI396" s="1">
        <v>82.459000000000003</v>
      </c>
      <c r="AJ396" s="1" t="s">
        <v>111</v>
      </c>
      <c r="AK396" s="1"/>
      <c r="AL396" s="1" t="s">
        <v>111</v>
      </c>
      <c r="AM396" s="1"/>
      <c r="AN396" s="1" t="s">
        <v>111</v>
      </c>
      <c r="AO396" s="1"/>
      <c r="AP396" s="1" t="s">
        <v>111</v>
      </c>
      <c r="AQ396" s="1" t="s">
        <v>111</v>
      </c>
    </row>
    <row r="397" spans="1:43" x14ac:dyDescent="0.25">
      <c r="A397" s="1">
        <v>21</v>
      </c>
      <c r="B397" s="1" t="s">
        <v>133</v>
      </c>
      <c r="C397" s="1" t="s">
        <v>103</v>
      </c>
      <c r="D397" s="1" t="s">
        <v>418</v>
      </c>
      <c r="E397" s="1" t="s">
        <v>129</v>
      </c>
      <c r="F397" s="1" t="s">
        <v>106</v>
      </c>
      <c r="G397" s="1" t="s">
        <v>107</v>
      </c>
      <c r="H397" s="1" t="s">
        <v>108</v>
      </c>
      <c r="I397" s="1">
        <v>18.010000000000002</v>
      </c>
      <c r="J397" s="1">
        <v>18.068000000000001</v>
      </c>
      <c r="K397" s="1">
        <v>0.111</v>
      </c>
      <c r="L397" s="1"/>
      <c r="M397" s="1"/>
      <c r="N397" s="1"/>
      <c r="O397" s="1"/>
      <c r="P397" s="1"/>
      <c r="Q397" s="1"/>
      <c r="R397" s="1"/>
      <c r="S397" s="1" t="s">
        <v>109</v>
      </c>
      <c r="T397" s="1">
        <v>0.38700000000000001</v>
      </c>
      <c r="U397" s="1" t="s">
        <v>109</v>
      </c>
      <c r="V397" s="1">
        <v>3</v>
      </c>
      <c r="W397" s="1">
        <v>12</v>
      </c>
      <c r="X397" s="1" t="s">
        <v>110</v>
      </c>
      <c r="Y397" s="1"/>
      <c r="Z397" s="1">
        <v>0.98699999999999999</v>
      </c>
      <c r="AA397" s="1" t="s">
        <v>111</v>
      </c>
      <c r="AB397" s="1" t="s">
        <v>111</v>
      </c>
      <c r="AC397" s="1" t="s">
        <v>111</v>
      </c>
      <c r="AD397" s="1" t="s">
        <v>111</v>
      </c>
      <c r="AE397" s="1" t="s">
        <v>111</v>
      </c>
      <c r="AF397" s="1" t="s">
        <v>111</v>
      </c>
      <c r="AG397" s="1" t="s">
        <v>111</v>
      </c>
      <c r="AH397" s="1" t="s">
        <v>111</v>
      </c>
      <c r="AI397" s="1">
        <v>82.466999999999999</v>
      </c>
      <c r="AJ397" s="1" t="s">
        <v>111</v>
      </c>
      <c r="AK397" s="1"/>
      <c r="AL397" s="1" t="s">
        <v>111</v>
      </c>
      <c r="AM397" s="1"/>
      <c r="AN397" s="1" t="s">
        <v>111</v>
      </c>
      <c r="AO397" s="1"/>
      <c r="AP397" s="1" t="s">
        <v>111</v>
      </c>
      <c r="AQ397" s="1" t="s">
        <v>111</v>
      </c>
    </row>
    <row r="398" spans="1:43" x14ac:dyDescent="0.25">
      <c r="A398" s="1">
        <v>22</v>
      </c>
      <c r="B398" s="1" t="s">
        <v>134</v>
      </c>
      <c r="C398" s="1" t="s">
        <v>103</v>
      </c>
      <c r="D398" s="1" t="s">
        <v>418</v>
      </c>
      <c r="E398" s="1" t="s">
        <v>129</v>
      </c>
      <c r="F398" s="1" t="s">
        <v>106</v>
      </c>
      <c r="G398" s="1" t="s">
        <v>107</v>
      </c>
      <c r="H398" s="1" t="s">
        <v>108</v>
      </c>
      <c r="I398" s="1">
        <v>17.946000000000002</v>
      </c>
      <c r="J398" s="1">
        <v>18.068000000000001</v>
      </c>
      <c r="K398" s="1">
        <v>0.111</v>
      </c>
      <c r="L398" s="1"/>
      <c r="M398" s="1"/>
      <c r="N398" s="1"/>
      <c r="O398" s="1"/>
      <c r="P398" s="1"/>
      <c r="Q398" s="1"/>
      <c r="R398" s="1"/>
      <c r="S398" s="1" t="s">
        <v>109</v>
      </c>
      <c r="T398" s="1">
        <v>0.38700000000000001</v>
      </c>
      <c r="U398" s="1" t="s">
        <v>109</v>
      </c>
      <c r="V398" s="1">
        <v>3</v>
      </c>
      <c r="W398" s="1">
        <v>11</v>
      </c>
      <c r="X398" s="1" t="s">
        <v>110</v>
      </c>
      <c r="Y398" s="1"/>
      <c r="Z398" s="1">
        <v>0.99</v>
      </c>
      <c r="AA398" s="1" t="s">
        <v>111</v>
      </c>
      <c r="AB398" s="1" t="s">
        <v>111</v>
      </c>
      <c r="AC398" s="1" t="s">
        <v>111</v>
      </c>
      <c r="AD398" s="1" t="s">
        <v>111</v>
      </c>
      <c r="AE398" s="1" t="s">
        <v>111</v>
      </c>
      <c r="AF398" s="1" t="s">
        <v>111</v>
      </c>
      <c r="AG398" s="1" t="s">
        <v>111</v>
      </c>
      <c r="AH398" s="1" t="s">
        <v>111</v>
      </c>
      <c r="AI398" s="1">
        <v>82.353999999999999</v>
      </c>
      <c r="AJ398" s="1" t="s">
        <v>111</v>
      </c>
      <c r="AK398" s="1"/>
      <c r="AL398" s="1" t="s">
        <v>111</v>
      </c>
      <c r="AM398" s="1"/>
      <c r="AN398" s="1" t="s">
        <v>111</v>
      </c>
      <c r="AO398" s="1"/>
      <c r="AP398" s="1" t="s">
        <v>111</v>
      </c>
      <c r="AQ398" s="1" t="s">
        <v>111</v>
      </c>
    </row>
    <row r="399" spans="1:43" x14ac:dyDescent="0.25">
      <c r="A399" s="1">
        <v>23</v>
      </c>
      <c r="B399" s="1" t="s">
        <v>135</v>
      </c>
      <c r="C399" s="1" t="s">
        <v>103</v>
      </c>
      <c r="D399" s="1" t="s">
        <v>419</v>
      </c>
      <c r="E399" s="1" t="s">
        <v>129</v>
      </c>
      <c r="F399" s="1" t="s">
        <v>106</v>
      </c>
      <c r="G399" s="1" t="s">
        <v>107</v>
      </c>
      <c r="H399" s="1" t="s">
        <v>108</v>
      </c>
      <c r="I399" s="1">
        <v>17.954999999999998</v>
      </c>
      <c r="J399" s="1">
        <v>17.995999999999999</v>
      </c>
      <c r="K399" s="1">
        <v>9.1999999999999998E-2</v>
      </c>
      <c r="L399" s="1"/>
      <c r="M399" s="1"/>
      <c r="N399" s="1"/>
      <c r="O399" s="1"/>
      <c r="P399" s="1"/>
      <c r="Q399" s="1"/>
      <c r="R399" s="1"/>
      <c r="S399" s="1" t="s">
        <v>109</v>
      </c>
      <c r="T399" s="1">
        <v>0.38700000000000001</v>
      </c>
      <c r="U399" s="1" t="s">
        <v>109</v>
      </c>
      <c r="V399" s="1">
        <v>3</v>
      </c>
      <c r="W399" s="1">
        <v>12</v>
      </c>
      <c r="X399" s="1" t="s">
        <v>110</v>
      </c>
      <c r="Y399" s="1"/>
      <c r="Z399" s="1">
        <v>0.99</v>
      </c>
      <c r="AA399" s="1" t="s">
        <v>111</v>
      </c>
      <c r="AB399" s="1" t="s">
        <v>111</v>
      </c>
      <c r="AC399" s="1" t="s">
        <v>111</v>
      </c>
      <c r="AD399" s="1" t="s">
        <v>111</v>
      </c>
      <c r="AE399" s="1" t="s">
        <v>111</v>
      </c>
      <c r="AF399" s="1" t="s">
        <v>111</v>
      </c>
      <c r="AG399" s="1" t="s">
        <v>111</v>
      </c>
      <c r="AH399" s="1" t="s">
        <v>111</v>
      </c>
      <c r="AI399" s="1">
        <v>82.353999999999999</v>
      </c>
      <c r="AJ399" s="1" t="s">
        <v>111</v>
      </c>
      <c r="AK399" s="1"/>
      <c r="AL399" s="1" t="s">
        <v>111</v>
      </c>
      <c r="AM399" s="1"/>
      <c r="AN399" s="1" t="s">
        <v>111</v>
      </c>
      <c r="AO399" s="1"/>
      <c r="AP399" s="1" t="s">
        <v>111</v>
      </c>
      <c r="AQ399" s="1" t="s">
        <v>111</v>
      </c>
    </row>
    <row r="400" spans="1:43" x14ac:dyDescent="0.25">
      <c r="A400" s="1">
        <v>24</v>
      </c>
      <c r="B400" s="1" t="s">
        <v>136</v>
      </c>
      <c r="C400" s="1" t="s">
        <v>103</v>
      </c>
      <c r="D400" s="1" t="s">
        <v>419</v>
      </c>
      <c r="E400" s="1" t="s">
        <v>129</v>
      </c>
      <c r="F400" s="1" t="s">
        <v>106</v>
      </c>
      <c r="G400" s="1" t="s">
        <v>107</v>
      </c>
      <c r="H400" s="1" t="s">
        <v>108</v>
      </c>
      <c r="I400" s="1">
        <v>17.888999999999999</v>
      </c>
      <c r="J400" s="1">
        <v>17.995999999999999</v>
      </c>
      <c r="K400" s="1">
        <v>9.1999999999999998E-2</v>
      </c>
      <c r="L400" s="1"/>
      <c r="M400" s="1"/>
      <c r="N400" s="1"/>
      <c r="O400" s="1"/>
      <c r="P400" s="1"/>
      <c r="Q400" s="1"/>
      <c r="R400" s="1"/>
      <c r="S400" s="1" t="s">
        <v>109</v>
      </c>
      <c r="T400" s="1">
        <v>0.38700000000000001</v>
      </c>
      <c r="U400" s="1" t="s">
        <v>109</v>
      </c>
      <c r="V400" s="1">
        <v>3</v>
      </c>
      <c r="W400" s="1">
        <v>12</v>
      </c>
      <c r="X400" s="1" t="s">
        <v>110</v>
      </c>
      <c r="Y400" s="1"/>
      <c r="Z400" s="1">
        <v>0.98399999999999999</v>
      </c>
      <c r="AA400" s="1" t="s">
        <v>111</v>
      </c>
      <c r="AB400" s="1" t="s">
        <v>111</v>
      </c>
      <c r="AC400" s="1" t="s">
        <v>111</v>
      </c>
      <c r="AD400" s="1" t="s">
        <v>111</v>
      </c>
      <c r="AE400" s="1" t="s">
        <v>111</v>
      </c>
      <c r="AF400" s="1" t="s">
        <v>111</v>
      </c>
      <c r="AG400" s="1" t="s">
        <v>111</v>
      </c>
      <c r="AH400" s="1" t="s">
        <v>111</v>
      </c>
      <c r="AI400" s="1">
        <v>82.353999999999999</v>
      </c>
      <c r="AJ400" s="1" t="s">
        <v>111</v>
      </c>
      <c r="AK400" s="1"/>
      <c r="AL400" s="1" t="s">
        <v>111</v>
      </c>
      <c r="AM400" s="1"/>
      <c r="AN400" s="1" t="s">
        <v>111</v>
      </c>
      <c r="AO400" s="1"/>
      <c r="AP400" s="1" t="s">
        <v>111</v>
      </c>
      <c r="AQ400" s="1" t="s">
        <v>111</v>
      </c>
    </row>
    <row r="401" spans="1:43" x14ac:dyDescent="0.25">
      <c r="A401" s="1">
        <v>25</v>
      </c>
      <c r="B401" s="1" t="s">
        <v>137</v>
      </c>
      <c r="C401" s="1" t="s">
        <v>103</v>
      </c>
      <c r="D401" s="1" t="s">
        <v>416</v>
      </c>
      <c r="E401" s="1" t="s">
        <v>105</v>
      </c>
      <c r="F401" s="1" t="s">
        <v>106</v>
      </c>
      <c r="G401" s="1" t="s">
        <v>107</v>
      </c>
      <c r="H401" s="1" t="s">
        <v>108</v>
      </c>
      <c r="I401" s="1">
        <v>23.016999999999999</v>
      </c>
      <c r="J401" s="1">
        <v>23.013999999999999</v>
      </c>
      <c r="K401" s="1">
        <v>0.11600000000000001</v>
      </c>
      <c r="L401" s="1"/>
      <c r="M401" s="1"/>
      <c r="N401" s="1"/>
      <c r="O401" s="1"/>
      <c r="P401" s="1"/>
      <c r="Q401" s="1"/>
      <c r="R401" s="1"/>
      <c r="S401" s="1" t="s">
        <v>109</v>
      </c>
      <c r="T401" s="1">
        <v>0.44700000000000001</v>
      </c>
      <c r="U401" s="1" t="s">
        <v>109</v>
      </c>
      <c r="V401" s="1">
        <v>3</v>
      </c>
      <c r="W401" s="1">
        <v>17</v>
      </c>
      <c r="X401" s="1" t="s">
        <v>110</v>
      </c>
      <c r="Y401" s="1"/>
      <c r="Z401" s="1">
        <v>0.97599999999999998</v>
      </c>
      <c r="AA401" s="1" t="s">
        <v>111</v>
      </c>
      <c r="AB401" s="1" t="s">
        <v>111</v>
      </c>
      <c r="AC401" s="1" t="s">
        <v>111</v>
      </c>
      <c r="AD401" s="1" t="s">
        <v>111</v>
      </c>
      <c r="AE401" s="1" t="s">
        <v>111</v>
      </c>
      <c r="AF401" s="1" t="s">
        <v>111</v>
      </c>
      <c r="AG401" s="1" t="s">
        <v>111</v>
      </c>
      <c r="AH401" s="1" t="s">
        <v>111</v>
      </c>
      <c r="AI401" s="1">
        <v>82.13</v>
      </c>
      <c r="AJ401" s="1" t="s">
        <v>111</v>
      </c>
      <c r="AK401" s="1"/>
      <c r="AL401" s="1" t="s">
        <v>111</v>
      </c>
      <c r="AM401" s="1"/>
      <c r="AN401" s="1" t="s">
        <v>111</v>
      </c>
      <c r="AO401" s="1"/>
      <c r="AP401" s="1" t="s">
        <v>111</v>
      </c>
      <c r="AQ401" s="1" t="s">
        <v>111</v>
      </c>
    </row>
    <row r="402" spans="1:43" x14ac:dyDescent="0.25">
      <c r="A402" s="1">
        <v>26</v>
      </c>
      <c r="B402" s="1" t="s">
        <v>138</v>
      </c>
      <c r="C402" s="1" t="s">
        <v>103</v>
      </c>
      <c r="D402" s="1" t="s">
        <v>416</v>
      </c>
      <c r="E402" s="1" t="s">
        <v>105</v>
      </c>
      <c r="F402" s="1" t="s">
        <v>106</v>
      </c>
      <c r="G402" s="1" t="s">
        <v>107</v>
      </c>
      <c r="H402" s="1" t="s">
        <v>108</v>
      </c>
      <c r="I402" s="1">
        <v>23.166</v>
      </c>
      <c r="J402" s="1">
        <v>23.013999999999999</v>
      </c>
      <c r="K402" s="1">
        <v>0.11600000000000001</v>
      </c>
      <c r="L402" s="1"/>
      <c r="M402" s="1"/>
      <c r="N402" s="1"/>
      <c r="O402" s="1"/>
      <c r="P402" s="1"/>
      <c r="Q402" s="1"/>
      <c r="R402" s="1"/>
      <c r="S402" s="1" t="s">
        <v>109</v>
      </c>
      <c r="T402" s="1">
        <v>0.44700000000000001</v>
      </c>
      <c r="U402" s="1" t="s">
        <v>109</v>
      </c>
      <c r="V402" s="1">
        <v>3</v>
      </c>
      <c r="W402" s="1">
        <v>17</v>
      </c>
      <c r="X402" s="1" t="s">
        <v>110</v>
      </c>
      <c r="Y402" s="1"/>
      <c r="Z402" s="1">
        <v>0.97499999999999998</v>
      </c>
      <c r="AA402" s="1" t="s">
        <v>111</v>
      </c>
      <c r="AB402" s="1" t="s">
        <v>111</v>
      </c>
      <c r="AC402" s="1" t="s">
        <v>111</v>
      </c>
      <c r="AD402" s="1" t="s">
        <v>111</v>
      </c>
      <c r="AE402" s="1" t="s">
        <v>111</v>
      </c>
      <c r="AF402" s="1" t="s">
        <v>111</v>
      </c>
      <c r="AG402" s="1" t="s">
        <v>111</v>
      </c>
      <c r="AH402" s="1" t="s">
        <v>111</v>
      </c>
      <c r="AI402" s="1">
        <v>82.13</v>
      </c>
      <c r="AJ402" s="1" t="s">
        <v>111</v>
      </c>
      <c r="AK402" s="1"/>
      <c r="AL402" s="1" t="s">
        <v>111</v>
      </c>
      <c r="AM402" s="1"/>
      <c r="AN402" s="1" t="s">
        <v>111</v>
      </c>
      <c r="AO402" s="1"/>
      <c r="AP402" s="1" t="s">
        <v>111</v>
      </c>
      <c r="AQ402" s="1" t="s">
        <v>111</v>
      </c>
    </row>
    <row r="403" spans="1:43" x14ac:dyDescent="0.25">
      <c r="A403" s="1">
        <v>27</v>
      </c>
      <c r="B403" s="1" t="s">
        <v>139</v>
      </c>
      <c r="C403" s="1" t="s">
        <v>103</v>
      </c>
      <c r="D403" s="1" t="s">
        <v>417</v>
      </c>
      <c r="E403" s="1" t="s">
        <v>105</v>
      </c>
      <c r="F403" s="1" t="s">
        <v>106</v>
      </c>
      <c r="G403" s="1" t="s">
        <v>107</v>
      </c>
      <c r="H403" s="1" t="s">
        <v>108</v>
      </c>
      <c r="I403" s="1">
        <v>22.815000000000001</v>
      </c>
      <c r="J403" s="1">
        <v>22.762</v>
      </c>
      <c r="K403" s="1">
        <v>7.0999999999999994E-2</v>
      </c>
      <c r="L403" s="1"/>
      <c r="M403" s="1"/>
      <c r="N403" s="1"/>
      <c r="O403" s="1"/>
      <c r="P403" s="1"/>
      <c r="Q403" s="1"/>
      <c r="R403" s="1"/>
      <c r="S403" s="1" t="s">
        <v>109</v>
      </c>
      <c r="T403" s="1">
        <v>0.44700000000000001</v>
      </c>
      <c r="U403" s="1" t="s">
        <v>109</v>
      </c>
      <c r="V403" s="1">
        <v>3</v>
      </c>
      <c r="W403" s="1">
        <v>16</v>
      </c>
      <c r="X403" s="1" t="s">
        <v>110</v>
      </c>
      <c r="Y403" s="1"/>
      <c r="Z403" s="1">
        <v>0.98199999999999998</v>
      </c>
      <c r="AA403" s="1" t="s">
        <v>111</v>
      </c>
      <c r="AB403" s="1" t="s">
        <v>111</v>
      </c>
      <c r="AC403" s="1" t="s">
        <v>111</v>
      </c>
      <c r="AD403" s="1" t="s">
        <v>111</v>
      </c>
      <c r="AE403" s="1" t="s">
        <v>111</v>
      </c>
      <c r="AF403" s="1" t="s">
        <v>111</v>
      </c>
      <c r="AG403" s="1" t="s">
        <v>111</v>
      </c>
      <c r="AH403" s="1" t="s">
        <v>111</v>
      </c>
      <c r="AI403" s="1">
        <v>82.13</v>
      </c>
      <c r="AJ403" s="1" t="s">
        <v>111</v>
      </c>
      <c r="AK403" s="1"/>
      <c r="AL403" s="1" t="s">
        <v>111</v>
      </c>
      <c r="AM403" s="1"/>
      <c r="AN403" s="1" t="s">
        <v>111</v>
      </c>
      <c r="AO403" s="1"/>
      <c r="AP403" s="1" t="s">
        <v>111</v>
      </c>
      <c r="AQ403" s="1" t="s">
        <v>111</v>
      </c>
    </row>
    <row r="404" spans="1:43" x14ac:dyDescent="0.25">
      <c r="A404" s="1">
        <v>28</v>
      </c>
      <c r="B404" s="1" t="s">
        <v>140</v>
      </c>
      <c r="C404" s="1" t="s">
        <v>103</v>
      </c>
      <c r="D404" s="1" t="s">
        <v>417</v>
      </c>
      <c r="E404" s="1" t="s">
        <v>105</v>
      </c>
      <c r="F404" s="1" t="s">
        <v>106</v>
      </c>
      <c r="G404" s="1" t="s">
        <v>107</v>
      </c>
      <c r="H404" s="1" t="s">
        <v>108</v>
      </c>
      <c r="I404" s="1">
        <v>22.81</v>
      </c>
      <c r="J404" s="1">
        <v>22.762</v>
      </c>
      <c r="K404" s="1">
        <v>7.0999999999999994E-2</v>
      </c>
      <c r="L404" s="1"/>
      <c r="M404" s="1"/>
      <c r="N404" s="1"/>
      <c r="O404" s="1"/>
      <c r="P404" s="1"/>
      <c r="Q404" s="1"/>
      <c r="R404" s="1"/>
      <c r="S404" s="1" t="s">
        <v>109</v>
      </c>
      <c r="T404" s="1">
        <v>0.44700000000000001</v>
      </c>
      <c r="U404" s="1" t="s">
        <v>109</v>
      </c>
      <c r="V404" s="1">
        <v>3</v>
      </c>
      <c r="W404" s="1">
        <v>16</v>
      </c>
      <c r="X404" s="1" t="s">
        <v>110</v>
      </c>
      <c r="Y404" s="1"/>
      <c r="Z404" s="1">
        <v>0.97699999999999998</v>
      </c>
      <c r="AA404" s="1" t="s">
        <v>111</v>
      </c>
      <c r="AB404" s="1" t="s">
        <v>111</v>
      </c>
      <c r="AC404" s="1" t="s">
        <v>111</v>
      </c>
      <c r="AD404" s="1" t="s">
        <v>111</v>
      </c>
      <c r="AE404" s="1" t="s">
        <v>111</v>
      </c>
      <c r="AF404" s="1" t="s">
        <v>111</v>
      </c>
      <c r="AG404" s="1" t="s">
        <v>111</v>
      </c>
      <c r="AH404" s="1" t="s">
        <v>111</v>
      </c>
      <c r="AI404" s="1">
        <v>82.13</v>
      </c>
      <c r="AJ404" s="1" t="s">
        <v>111</v>
      </c>
      <c r="AK404" s="1"/>
      <c r="AL404" s="1" t="s">
        <v>111</v>
      </c>
      <c r="AM404" s="1"/>
      <c r="AN404" s="1" t="s">
        <v>111</v>
      </c>
      <c r="AO404" s="1"/>
      <c r="AP404" s="1" t="s">
        <v>111</v>
      </c>
      <c r="AQ404" s="1" t="s">
        <v>111</v>
      </c>
    </row>
    <row r="405" spans="1:43" x14ac:dyDescent="0.25">
      <c r="A405" s="1">
        <v>29</v>
      </c>
      <c r="B405" s="1" t="s">
        <v>141</v>
      </c>
      <c r="C405" s="1" t="s">
        <v>103</v>
      </c>
      <c r="D405" s="1" t="s">
        <v>418</v>
      </c>
      <c r="E405" s="1" t="s">
        <v>105</v>
      </c>
      <c r="F405" s="1" t="s">
        <v>106</v>
      </c>
      <c r="G405" s="1" t="s">
        <v>107</v>
      </c>
      <c r="H405" s="1" t="s">
        <v>108</v>
      </c>
      <c r="I405" s="1">
        <v>23.986000000000001</v>
      </c>
      <c r="J405" s="1">
        <v>23.841999999999999</v>
      </c>
      <c r="K405" s="1">
        <v>0.112</v>
      </c>
      <c r="L405" s="1"/>
      <c r="M405" s="1"/>
      <c r="N405" s="1"/>
      <c r="O405" s="1"/>
      <c r="P405" s="1"/>
      <c r="Q405" s="1"/>
      <c r="R405" s="1"/>
      <c r="S405" s="1" t="s">
        <v>109</v>
      </c>
      <c r="T405" s="1">
        <v>0.44700000000000001</v>
      </c>
      <c r="U405" s="1" t="s">
        <v>109</v>
      </c>
      <c r="V405" s="1">
        <v>3</v>
      </c>
      <c r="W405" s="1">
        <v>17</v>
      </c>
      <c r="X405" s="1" t="s">
        <v>110</v>
      </c>
      <c r="Y405" s="1"/>
      <c r="Z405" s="1">
        <v>0.98399999999999999</v>
      </c>
      <c r="AA405" s="1" t="s">
        <v>111</v>
      </c>
      <c r="AB405" s="1" t="s">
        <v>111</v>
      </c>
      <c r="AC405" s="1" t="s">
        <v>111</v>
      </c>
      <c r="AD405" s="1" t="s">
        <v>111</v>
      </c>
      <c r="AE405" s="1" t="s">
        <v>111</v>
      </c>
      <c r="AF405" s="1" t="s">
        <v>111</v>
      </c>
      <c r="AG405" s="1" t="s">
        <v>111</v>
      </c>
      <c r="AH405" s="1" t="s">
        <v>111</v>
      </c>
      <c r="AI405" s="1">
        <v>82.119</v>
      </c>
      <c r="AJ405" s="1" t="s">
        <v>111</v>
      </c>
      <c r="AK405" s="1"/>
      <c r="AL405" s="1" t="s">
        <v>111</v>
      </c>
      <c r="AM405" s="1"/>
      <c r="AN405" s="1" t="s">
        <v>111</v>
      </c>
      <c r="AO405" s="1"/>
      <c r="AP405" s="1" t="s">
        <v>111</v>
      </c>
      <c r="AQ405" s="1" t="s">
        <v>111</v>
      </c>
    </row>
    <row r="406" spans="1:43" x14ac:dyDescent="0.25">
      <c r="A406" s="1">
        <v>30</v>
      </c>
      <c r="B406" s="1" t="s">
        <v>142</v>
      </c>
      <c r="C406" s="1" t="s">
        <v>103</v>
      </c>
      <c r="D406" s="1" t="s">
        <v>418</v>
      </c>
      <c r="E406" s="1" t="s">
        <v>105</v>
      </c>
      <c r="F406" s="1" t="s">
        <v>106</v>
      </c>
      <c r="G406" s="1" t="s">
        <v>107</v>
      </c>
      <c r="H406" s="1" t="s">
        <v>108</v>
      </c>
      <c r="I406" s="1">
        <v>23.716999999999999</v>
      </c>
      <c r="J406" s="1">
        <v>23.841999999999999</v>
      </c>
      <c r="K406" s="1">
        <v>0.112</v>
      </c>
      <c r="L406" s="1"/>
      <c r="M406" s="1"/>
      <c r="N406" s="1"/>
      <c r="O406" s="1"/>
      <c r="P406" s="1"/>
      <c r="Q406" s="1"/>
      <c r="R406" s="1"/>
      <c r="S406" s="1" t="s">
        <v>109</v>
      </c>
      <c r="T406" s="1">
        <v>0.44700000000000001</v>
      </c>
      <c r="U406" s="1" t="s">
        <v>109</v>
      </c>
      <c r="V406" s="1">
        <v>3</v>
      </c>
      <c r="W406" s="1">
        <v>17</v>
      </c>
      <c r="X406" s="1" t="s">
        <v>110</v>
      </c>
      <c r="Y406" s="1"/>
      <c r="Z406" s="1">
        <v>0.98</v>
      </c>
      <c r="AA406" s="1" t="s">
        <v>111</v>
      </c>
      <c r="AB406" s="1" t="s">
        <v>111</v>
      </c>
      <c r="AC406" s="1" t="s">
        <v>111</v>
      </c>
      <c r="AD406" s="1" t="s">
        <v>111</v>
      </c>
      <c r="AE406" s="1" t="s">
        <v>111</v>
      </c>
      <c r="AF406" s="1" t="s">
        <v>111</v>
      </c>
      <c r="AG406" s="1" t="s">
        <v>111</v>
      </c>
      <c r="AH406" s="1" t="s">
        <v>111</v>
      </c>
      <c r="AI406" s="1">
        <v>82.006</v>
      </c>
      <c r="AJ406" s="1" t="s">
        <v>111</v>
      </c>
      <c r="AK406" s="1"/>
      <c r="AL406" s="1" t="s">
        <v>111</v>
      </c>
      <c r="AM406" s="1"/>
      <c r="AN406" s="1" t="s">
        <v>111</v>
      </c>
      <c r="AO406" s="1"/>
      <c r="AP406" s="1" t="s">
        <v>111</v>
      </c>
      <c r="AQ406" s="1" t="s">
        <v>111</v>
      </c>
    </row>
    <row r="407" spans="1:43" x14ac:dyDescent="0.25">
      <c r="A407" s="1">
        <v>31</v>
      </c>
      <c r="B407" s="1" t="s">
        <v>143</v>
      </c>
      <c r="C407" s="1" t="s">
        <v>103</v>
      </c>
      <c r="D407" s="1" t="s">
        <v>419</v>
      </c>
      <c r="E407" s="1" t="s">
        <v>105</v>
      </c>
      <c r="F407" s="1" t="s">
        <v>106</v>
      </c>
      <c r="G407" s="1" t="s">
        <v>107</v>
      </c>
      <c r="H407" s="1" t="s">
        <v>108</v>
      </c>
      <c r="I407" s="1">
        <v>23.888999999999999</v>
      </c>
      <c r="J407" s="1">
        <v>23.922999999999998</v>
      </c>
      <c r="K407" s="1">
        <v>0.11</v>
      </c>
      <c r="L407" s="1"/>
      <c r="M407" s="1"/>
      <c r="N407" s="1"/>
      <c r="O407" s="1"/>
      <c r="P407" s="1"/>
      <c r="Q407" s="1"/>
      <c r="R407" s="1"/>
      <c r="S407" s="1" t="s">
        <v>109</v>
      </c>
      <c r="T407" s="1">
        <v>0.44700000000000001</v>
      </c>
      <c r="U407" s="1" t="s">
        <v>109</v>
      </c>
      <c r="V407" s="1">
        <v>3</v>
      </c>
      <c r="W407" s="1">
        <v>17</v>
      </c>
      <c r="X407" s="1" t="s">
        <v>110</v>
      </c>
      <c r="Y407" s="1"/>
      <c r="Z407" s="1">
        <v>0.98099999999999998</v>
      </c>
      <c r="AA407" s="1" t="s">
        <v>111</v>
      </c>
      <c r="AB407" s="1" t="s">
        <v>111</v>
      </c>
      <c r="AC407" s="1" t="s">
        <v>111</v>
      </c>
      <c r="AD407" s="1" t="s">
        <v>111</v>
      </c>
      <c r="AE407" s="1" t="s">
        <v>111</v>
      </c>
      <c r="AF407" s="1" t="s">
        <v>111</v>
      </c>
      <c r="AG407" s="1" t="s">
        <v>111</v>
      </c>
      <c r="AH407" s="1" t="s">
        <v>111</v>
      </c>
      <c r="AI407" s="1">
        <v>82.006</v>
      </c>
      <c r="AJ407" s="1" t="s">
        <v>111</v>
      </c>
      <c r="AK407" s="1"/>
      <c r="AL407" s="1" t="s">
        <v>111</v>
      </c>
      <c r="AM407" s="1"/>
      <c r="AN407" s="1" t="s">
        <v>111</v>
      </c>
      <c r="AO407" s="1"/>
      <c r="AP407" s="1" t="s">
        <v>111</v>
      </c>
      <c r="AQ407" s="1" t="s">
        <v>111</v>
      </c>
    </row>
    <row r="408" spans="1:43" x14ac:dyDescent="0.25">
      <c r="A408" s="1">
        <v>32</v>
      </c>
      <c r="B408" s="1" t="s">
        <v>144</v>
      </c>
      <c r="C408" s="1" t="s">
        <v>103</v>
      </c>
      <c r="D408" s="1" t="s">
        <v>419</v>
      </c>
      <c r="E408" s="1" t="s">
        <v>105</v>
      </c>
      <c r="F408" s="1" t="s">
        <v>106</v>
      </c>
      <c r="G408" s="1" t="s">
        <v>107</v>
      </c>
      <c r="H408" s="1" t="s">
        <v>108</v>
      </c>
      <c r="I408" s="1">
        <v>23.789000000000001</v>
      </c>
      <c r="J408" s="1">
        <v>23.922999999999998</v>
      </c>
      <c r="K408" s="1">
        <v>0.11</v>
      </c>
      <c r="L408" s="1"/>
      <c r="M408" s="1"/>
      <c r="N408" s="1"/>
      <c r="O408" s="1"/>
      <c r="P408" s="1"/>
      <c r="Q408" s="1"/>
      <c r="R408" s="1"/>
      <c r="S408" s="1" t="s">
        <v>109</v>
      </c>
      <c r="T408" s="1">
        <v>0.44700000000000001</v>
      </c>
      <c r="U408" s="1" t="s">
        <v>109</v>
      </c>
      <c r="V408" s="1">
        <v>3</v>
      </c>
      <c r="W408" s="1">
        <v>17</v>
      </c>
      <c r="X408" s="1" t="s">
        <v>110</v>
      </c>
      <c r="Y408" s="1"/>
      <c r="Z408" s="1">
        <v>0.97799999999999998</v>
      </c>
      <c r="AA408" s="1" t="s">
        <v>111</v>
      </c>
      <c r="AB408" s="1" t="s">
        <v>111</v>
      </c>
      <c r="AC408" s="1" t="s">
        <v>111</v>
      </c>
      <c r="AD408" s="1" t="s">
        <v>111</v>
      </c>
      <c r="AE408" s="1" t="s">
        <v>111</v>
      </c>
      <c r="AF408" s="1" t="s">
        <v>111</v>
      </c>
      <c r="AG408" s="1" t="s">
        <v>111</v>
      </c>
      <c r="AH408" s="1" t="s">
        <v>111</v>
      </c>
      <c r="AI408" s="1">
        <v>82.006</v>
      </c>
      <c r="AJ408" s="1" t="s">
        <v>111</v>
      </c>
      <c r="AK408" s="1"/>
      <c r="AL408" s="1" t="s">
        <v>111</v>
      </c>
      <c r="AM408" s="1"/>
      <c r="AN408" s="1" t="s">
        <v>111</v>
      </c>
      <c r="AO408" s="1"/>
      <c r="AP408" s="1" t="s">
        <v>111</v>
      </c>
      <c r="AQ408" s="1" t="s">
        <v>111</v>
      </c>
    </row>
    <row r="409" spans="1:43" x14ac:dyDescent="0.25">
      <c r="A409" s="1">
        <v>33</v>
      </c>
      <c r="B409" s="1" t="s">
        <v>145</v>
      </c>
      <c r="C409" s="1" t="s">
        <v>103</v>
      </c>
      <c r="D409" s="1" t="s">
        <v>420</v>
      </c>
      <c r="E409" s="1" t="s">
        <v>105</v>
      </c>
      <c r="F409" s="1" t="s">
        <v>106</v>
      </c>
      <c r="G409" s="1" t="s">
        <v>107</v>
      </c>
      <c r="H409" s="1" t="s">
        <v>108</v>
      </c>
      <c r="I409" s="1">
        <v>25.977</v>
      </c>
      <c r="J409" s="1">
        <v>26.018000000000001</v>
      </c>
      <c r="K409" s="1">
        <v>0.13100000000000001</v>
      </c>
      <c r="L409" s="1"/>
      <c r="M409" s="1"/>
      <c r="N409" s="1"/>
      <c r="O409" s="1"/>
      <c r="P409" s="1"/>
      <c r="Q409" s="1"/>
      <c r="R409" s="1"/>
      <c r="S409" s="1" t="s">
        <v>109</v>
      </c>
      <c r="T409" s="1">
        <v>0.44700000000000001</v>
      </c>
      <c r="U409" s="1" t="s">
        <v>109</v>
      </c>
      <c r="V409" s="1">
        <v>3</v>
      </c>
      <c r="W409" s="1">
        <v>19</v>
      </c>
      <c r="X409" s="1" t="s">
        <v>110</v>
      </c>
      <c r="Y409" s="1"/>
      <c r="Z409" s="1">
        <v>0.98599999999999999</v>
      </c>
      <c r="AA409" s="1" t="s">
        <v>111</v>
      </c>
      <c r="AB409" s="1" t="s">
        <v>111</v>
      </c>
      <c r="AC409" s="1" t="s">
        <v>111</v>
      </c>
      <c r="AD409" s="1" t="s">
        <v>111</v>
      </c>
      <c r="AE409" s="1" t="s">
        <v>111</v>
      </c>
      <c r="AF409" s="1" t="s">
        <v>111</v>
      </c>
      <c r="AG409" s="1" t="s">
        <v>111</v>
      </c>
      <c r="AH409" s="1" t="s">
        <v>111</v>
      </c>
      <c r="AI409" s="1">
        <v>82.016999999999996</v>
      </c>
      <c r="AJ409" s="1" t="s">
        <v>111</v>
      </c>
      <c r="AK409" s="1"/>
      <c r="AL409" s="1" t="s">
        <v>111</v>
      </c>
      <c r="AM409" s="1"/>
      <c r="AN409" s="1" t="s">
        <v>111</v>
      </c>
      <c r="AO409" s="1"/>
      <c r="AP409" s="1" t="s">
        <v>111</v>
      </c>
      <c r="AQ409" s="1" t="s">
        <v>111</v>
      </c>
    </row>
    <row r="410" spans="1:43" x14ac:dyDescent="0.25">
      <c r="A410" s="1">
        <v>34</v>
      </c>
      <c r="B410" s="1" t="s">
        <v>146</v>
      </c>
      <c r="C410" s="1" t="s">
        <v>103</v>
      </c>
      <c r="D410" s="1" t="s">
        <v>420</v>
      </c>
      <c r="E410" s="1" t="s">
        <v>105</v>
      </c>
      <c r="F410" s="1" t="s">
        <v>106</v>
      </c>
      <c r="G410" s="1" t="s">
        <v>107</v>
      </c>
      <c r="H410" s="1" t="s">
        <v>108</v>
      </c>
      <c r="I410" s="1">
        <v>26.209</v>
      </c>
      <c r="J410" s="1">
        <v>26.018000000000001</v>
      </c>
      <c r="K410" s="1">
        <v>0.13100000000000001</v>
      </c>
      <c r="L410" s="1"/>
      <c r="M410" s="1"/>
      <c r="N410" s="1"/>
      <c r="O410" s="1"/>
      <c r="P410" s="1"/>
      <c r="Q410" s="1"/>
      <c r="R410" s="1"/>
      <c r="S410" s="1" t="s">
        <v>109</v>
      </c>
      <c r="T410" s="1">
        <v>0.44700000000000001</v>
      </c>
      <c r="U410" s="1" t="s">
        <v>109</v>
      </c>
      <c r="V410" s="1">
        <v>3</v>
      </c>
      <c r="W410" s="1">
        <v>20</v>
      </c>
      <c r="X410" s="1" t="s">
        <v>110</v>
      </c>
      <c r="Y410" s="1"/>
      <c r="Z410" s="1">
        <v>0.98199999999999998</v>
      </c>
      <c r="AA410" s="1" t="s">
        <v>111</v>
      </c>
      <c r="AB410" s="1" t="s">
        <v>111</v>
      </c>
      <c r="AC410" s="1" t="s">
        <v>111</v>
      </c>
      <c r="AD410" s="1" t="s">
        <v>111</v>
      </c>
      <c r="AE410" s="1" t="s">
        <v>111</v>
      </c>
      <c r="AF410" s="1" t="s">
        <v>111</v>
      </c>
      <c r="AG410" s="1" t="s">
        <v>111</v>
      </c>
      <c r="AH410" s="1" t="s">
        <v>111</v>
      </c>
      <c r="AI410" s="1">
        <v>82.016999999999996</v>
      </c>
      <c r="AJ410" s="1" t="s">
        <v>111</v>
      </c>
      <c r="AK410" s="1"/>
      <c r="AL410" s="1" t="s">
        <v>111</v>
      </c>
      <c r="AM410" s="1"/>
      <c r="AN410" s="1" t="s">
        <v>111</v>
      </c>
      <c r="AO410" s="1"/>
      <c r="AP410" s="1" t="s">
        <v>111</v>
      </c>
      <c r="AQ410" s="1" t="s">
        <v>111</v>
      </c>
    </row>
    <row r="411" spans="1:43" x14ac:dyDescent="0.25">
      <c r="A411" s="1">
        <v>35</v>
      </c>
      <c r="B411" s="1" t="s">
        <v>147</v>
      </c>
      <c r="C411" s="1" t="s">
        <v>103</v>
      </c>
      <c r="D411" s="1" t="s">
        <v>421</v>
      </c>
      <c r="E411" s="1" t="s">
        <v>105</v>
      </c>
      <c r="F411" s="1" t="s">
        <v>106</v>
      </c>
      <c r="G411" s="1" t="s">
        <v>107</v>
      </c>
      <c r="H411" s="1" t="s">
        <v>108</v>
      </c>
      <c r="I411" s="1">
        <v>24.721</v>
      </c>
      <c r="J411" s="1">
        <v>24.756</v>
      </c>
      <c r="K411" s="1">
        <v>5.8000000000000003E-2</v>
      </c>
      <c r="L411" s="1"/>
      <c r="M411" s="1"/>
      <c r="N411" s="1"/>
      <c r="O411" s="1"/>
      <c r="P411" s="1"/>
      <c r="Q411" s="1"/>
      <c r="R411" s="1"/>
      <c r="S411" s="1" t="s">
        <v>109</v>
      </c>
      <c r="T411" s="1">
        <v>0.44700000000000001</v>
      </c>
      <c r="U411" s="1" t="s">
        <v>109</v>
      </c>
      <c r="V411" s="1">
        <v>3</v>
      </c>
      <c r="W411" s="1">
        <v>18</v>
      </c>
      <c r="X411" s="1" t="s">
        <v>110</v>
      </c>
      <c r="Y411" s="1"/>
      <c r="Z411" s="1">
        <v>0.98099999999999998</v>
      </c>
      <c r="AA411" s="1" t="s">
        <v>111</v>
      </c>
      <c r="AB411" s="1" t="s">
        <v>111</v>
      </c>
      <c r="AC411" s="1" t="s">
        <v>111</v>
      </c>
      <c r="AD411" s="1" t="s">
        <v>111</v>
      </c>
      <c r="AE411" s="1" t="s">
        <v>111</v>
      </c>
      <c r="AF411" s="1" t="s">
        <v>111</v>
      </c>
      <c r="AG411" s="1" t="s">
        <v>111</v>
      </c>
      <c r="AH411" s="1" t="s">
        <v>111</v>
      </c>
      <c r="AI411" s="1">
        <v>82.13</v>
      </c>
      <c r="AJ411" s="1" t="s">
        <v>111</v>
      </c>
      <c r="AK411" s="1"/>
      <c r="AL411" s="1" t="s">
        <v>111</v>
      </c>
      <c r="AM411" s="1"/>
      <c r="AN411" s="1" t="s">
        <v>111</v>
      </c>
      <c r="AO411" s="1"/>
      <c r="AP411" s="1" t="s">
        <v>111</v>
      </c>
      <c r="AQ411" s="1" t="s">
        <v>111</v>
      </c>
    </row>
    <row r="412" spans="1:43" x14ac:dyDescent="0.25">
      <c r="A412" s="1">
        <v>36</v>
      </c>
      <c r="B412" s="1" t="s">
        <v>148</v>
      </c>
      <c r="C412" s="1" t="s">
        <v>103</v>
      </c>
      <c r="D412" s="1" t="s">
        <v>421</v>
      </c>
      <c r="E412" s="1" t="s">
        <v>105</v>
      </c>
      <c r="F412" s="1" t="s">
        <v>106</v>
      </c>
      <c r="G412" s="1" t="s">
        <v>107</v>
      </c>
      <c r="H412" s="1" t="s">
        <v>108</v>
      </c>
      <c r="I412" s="1">
        <v>24.826000000000001</v>
      </c>
      <c r="J412" s="1">
        <v>24.756</v>
      </c>
      <c r="K412" s="1">
        <v>5.8000000000000003E-2</v>
      </c>
      <c r="L412" s="1"/>
      <c r="M412" s="1"/>
      <c r="N412" s="1"/>
      <c r="O412" s="1"/>
      <c r="P412" s="1"/>
      <c r="Q412" s="1"/>
      <c r="R412" s="1"/>
      <c r="S412" s="1" t="s">
        <v>109</v>
      </c>
      <c r="T412" s="1">
        <v>0.44700000000000001</v>
      </c>
      <c r="U412" s="1" t="s">
        <v>109</v>
      </c>
      <c r="V412" s="1">
        <v>3</v>
      </c>
      <c r="W412" s="1">
        <v>19</v>
      </c>
      <c r="X412" s="1" t="s">
        <v>110</v>
      </c>
      <c r="Y412" s="1"/>
      <c r="Z412" s="1">
        <v>0.97899999999999998</v>
      </c>
      <c r="AA412" s="1" t="s">
        <v>111</v>
      </c>
      <c r="AB412" s="1" t="s">
        <v>111</v>
      </c>
      <c r="AC412" s="1" t="s">
        <v>111</v>
      </c>
      <c r="AD412" s="1" t="s">
        <v>111</v>
      </c>
      <c r="AE412" s="1" t="s">
        <v>111</v>
      </c>
      <c r="AF412" s="1" t="s">
        <v>111</v>
      </c>
      <c r="AG412" s="1" t="s">
        <v>111</v>
      </c>
      <c r="AH412" s="1" t="s">
        <v>111</v>
      </c>
      <c r="AI412" s="1">
        <v>82.13</v>
      </c>
      <c r="AJ412" s="1" t="s">
        <v>111</v>
      </c>
      <c r="AK412" s="1"/>
      <c r="AL412" s="1" t="s">
        <v>111</v>
      </c>
      <c r="AM412" s="1"/>
      <c r="AN412" s="1" t="s">
        <v>111</v>
      </c>
      <c r="AO412" s="1"/>
      <c r="AP412" s="1" t="s">
        <v>111</v>
      </c>
      <c r="AQ412" s="1" t="s">
        <v>111</v>
      </c>
    </row>
    <row r="413" spans="1:43" x14ac:dyDescent="0.25">
      <c r="A413" s="1">
        <v>41</v>
      </c>
      <c r="B413" s="1" t="s">
        <v>149</v>
      </c>
      <c r="C413" s="1" t="s">
        <v>103</v>
      </c>
      <c r="D413" s="1" t="s">
        <v>416</v>
      </c>
      <c r="E413" s="1" t="s">
        <v>129</v>
      </c>
      <c r="F413" s="1" t="s">
        <v>106</v>
      </c>
      <c r="G413" s="1" t="s">
        <v>107</v>
      </c>
      <c r="H413" s="1" t="s">
        <v>108</v>
      </c>
      <c r="I413" s="1">
        <v>18.940000000000001</v>
      </c>
      <c r="J413" s="1">
        <v>18.757000000000001</v>
      </c>
      <c r="K413" s="1">
        <v>0.13400000000000001</v>
      </c>
      <c r="L413" s="1"/>
      <c r="M413" s="1"/>
      <c r="N413" s="1"/>
      <c r="O413" s="1"/>
      <c r="P413" s="1"/>
      <c r="Q413" s="1"/>
      <c r="R413" s="1"/>
      <c r="S413" s="1" t="s">
        <v>109</v>
      </c>
      <c r="T413" s="1">
        <v>0.38700000000000001</v>
      </c>
      <c r="U413" s="1" t="s">
        <v>109</v>
      </c>
      <c r="V413" s="1">
        <v>3</v>
      </c>
      <c r="W413" s="1">
        <v>12</v>
      </c>
      <c r="X413" s="1" t="s">
        <v>110</v>
      </c>
      <c r="Y413" s="1"/>
      <c r="Z413" s="1">
        <v>0.98699999999999999</v>
      </c>
      <c r="AA413" s="1" t="s">
        <v>111</v>
      </c>
      <c r="AB413" s="1" t="s">
        <v>111</v>
      </c>
      <c r="AC413" s="1" t="s">
        <v>111</v>
      </c>
      <c r="AD413" s="1" t="s">
        <v>111</v>
      </c>
      <c r="AE413" s="1" t="s">
        <v>111</v>
      </c>
      <c r="AF413" s="1" t="s">
        <v>111</v>
      </c>
      <c r="AG413" s="1" t="s">
        <v>111</v>
      </c>
      <c r="AH413" s="1" t="s">
        <v>111</v>
      </c>
      <c r="AI413" s="1">
        <v>82.459000000000003</v>
      </c>
      <c r="AJ413" s="1" t="s">
        <v>111</v>
      </c>
      <c r="AK413" s="1"/>
      <c r="AL413" s="1" t="s">
        <v>111</v>
      </c>
      <c r="AM413" s="1"/>
      <c r="AN413" s="1" t="s">
        <v>111</v>
      </c>
      <c r="AO413" s="1"/>
      <c r="AP413" s="1" t="s">
        <v>111</v>
      </c>
      <c r="AQ413" s="1" t="s">
        <v>111</v>
      </c>
    </row>
    <row r="414" spans="1:43" x14ac:dyDescent="0.25">
      <c r="A414" s="1">
        <v>42</v>
      </c>
      <c r="B414" s="1" t="s">
        <v>150</v>
      </c>
      <c r="C414" s="1" t="s">
        <v>103</v>
      </c>
      <c r="D414" s="1" t="s">
        <v>416</v>
      </c>
      <c r="E414" s="1" t="s">
        <v>129</v>
      </c>
      <c r="F414" s="1" t="s">
        <v>106</v>
      </c>
      <c r="G414" s="1" t="s">
        <v>107</v>
      </c>
      <c r="H414" s="1" t="s">
        <v>108</v>
      </c>
      <c r="I414" s="1">
        <v>18.774000000000001</v>
      </c>
      <c r="J414" s="1">
        <v>18.757000000000001</v>
      </c>
      <c r="K414" s="1">
        <v>0.13400000000000001</v>
      </c>
      <c r="L414" s="1"/>
      <c r="M414" s="1"/>
      <c r="N414" s="1"/>
      <c r="O414" s="1"/>
      <c r="P414" s="1"/>
      <c r="Q414" s="1"/>
      <c r="R414" s="1"/>
      <c r="S414" s="1" t="s">
        <v>109</v>
      </c>
      <c r="T414" s="1">
        <v>0.38700000000000001</v>
      </c>
      <c r="U414" s="1" t="s">
        <v>109</v>
      </c>
      <c r="V414" s="1">
        <v>3</v>
      </c>
      <c r="W414" s="1">
        <v>13</v>
      </c>
      <c r="X414" s="1" t="s">
        <v>110</v>
      </c>
      <c r="Y414" s="1"/>
      <c r="Z414" s="1">
        <v>0.98899999999999999</v>
      </c>
      <c r="AA414" s="1" t="s">
        <v>111</v>
      </c>
      <c r="AB414" s="1" t="s">
        <v>111</v>
      </c>
      <c r="AC414" s="1" t="s">
        <v>111</v>
      </c>
      <c r="AD414" s="1" t="s">
        <v>111</v>
      </c>
      <c r="AE414" s="1" t="s">
        <v>111</v>
      </c>
      <c r="AF414" s="1" t="s">
        <v>111</v>
      </c>
      <c r="AG414" s="1" t="s">
        <v>111</v>
      </c>
      <c r="AH414" s="1" t="s">
        <v>111</v>
      </c>
      <c r="AI414" s="1">
        <v>82.459000000000003</v>
      </c>
      <c r="AJ414" s="1" t="s">
        <v>111</v>
      </c>
      <c r="AK414" s="1"/>
      <c r="AL414" s="1" t="s">
        <v>111</v>
      </c>
      <c r="AM414" s="1"/>
      <c r="AN414" s="1" t="s">
        <v>111</v>
      </c>
      <c r="AO414" s="1"/>
      <c r="AP414" s="1" t="s">
        <v>111</v>
      </c>
      <c r="AQ414" s="1" t="s">
        <v>111</v>
      </c>
    </row>
    <row r="415" spans="1:43" x14ac:dyDescent="0.25">
      <c r="A415" s="1">
        <v>43</v>
      </c>
      <c r="B415" s="1" t="s">
        <v>151</v>
      </c>
      <c r="C415" s="1" t="s">
        <v>103</v>
      </c>
      <c r="D415" s="1" t="s">
        <v>417</v>
      </c>
      <c r="E415" s="1" t="s">
        <v>129</v>
      </c>
      <c r="F415" s="1" t="s">
        <v>106</v>
      </c>
      <c r="G415" s="1" t="s">
        <v>107</v>
      </c>
      <c r="H415" s="1" t="s">
        <v>108</v>
      </c>
      <c r="I415" s="1">
        <v>18.596</v>
      </c>
      <c r="J415" s="1">
        <v>18.29</v>
      </c>
      <c r="K415" s="1">
        <v>0.441</v>
      </c>
      <c r="L415" s="1"/>
      <c r="M415" s="1"/>
      <c r="N415" s="1"/>
      <c r="O415" s="1"/>
      <c r="P415" s="1"/>
      <c r="Q415" s="1"/>
      <c r="R415" s="1"/>
      <c r="S415" s="1" t="s">
        <v>109</v>
      </c>
      <c r="T415" s="1">
        <v>0.38700000000000001</v>
      </c>
      <c r="U415" s="1" t="s">
        <v>109</v>
      </c>
      <c r="V415" s="1">
        <v>3</v>
      </c>
      <c r="W415" s="1">
        <v>12</v>
      </c>
      <c r="X415" s="1" t="s">
        <v>110</v>
      </c>
      <c r="Y415" s="1"/>
      <c r="Z415" s="1">
        <v>0.99</v>
      </c>
      <c r="AA415" s="1" t="s">
        <v>111</v>
      </c>
      <c r="AB415" s="1" t="s">
        <v>111</v>
      </c>
      <c r="AC415" s="1" t="s">
        <v>111</v>
      </c>
      <c r="AD415" s="1" t="s">
        <v>111</v>
      </c>
      <c r="AE415" s="1" t="s">
        <v>111</v>
      </c>
      <c r="AF415" s="1" t="s">
        <v>111</v>
      </c>
      <c r="AG415" s="1" t="s">
        <v>111</v>
      </c>
      <c r="AH415" s="1" t="s">
        <v>111</v>
      </c>
      <c r="AI415" s="1">
        <v>82.459000000000003</v>
      </c>
      <c r="AJ415" s="1" t="s">
        <v>111</v>
      </c>
      <c r="AK415" s="1"/>
      <c r="AL415" s="1" t="s">
        <v>111</v>
      </c>
      <c r="AM415" s="1"/>
      <c r="AN415" s="1" t="s">
        <v>111</v>
      </c>
      <c r="AO415" s="1"/>
      <c r="AP415" s="1" t="s">
        <v>111</v>
      </c>
      <c r="AQ415" s="1" t="s">
        <v>111</v>
      </c>
    </row>
    <row r="416" spans="1:43" x14ac:dyDescent="0.25">
      <c r="A416" s="1">
        <v>44</v>
      </c>
      <c r="B416" s="1" t="s">
        <v>152</v>
      </c>
      <c r="C416" s="1" t="s">
        <v>103</v>
      </c>
      <c r="D416" s="1" t="s">
        <v>417</v>
      </c>
      <c r="E416" s="1" t="s">
        <v>129</v>
      </c>
      <c r="F416" s="1" t="s">
        <v>106</v>
      </c>
      <c r="G416" s="1" t="s">
        <v>107</v>
      </c>
      <c r="H416" s="1" t="s">
        <v>108</v>
      </c>
      <c r="I416" s="1">
        <v>17.638000000000002</v>
      </c>
      <c r="J416" s="1">
        <v>18.29</v>
      </c>
      <c r="K416" s="1">
        <v>0.441</v>
      </c>
      <c r="L416" s="1"/>
      <c r="M416" s="1"/>
      <c r="N416" s="1"/>
      <c r="O416" s="1"/>
      <c r="P416" s="1"/>
      <c r="Q416" s="1"/>
      <c r="R416" s="1"/>
      <c r="S416" s="1" t="s">
        <v>109</v>
      </c>
      <c r="T416" s="1">
        <v>0.38700000000000001</v>
      </c>
      <c r="U416" s="1" t="s">
        <v>109</v>
      </c>
      <c r="V416" s="1">
        <v>3</v>
      </c>
      <c r="W416" s="1">
        <v>11</v>
      </c>
      <c r="X416" s="1" t="s">
        <v>110</v>
      </c>
      <c r="Y416" s="1"/>
      <c r="Z416" s="1">
        <v>0.99299999999999999</v>
      </c>
      <c r="AA416" s="1" t="s">
        <v>111</v>
      </c>
      <c r="AB416" s="1" t="s">
        <v>111</v>
      </c>
      <c r="AC416" s="1" t="s">
        <v>111</v>
      </c>
      <c r="AD416" s="1" t="s">
        <v>111</v>
      </c>
      <c r="AE416" s="1" t="s">
        <v>111</v>
      </c>
      <c r="AF416" s="1" t="s">
        <v>111</v>
      </c>
      <c r="AG416" s="1" t="s">
        <v>111</v>
      </c>
      <c r="AH416" s="1" t="s">
        <v>111</v>
      </c>
      <c r="AI416" s="1">
        <v>82.459000000000003</v>
      </c>
      <c r="AJ416" s="1" t="s">
        <v>111</v>
      </c>
      <c r="AK416" s="1"/>
      <c r="AL416" s="1" t="s">
        <v>111</v>
      </c>
      <c r="AM416" s="1"/>
      <c r="AN416" s="1" t="s">
        <v>111</v>
      </c>
      <c r="AO416" s="1"/>
      <c r="AP416" s="1" t="s">
        <v>111</v>
      </c>
      <c r="AQ416" s="1" t="s">
        <v>111</v>
      </c>
    </row>
    <row r="417" spans="1:43" x14ac:dyDescent="0.25">
      <c r="A417" s="1">
        <v>45</v>
      </c>
      <c r="B417" s="1" t="s">
        <v>153</v>
      </c>
      <c r="C417" s="1" t="s">
        <v>103</v>
      </c>
      <c r="D417" s="1" t="s">
        <v>418</v>
      </c>
      <c r="E417" s="1" t="s">
        <v>129</v>
      </c>
      <c r="F417" s="1" t="s">
        <v>106</v>
      </c>
      <c r="G417" s="1" t="s">
        <v>107</v>
      </c>
      <c r="H417" s="1" t="s">
        <v>108</v>
      </c>
      <c r="I417" s="1">
        <v>18.193000000000001</v>
      </c>
      <c r="J417" s="1">
        <v>18.068000000000001</v>
      </c>
      <c r="K417" s="1">
        <v>0.111</v>
      </c>
      <c r="L417" s="1"/>
      <c r="M417" s="1"/>
      <c r="N417" s="1"/>
      <c r="O417" s="1"/>
      <c r="P417" s="1"/>
      <c r="Q417" s="1"/>
      <c r="R417" s="1"/>
      <c r="S417" s="1" t="s">
        <v>109</v>
      </c>
      <c r="T417" s="1">
        <v>0.38700000000000001</v>
      </c>
      <c r="U417" s="1" t="s">
        <v>109</v>
      </c>
      <c r="V417" s="1">
        <v>3</v>
      </c>
      <c r="W417" s="1">
        <v>11</v>
      </c>
      <c r="X417" s="1" t="s">
        <v>110</v>
      </c>
      <c r="Y417" s="1"/>
      <c r="Z417" s="1">
        <v>0.98599999999999999</v>
      </c>
      <c r="AA417" s="1" t="s">
        <v>111</v>
      </c>
      <c r="AB417" s="1" t="s">
        <v>111</v>
      </c>
      <c r="AC417" s="1" t="s">
        <v>111</v>
      </c>
      <c r="AD417" s="1" t="s">
        <v>111</v>
      </c>
      <c r="AE417" s="1" t="s">
        <v>111</v>
      </c>
      <c r="AF417" s="1" t="s">
        <v>111</v>
      </c>
      <c r="AG417" s="1" t="s">
        <v>111</v>
      </c>
      <c r="AH417" s="1" t="s">
        <v>111</v>
      </c>
      <c r="AI417" s="1">
        <v>82.466999999999999</v>
      </c>
      <c r="AJ417" s="1" t="s">
        <v>111</v>
      </c>
      <c r="AK417" s="1"/>
      <c r="AL417" s="1" t="s">
        <v>111</v>
      </c>
      <c r="AM417" s="1"/>
      <c r="AN417" s="1" t="s">
        <v>111</v>
      </c>
      <c r="AO417" s="1"/>
      <c r="AP417" s="1" t="s">
        <v>111</v>
      </c>
      <c r="AQ417" s="1" t="s">
        <v>111</v>
      </c>
    </row>
    <row r="418" spans="1:43" x14ac:dyDescent="0.25">
      <c r="A418" s="1">
        <v>46</v>
      </c>
      <c r="B418" s="1" t="s">
        <v>154</v>
      </c>
      <c r="C418" s="1" t="s">
        <v>103</v>
      </c>
      <c r="D418" s="1" t="s">
        <v>418</v>
      </c>
      <c r="E418" s="1" t="s">
        <v>129</v>
      </c>
      <c r="F418" s="1" t="s">
        <v>106</v>
      </c>
      <c r="G418" s="1" t="s">
        <v>107</v>
      </c>
      <c r="H418" s="1" t="s">
        <v>108</v>
      </c>
      <c r="I418" s="1">
        <v>18.123000000000001</v>
      </c>
      <c r="J418" s="1">
        <v>18.068000000000001</v>
      </c>
      <c r="K418" s="1">
        <v>0.111</v>
      </c>
      <c r="L418" s="1"/>
      <c r="M418" s="1"/>
      <c r="N418" s="1"/>
      <c r="O418" s="1"/>
      <c r="P418" s="1"/>
      <c r="Q418" s="1"/>
      <c r="R418" s="1"/>
      <c r="S418" s="1" t="s">
        <v>109</v>
      </c>
      <c r="T418" s="1">
        <v>0.38700000000000001</v>
      </c>
      <c r="U418" s="1" t="s">
        <v>109</v>
      </c>
      <c r="V418" s="1">
        <v>3</v>
      </c>
      <c r="W418" s="1">
        <v>12</v>
      </c>
      <c r="X418" s="1" t="s">
        <v>110</v>
      </c>
      <c r="Y418" s="1"/>
      <c r="Z418" s="1">
        <v>0.97899999999999998</v>
      </c>
      <c r="AA418" s="1" t="s">
        <v>111</v>
      </c>
      <c r="AB418" s="1" t="s">
        <v>111</v>
      </c>
      <c r="AC418" s="1" t="s">
        <v>111</v>
      </c>
      <c r="AD418" s="1" t="s">
        <v>111</v>
      </c>
      <c r="AE418" s="1" t="s">
        <v>111</v>
      </c>
      <c r="AF418" s="1" t="s">
        <v>111</v>
      </c>
      <c r="AG418" s="1" t="s">
        <v>111</v>
      </c>
      <c r="AH418" s="1" t="s">
        <v>111</v>
      </c>
      <c r="AI418" s="1">
        <v>82.353999999999999</v>
      </c>
      <c r="AJ418" s="1" t="s">
        <v>111</v>
      </c>
      <c r="AK418" s="1"/>
      <c r="AL418" s="1" t="s">
        <v>111</v>
      </c>
      <c r="AM418" s="1"/>
      <c r="AN418" s="1" t="s">
        <v>111</v>
      </c>
      <c r="AO418" s="1"/>
      <c r="AP418" s="1" t="s">
        <v>111</v>
      </c>
      <c r="AQ418" s="1" t="s">
        <v>111</v>
      </c>
    </row>
    <row r="419" spans="1:43" x14ac:dyDescent="0.25">
      <c r="A419" s="1">
        <v>47</v>
      </c>
      <c r="B419" s="1" t="s">
        <v>155</v>
      </c>
      <c r="C419" s="1" t="s">
        <v>103</v>
      </c>
      <c r="D419" s="1" t="s">
        <v>419</v>
      </c>
      <c r="E419" s="1" t="s">
        <v>129</v>
      </c>
      <c r="F419" s="1" t="s">
        <v>106</v>
      </c>
      <c r="G419" s="1" t="s">
        <v>107</v>
      </c>
      <c r="H419" s="1" t="s">
        <v>108</v>
      </c>
      <c r="I419" s="1">
        <v>18.097000000000001</v>
      </c>
      <c r="J419" s="1">
        <v>17.995999999999999</v>
      </c>
      <c r="K419" s="1">
        <v>9.1999999999999998E-2</v>
      </c>
      <c r="L419" s="1"/>
      <c r="M419" s="1"/>
      <c r="N419" s="1"/>
      <c r="O419" s="1"/>
      <c r="P419" s="1"/>
      <c r="Q419" s="1"/>
      <c r="R419" s="1"/>
      <c r="S419" s="1" t="s">
        <v>109</v>
      </c>
      <c r="T419" s="1">
        <v>0.38700000000000001</v>
      </c>
      <c r="U419" s="1" t="s">
        <v>109</v>
      </c>
      <c r="V419" s="1">
        <v>3</v>
      </c>
      <c r="W419" s="1">
        <v>13</v>
      </c>
      <c r="X419" s="1" t="s">
        <v>110</v>
      </c>
      <c r="Y419" s="1"/>
      <c r="Z419" s="1">
        <v>0.98299999999999998</v>
      </c>
      <c r="AA419" s="1" t="s">
        <v>111</v>
      </c>
      <c r="AB419" s="1" t="s">
        <v>111</v>
      </c>
      <c r="AC419" s="1" t="s">
        <v>111</v>
      </c>
      <c r="AD419" s="1" t="s">
        <v>111</v>
      </c>
      <c r="AE419" s="1" t="s">
        <v>111</v>
      </c>
      <c r="AF419" s="1" t="s">
        <v>111</v>
      </c>
      <c r="AG419" s="1" t="s">
        <v>111</v>
      </c>
      <c r="AH419" s="1" t="s">
        <v>111</v>
      </c>
      <c r="AI419" s="1">
        <v>82.353999999999999</v>
      </c>
      <c r="AJ419" s="1" t="s">
        <v>111</v>
      </c>
      <c r="AK419" s="1"/>
      <c r="AL419" s="1" t="s">
        <v>111</v>
      </c>
      <c r="AM419" s="1"/>
      <c r="AN419" s="1" t="s">
        <v>111</v>
      </c>
      <c r="AO419" s="1"/>
      <c r="AP419" s="1" t="s">
        <v>111</v>
      </c>
      <c r="AQ419" s="1" t="s">
        <v>111</v>
      </c>
    </row>
    <row r="420" spans="1:43" x14ac:dyDescent="0.25">
      <c r="A420" s="1">
        <v>48</v>
      </c>
      <c r="B420" s="1" t="s">
        <v>156</v>
      </c>
      <c r="C420" s="1" t="s">
        <v>103</v>
      </c>
      <c r="D420" s="1" t="s">
        <v>419</v>
      </c>
      <c r="E420" s="1" t="s">
        <v>129</v>
      </c>
      <c r="F420" s="1" t="s">
        <v>106</v>
      </c>
      <c r="G420" s="1" t="s">
        <v>107</v>
      </c>
      <c r="H420" s="1" t="s">
        <v>108</v>
      </c>
      <c r="I420" s="1">
        <v>18.041</v>
      </c>
      <c r="J420" s="1">
        <v>17.995999999999999</v>
      </c>
      <c r="K420" s="1">
        <v>9.1999999999999998E-2</v>
      </c>
      <c r="L420" s="1"/>
      <c r="M420" s="1"/>
      <c r="N420" s="1"/>
      <c r="O420" s="1"/>
      <c r="P420" s="1"/>
      <c r="Q420" s="1"/>
      <c r="R420" s="1"/>
      <c r="S420" s="1" t="s">
        <v>109</v>
      </c>
      <c r="T420" s="1">
        <v>0.38700000000000001</v>
      </c>
      <c r="U420" s="1" t="s">
        <v>109</v>
      </c>
      <c r="V420" s="1">
        <v>3</v>
      </c>
      <c r="W420" s="1">
        <v>13</v>
      </c>
      <c r="X420" s="1" t="s">
        <v>110</v>
      </c>
      <c r="Y420" s="1"/>
      <c r="Z420" s="1">
        <v>0.98399999999999999</v>
      </c>
      <c r="AA420" s="1" t="s">
        <v>111</v>
      </c>
      <c r="AB420" s="1" t="s">
        <v>111</v>
      </c>
      <c r="AC420" s="1" t="s">
        <v>111</v>
      </c>
      <c r="AD420" s="1" t="s">
        <v>111</v>
      </c>
      <c r="AE420" s="1" t="s">
        <v>111</v>
      </c>
      <c r="AF420" s="1" t="s">
        <v>111</v>
      </c>
      <c r="AG420" s="1" t="s">
        <v>111</v>
      </c>
      <c r="AH420" s="1" t="s">
        <v>111</v>
      </c>
      <c r="AI420" s="1">
        <v>82.353999999999999</v>
      </c>
      <c r="AJ420" s="1" t="s">
        <v>111</v>
      </c>
      <c r="AK420" s="1"/>
      <c r="AL420" s="1" t="s">
        <v>111</v>
      </c>
      <c r="AM420" s="1"/>
      <c r="AN420" s="1" t="s">
        <v>111</v>
      </c>
      <c r="AO420" s="1"/>
      <c r="AP420" s="1" t="s">
        <v>111</v>
      </c>
      <c r="AQ420" s="1" t="s">
        <v>111</v>
      </c>
    </row>
    <row r="421" spans="1:43" x14ac:dyDescent="0.25">
      <c r="A421" s="1">
        <v>49</v>
      </c>
      <c r="B421" s="1" t="s">
        <v>157</v>
      </c>
      <c r="C421" s="1" t="s">
        <v>103</v>
      </c>
      <c r="D421" s="1" t="s">
        <v>416</v>
      </c>
      <c r="E421" s="1" t="s">
        <v>158</v>
      </c>
      <c r="F421" s="1" t="s">
        <v>106</v>
      </c>
      <c r="G421" s="1" t="s">
        <v>107</v>
      </c>
      <c r="H421" s="1" t="s">
        <v>108</v>
      </c>
      <c r="I421" s="1">
        <v>16.262</v>
      </c>
      <c r="J421" s="1">
        <v>16.309999999999999</v>
      </c>
      <c r="K421" s="1">
        <v>6.3E-2</v>
      </c>
      <c r="L421" s="1"/>
      <c r="M421" s="1"/>
      <c r="N421" s="1"/>
      <c r="O421" s="1"/>
      <c r="P421" s="1"/>
      <c r="Q421" s="1"/>
      <c r="R421" s="1"/>
      <c r="S421" s="1" t="s">
        <v>109</v>
      </c>
      <c r="T421" s="1">
        <v>0.36599999999999999</v>
      </c>
      <c r="U421" s="1" t="s">
        <v>109</v>
      </c>
      <c r="V421" s="1">
        <v>3</v>
      </c>
      <c r="W421" s="1">
        <v>10</v>
      </c>
      <c r="X421" s="1" t="s">
        <v>110</v>
      </c>
      <c r="Y421" s="1"/>
      <c r="Z421" s="1">
        <v>0.98699999999999999</v>
      </c>
      <c r="AA421" s="1" t="s">
        <v>111</v>
      </c>
      <c r="AB421" s="1" t="s">
        <v>111</v>
      </c>
      <c r="AC421" s="1" t="s">
        <v>111</v>
      </c>
      <c r="AD421" s="1" t="s">
        <v>111</v>
      </c>
      <c r="AE421" s="1" t="s">
        <v>111</v>
      </c>
      <c r="AF421" s="1" t="s">
        <v>111</v>
      </c>
      <c r="AG421" s="1" t="s">
        <v>111</v>
      </c>
      <c r="AH421" s="1" t="s">
        <v>111</v>
      </c>
      <c r="AI421" s="1">
        <v>88.001999999999995</v>
      </c>
      <c r="AJ421" s="1" t="s">
        <v>111</v>
      </c>
      <c r="AK421" s="1"/>
      <c r="AL421" s="1" t="s">
        <v>111</v>
      </c>
      <c r="AM421" s="1"/>
      <c r="AN421" s="1" t="s">
        <v>111</v>
      </c>
      <c r="AO421" s="1"/>
      <c r="AP421" s="1" t="s">
        <v>111</v>
      </c>
      <c r="AQ421" s="1" t="s">
        <v>111</v>
      </c>
    </row>
    <row r="422" spans="1:43" x14ac:dyDescent="0.25">
      <c r="A422" s="1">
        <v>50</v>
      </c>
      <c r="B422" s="1" t="s">
        <v>159</v>
      </c>
      <c r="C422" s="1" t="s">
        <v>103</v>
      </c>
      <c r="D422" s="1" t="s">
        <v>416</v>
      </c>
      <c r="E422" s="1" t="s">
        <v>158</v>
      </c>
      <c r="F422" s="1" t="s">
        <v>106</v>
      </c>
      <c r="G422" s="1" t="s">
        <v>107</v>
      </c>
      <c r="H422" s="1" t="s">
        <v>108</v>
      </c>
      <c r="I422" s="1">
        <v>16.378</v>
      </c>
      <c r="J422" s="1">
        <v>16.309999999999999</v>
      </c>
      <c r="K422" s="1">
        <v>6.3E-2</v>
      </c>
      <c r="L422" s="1"/>
      <c r="M422" s="1"/>
      <c r="N422" s="1"/>
      <c r="O422" s="1"/>
      <c r="P422" s="1"/>
      <c r="Q422" s="1"/>
      <c r="R422" s="1"/>
      <c r="S422" s="1" t="s">
        <v>109</v>
      </c>
      <c r="T422" s="1">
        <v>0.36599999999999999</v>
      </c>
      <c r="U422" s="1" t="s">
        <v>109</v>
      </c>
      <c r="V422" s="1">
        <v>3</v>
      </c>
      <c r="W422" s="1">
        <v>11</v>
      </c>
      <c r="X422" s="1" t="s">
        <v>110</v>
      </c>
      <c r="Y422" s="1"/>
      <c r="Z422" s="1">
        <v>0.97099999999999997</v>
      </c>
      <c r="AA422" s="1" t="s">
        <v>111</v>
      </c>
      <c r="AB422" s="1" t="s">
        <v>111</v>
      </c>
      <c r="AC422" s="1" t="s">
        <v>111</v>
      </c>
      <c r="AD422" s="1" t="s">
        <v>111</v>
      </c>
      <c r="AE422" s="1" t="s">
        <v>111</v>
      </c>
      <c r="AF422" s="1" t="s">
        <v>111</v>
      </c>
      <c r="AG422" s="1" t="s">
        <v>111</v>
      </c>
      <c r="AH422" s="1" t="s">
        <v>111</v>
      </c>
      <c r="AI422" s="1">
        <v>88.001999999999995</v>
      </c>
      <c r="AJ422" s="1" t="s">
        <v>111</v>
      </c>
      <c r="AK422" s="1"/>
      <c r="AL422" s="1" t="s">
        <v>111</v>
      </c>
      <c r="AM422" s="1"/>
      <c r="AN422" s="1" t="s">
        <v>111</v>
      </c>
      <c r="AO422" s="1"/>
      <c r="AP422" s="1" t="s">
        <v>111</v>
      </c>
      <c r="AQ422" s="1" t="s">
        <v>111</v>
      </c>
    </row>
    <row r="423" spans="1:43" x14ac:dyDescent="0.25">
      <c r="A423" s="1">
        <v>51</v>
      </c>
      <c r="B423" s="1" t="s">
        <v>160</v>
      </c>
      <c r="C423" s="1" t="s">
        <v>103</v>
      </c>
      <c r="D423" s="1" t="s">
        <v>417</v>
      </c>
      <c r="E423" s="1" t="s">
        <v>158</v>
      </c>
      <c r="F423" s="1" t="s">
        <v>106</v>
      </c>
      <c r="G423" s="1" t="s">
        <v>107</v>
      </c>
      <c r="H423" s="1" t="s">
        <v>108</v>
      </c>
      <c r="I423" s="1">
        <v>16.212</v>
      </c>
      <c r="J423" s="1">
        <v>16.294</v>
      </c>
      <c r="K423" s="1">
        <v>0.14299999999999999</v>
      </c>
      <c r="L423" s="1"/>
      <c r="M423" s="1"/>
      <c r="N423" s="1"/>
      <c r="O423" s="1"/>
      <c r="P423" s="1"/>
      <c r="Q423" s="1"/>
      <c r="R423" s="1"/>
      <c r="S423" s="1" t="s">
        <v>109</v>
      </c>
      <c r="T423" s="1">
        <v>0.36599999999999999</v>
      </c>
      <c r="U423" s="1" t="s">
        <v>109</v>
      </c>
      <c r="V423" s="1">
        <v>3</v>
      </c>
      <c r="W423" s="1">
        <v>10</v>
      </c>
      <c r="X423" s="1" t="s">
        <v>110</v>
      </c>
      <c r="Y423" s="1"/>
      <c r="Z423" s="1">
        <v>0.98099999999999998</v>
      </c>
      <c r="AA423" s="1" t="s">
        <v>111</v>
      </c>
      <c r="AB423" s="1" t="s">
        <v>111</v>
      </c>
      <c r="AC423" s="1" t="s">
        <v>111</v>
      </c>
      <c r="AD423" s="1" t="s">
        <v>111</v>
      </c>
      <c r="AE423" s="1" t="s">
        <v>111</v>
      </c>
      <c r="AF423" s="1" t="s">
        <v>111</v>
      </c>
      <c r="AG423" s="1" t="s">
        <v>111</v>
      </c>
      <c r="AH423" s="1" t="s">
        <v>111</v>
      </c>
      <c r="AI423" s="1">
        <v>88.001999999999995</v>
      </c>
      <c r="AJ423" s="1" t="s">
        <v>111</v>
      </c>
      <c r="AK423" s="1"/>
      <c r="AL423" s="1" t="s">
        <v>111</v>
      </c>
      <c r="AM423" s="1"/>
      <c r="AN423" s="1" t="s">
        <v>111</v>
      </c>
      <c r="AO423" s="1"/>
      <c r="AP423" s="1" t="s">
        <v>111</v>
      </c>
      <c r="AQ423" s="1" t="s">
        <v>111</v>
      </c>
    </row>
    <row r="424" spans="1:43" x14ac:dyDescent="0.25">
      <c r="A424" s="1">
        <v>52</v>
      </c>
      <c r="B424" s="1" t="s">
        <v>161</v>
      </c>
      <c r="C424" s="1" t="s">
        <v>103</v>
      </c>
      <c r="D424" s="1" t="s">
        <v>417</v>
      </c>
      <c r="E424" s="1" t="s">
        <v>158</v>
      </c>
      <c r="F424" s="1" t="s">
        <v>106</v>
      </c>
      <c r="G424" s="1" t="s">
        <v>107</v>
      </c>
      <c r="H424" s="1" t="s">
        <v>108</v>
      </c>
      <c r="I424" s="1">
        <v>16.285</v>
      </c>
      <c r="J424" s="1">
        <v>16.294</v>
      </c>
      <c r="K424" s="1">
        <v>0.14299999999999999</v>
      </c>
      <c r="L424" s="1"/>
      <c r="M424" s="1"/>
      <c r="N424" s="1"/>
      <c r="O424" s="1"/>
      <c r="P424" s="1"/>
      <c r="Q424" s="1"/>
      <c r="R424" s="1"/>
      <c r="S424" s="1" t="s">
        <v>109</v>
      </c>
      <c r="T424" s="1">
        <v>0.36599999999999999</v>
      </c>
      <c r="U424" s="1" t="s">
        <v>109</v>
      </c>
      <c r="V424" s="1">
        <v>3</v>
      </c>
      <c r="W424" s="1">
        <v>10</v>
      </c>
      <c r="X424" s="1" t="s">
        <v>110</v>
      </c>
      <c r="Y424" s="1"/>
      <c r="Z424" s="1">
        <v>0.98099999999999998</v>
      </c>
      <c r="AA424" s="1" t="s">
        <v>111</v>
      </c>
      <c r="AB424" s="1" t="s">
        <v>111</v>
      </c>
      <c r="AC424" s="1" t="s">
        <v>111</v>
      </c>
      <c r="AD424" s="1" t="s">
        <v>111</v>
      </c>
      <c r="AE424" s="1" t="s">
        <v>111</v>
      </c>
      <c r="AF424" s="1" t="s">
        <v>111</v>
      </c>
      <c r="AG424" s="1" t="s">
        <v>111</v>
      </c>
      <c r="AH424" s="1" t="s">
        <v>111</v>
      </c>
      <c r="AI424" s="1">
        <v>88.001999999999995</v>
      </c>
      <c r="AJ424" s="1" t="s">
        <v>111</v>
      </c>
      <c r="AK424" s="1"/>
      <c r="AL424" s="1" t="s">
        <v>111</v>
      </c>
      <c r="AM424" s="1"/>
      <c r="AN424" s="1" t="s">
        <v>111</v>
      </c>
      <c r="AO424" s="1"/>
      <c r="AP424" s="1" t="s">
        <v>111</v>
      </c>
      <c r="AQ424" s="1" t="s">
        <v>111</v>
      </c>
    </row>
    <row r="425" spans="1:43" x14ac:dyDescent="0.25">
      <c r="A425" s="1">
        <v>53</v>
      </c>
      <c r="B425" s="1" t="s">
        <v>162</v>
      </c>
      <c r="C425" s="1" t="s">
        <v>103</v>
      </c>
      <c r="D425" s="1" t="s">
        <v>418</v>
      </c>
      <c r="E425" s="1" t="s">
        <v>158</v>
      </c>
      <c r="F425" s="1" t="s">
        <v>106</v>
      </c>
      <c r="G425" s="1" t="s">
        <v>107</v>
      </c>
      <c r="H425" s="1" t="s">
        <v>108</v>
      </c>
      <c r="I425" s="1">
        <v>19.164000000000001</v>
      </c>
      <c r="J425" s="1">
        <v>19.113</v>
      </c>
      <c r="K425" s="1">
        <v>5.3999999999999999E-2</v>
      </c>
      <c r="L425" s="1"/>
      <c r="M425" s="1"/>
      <c r="N425" s="1"/>
      <c r="O425" s="1"/>
      <c r="P425" s="1"/>
      <c r="Q425" s="1"/>
      <c r="R425" s="1"/>
      <c r="S425" s="1" t="s">
        <v>109</v>
      </c>
      <c r="T425" s="1">
        <v>0.36599999999999999</v>
      </c>
      <c r="U425" s="1" t="s">
        <v>109</v>
      </c>
      <c r="V425" s="1">
        <v>3</v>
      </c>
      <c r="W425" s="1">
        <v>13</v>
      </c>
      <c r="X425" s="1" t="s">
        <v>110</v>
      </c>
      <c r="Y425" s="1"/>
      <c r="Z425" s="1">
        <v>0.97799999999999998</v>
      </c>
      <c r="AA425" s="1" t="s">
        <v>111</v>
      </c>
      <c r="AB425" s="1" t="s">
        <v>111</v>
      </c>
      <c r="AC425" s="1" t="s">
        <v>111</v>
      </c>
      <c r="AD425" s="1" t="s">
        <v>111</v>
      </c>
      <c r="AE425" s="1" t="s">
        <v>111</v>
      </c>
      <c r="AF425" s="1" t="s">
        <v>111</v>
      </c>
      <c r="AG425" s="1" t="s">
        <v>111</v>
      </c>
      <c r="AH425" s="1" t="s">
        <v>111</v>
      </c>
      <c r="AI425" s="1">
        <v>87.986999999999995</v>
      </c>
      <c r="AJ425" s="1" t="s">
        <v>111</v>
      </c>
      <c r="AK425" s="1"/>
      <c r="AL425" s="1" t="s">
        <v>111</v>
      </c>
      <c r="AM425" s="1"/>
      <c r="AN425" s="1" t="s">
        <v>111</v>
      </c>
      <c r="AO425" s="1"/>
      <c r="AP425" s="1" t="s">
        <v>111</v>
      </c>
      <c r="AQ425" s="1" t="s">
        <v>111</v>
      </c>
    </row>
    <row r="426" spans="1:43" x14ac:dyDescent="0.25">
      <c r="A426" s="1">
        <v>54</v>
      </c>
      <c r="B426" s="1" t="s">
        <v>163</v>
      </c>
      <c r="C426" s="1" t="s">
        <v>103</v>
      </c>
      <c r="D426" s="1" t="s">
        <v>418</v>
      </c>
      <c r="E426" s="1" t="s">
        <v>158</v>
      </c>
      <c r="F426" s="1" t="s">
        <v>106</v>
      </c>
      <c r="G426" s="1" t="s">
        <v>107</v>
      </c>
      <c r="H426" s="1" t="s">
        <v>108</v>
      </c>
      <c r="I426" s="1">
        <v>19.152000000000001</v>
      </c>
      <c r="J426" s="1">
        <v>19.113</v>
      </c>
      <c r="K426" s="1">
        <v>5.3999999999999999E-2</v>
      </c>
      <c r="L426" s="1"/>
      <c r="M426" s="1"/>
      <c r="N426" s="1"/>
      <c r="O426" s="1"/>
      <c r="P426" s="1"/>
      <c r="Q426" s="1"/>
      <c r="R426" s="1"/>
      <c r="S426" s="1" t="s">
        <v>109</v>
      </c>
      <c r="T426" s="1">
        <v>0.36599999999999999</v>
      </c>
      <c r="U426" s="1" t="s">
        <v>109</v>
      </c>
      <c r="V426" s="1">
        <v>3</v>
      </c>
      <c r="W426" s="1">
        <v>13</v>
      </c>
      <c r="X426" s="1" t="s">
        <v>110</v>
      </c>
      <c r="Y426" s="1"/>
      <c r="Z426" s="1">
        <v>0.97699999999999998</v>
      </c>
      <c r="AA426" s="1" t="s">
        <v>111</v>
      </c>
      <c r="AB426" s="1" t="s">
        <v>111</v>
      </c>
      <c r="AC426" s="1" t="s">
        <v>111</v>
      </c>
      <c r="AD426" s="1" t="s">
        <v>111</v>
      </c>
      <c r="AE426" s="1" t="s">
        <v>111</v>
      </c>
      <c r="AF426" s="1" t="s">
        <v>111</v>
      </c>
      <c r="AG426" s="1" t="s">
        <v>111</v>
      </c>
      <c r="AH426" s="1" t="s">
        <v>111</v>
      </c>
      <c r="AI426" s="1">
        <v>87.986999999999995</v>
      </c>
      <c r="AJ426" s="1" t="s">
        <v>111</v>
      </c>
      <c r="AK426" s="1"/>
      <c r="AL426" s="1" t="s">
        <v>111</v>
      </c>
      <c r="AM426" s="1"/>
      <c r="AN426" s="1" t="s">
        <v>111</v>
      </c>
      <c r="AO426" s="1"/>
      <c r="AP426" s="1" t="s">
        <v>111</v>
      </c>
      <c r="AQ426" s="1" t="s">
        <v>111</v>
      </c>
    </row>
    <row r="427" spans="1:43" x14ac:dyDescent="0.25">
      <c r="A427" s="1">
        <v>55</v>
      </c>
      <c r="B427" s="1" t="s">
        <v>164</v>
      </c>
      <c r="C427" s="1" t="s">
        <v>103</v>
      </c>
      <c r="D427" s="1" t="s">
        <v>419</v>
      </c>
      <c r="E427" s="1" t="s">
        <v>158</v>
      </c>
      <c r="F427" s="1" t="s">
        <v>106</v>
      </c>
      <c r="G427" s="1" t="s">
        <v>107</v>
      </c>
      <c r="H427" s="1" t="s">
        <v>108</v>
      </c>
      <c r="I427" s="1">
        <v>19.113</v>
      </c>
      <c r="J427" s="1">
        <v>19.166</v>
      </c>
      <c r="K427" s="1">
        <v>8.7999999999999995E-2</v>
      </c>
      <c r="L427" s="1"/>
      <c r="M427" s="1"/>
      <c r="N427" s="1"/>
      <c r="O427" s="1"/>
      <c r="P427" s="1"/>
      <c r="Q427" s="1"/>
      <c r="R427" s="1"/>
      <c r="S427" s="1" t="s">
        <v>109</v>
      </c>
      <c r="T427" s="1">
        <v>0.36599999999999999</v>
      </c>
      <c r="U427" s="1" t="s">
        <v>109</v>
      </c>
      <c r="V427" s="1">
        <v>3</v>
      </c>
      <c r="W427" s="1">
        <v>13</v>
      </c>
      <c r="X427" s="1" t="s">
        <v>110</v>
      </c>
      <c r="Y427" s="1"/>
      <c r="Z427" s="1">
        <v>0.98099999999999998</v>
      </c>
      <c r="AA427" s="1" t="s">
        <v>111</v>
      </c>
      <c r="AB427" s="1" t="s">
        <v>111</v>
      </c>
      <c r="AC427" s="1" t="s">
        <v>111</v>
      </c>
      <c r="AD427" s="1" t="s">
        <v>111</v>
      </c>
      <c r="AE427" s="1" t="s">
        <v>111</v>
      </c>
      <c r="AF427" s="1" t="s">
        <v>111</v>
      </c>
      <c r="AG427" s="1" t="s">
        <v>111</v>
      </c>
      <c r="AH427" s="1" t="s">
        <v>111</v>
      </c>
      <c r="AI427" s="1">
        <v>87.986999999999995</v>
      </c>
      <c r="AJ427" s="1" t="s">
        <v>111</v>
      </c>
      <c r="AK427" s="1"/>
      <c r="AL427" s="1" t="s">
        <v>111</v>
      </c>
      <c r="AM427" s="1"/>
      <c r="AN427" s="1" t="s">
        <v>111</v>
      </c>
      <c r="AO427" s="1"/>
      <c r="AP427" s="1" t="s">
        <v>111</v>
      </c>
      <c r="AQ427" s="1" t="s">
        <v>111</v>
      </c>
    </row>
    <row r="428" spans="1:43" x14ac:dyDescent="0.25">
      <c r="A428" s="1">
        <v>56</v>
      </c>
      <c r="B428" s="1" t="s">
        <v>165</v>
      </c>
      <c r="C428" s="1" t="s">
        <v>103</v>
      </c>
      <c r="D428" s="1" t="s">
        <v>419</v>
      </c>
      <c r="E428" s="1" t="s">
        <v>158</v>
      </c>
      <c r="F428" s="1" t="s">
        <v>106</v>
      </c>
      <c r="G428" s="1" t="s">
        <v>107</v>
      </c>
      <c r="H428" s="1" t="s">
        <v>108</v>
      </c>
      <c r="I428" s="1">
        <v>19.295000000000002</v>
      </c>
      <c r="J428" s="1">
        <v>19.166</v>
      </c>
      <c r="K428" s="1">
        <v>8.7999999999999995E-2</v>
      </c>
      <c r="L428" s="1"/>
      <c r="M428" s="1"/>
      <c r="N428" s="1"/>
      <c r="O428" s="1"/>
      <c r="P428" s="1"/>
      <c r="Q428" s="1"/>
      <c r="R428" s="1"/>
      <c r="S428" s="1" t="s">
        <v>109</v>
      </c>
      <c r="T428" s="1">
        <v>0.36599999999999999</v>
      </c>
      <c r="U428" s="1" t="s">
        <v>109</v>
      </c>
      <c r="V428" s="1">
        <v>3</v>
      </c>
      <c r="W428" s="1">
        <v>13</v>
      </c>
      <c r="X428" s="1" t="s">
        <v>110</v>
      </c>
      <c r="Y428" s="1"/>
      <c r="Z428" s="1">
        <v>0.98299999999999998</v>
      </c>
      <c r="AA428" s="1" t="s">
        <v>111</v>
      </c>
      <c r="AB428" s="1" t="s">
        <v>111</v>
      </c>
      <c r="AC428" s="1" t="s">
        <v>111</v>
      </c>
      <c r="AD428" s="1" t="s">
        <v>111</v>
      </c>
      <c r="AE428" s="1" t="s">
        <v>111</v>
      </c>
      <c r="AF428" s="1" t="s">
        <v>111</v>
      </c>
      <c r="AG428" s="1" t="s">
        <v>111</v>
      </c>
      <c r="AH428" s="1" t="s">
        <v>111</v>
      </c>
      <c r="AI428" s="1">
        <v>87.986999999999995</v>
      </c>
      <c r="AJ428" s="1" t="s">
        <v>111</v>
      </c>
      <c r="AK428" s="1"/>
      <c r="AL428" s="1" t="s">
        <v>111</v>
      </c>
      <c r="AM428" s="1"/>
      <c r="AN428" s="1" t="s">
        <v>111</v>
      </c>
      <c r="AO428" s="1"/>
      <c r="AP428" s="1" t="s">
        <v>111</v>
      </c>
      <c r="AQ428" s="1" t="s">
        <v>111</v>
      </c>
    </row>
    <row r="429" spans="1:43" x14ac:dyDescent="0.25">
      <c r="A429" s="1">
        <v>57</v>
      </c>
      <c r="B429" s="1" t="s">
        <v>166</v>
      </c>
      <c r="C429" s="1" t="s">
        <v>103</v>
      </c>
      <c r="D429" s="1" t="s">
        <v>420</v>
      </c>
      <c r="E429" s="1" t="s">
        <v>158</v>
      </c>
      <c r="F429" s="1" t="s">
        <v>106</v>
      </c>
      <c r="G429" s="1" t="s">
        <v>107</v>
      </c>
      <c r="H429" s="1" t="s">
        <v>108</v>
      </c>
      <c r="I429" s="1">
        <v>19.241</v>
      </c>
      <c r="J429" s="1">
        <v>19.344000000000001</v>
      </c>
      <c r="K429" s="1">
        <v>0.26700000000000002</v>
      </c>
      <c r="L429" s="1"/>
      <c r="M429" s="1"/>
      <c r="N429" s="1"/>
      <c r="O429" s="1"/>
      <c r="P429" s="1"/>
      <c r="Q429" s="1"/>
      <c r="R429" s="1"/>
      <c r="S429" s="1" t="s">
        <v>109</v>
      </c>
      <c r="T429" s="1">
        <v>0.36599999999999999</v>
      </c>
      <c r="U429" s="1" t="s">
        <v>109</v>
      </c>
      <c r="V429" s="1">
        <v>3</v>
      </c>
      <c r="W429" s="1">
        <v>13</v>
      </c>
      <c r="X429" s="1" t="s">
        <v>110</v>
      </c>
      <c r="Y429" s="1"/>
      <c r="Z429" s="1">
        <v>0.98699999999999999</v>
      </c>
      <c r="AA429" s="1" t="s">
        <v>111</v>
      </c>
      <c r="AB429" s="1" t="s">
        <v>111</v>
      </c>
      <c r="AC429" s="1" t="s">
        <v>111</v>
      </c>
      <c r="AD429" s="1" t="s">
        <v>111</v>
      </c>
      <c r="AE429" s="1" t="s">
        <v>111</v>
      </c>
      <c r="AF429" s="1" t="s">
        <v>111</v>
      </c>
      <c r="AG429" s="1" t="s">
        <v>111</v>
      </c>
      <c r="AH429" s="1" t="s">
        <v>111</v>
      </c>
      <c r="AI429" s="1">
        <v>88.001000000000005</v>
      </c>
      <c r="AJ429" s="1" t="s">
        <v>111</v>
      </c>
      <c r="AK429" s="1"/>
      <c r="AL429" s="1" t="s">
        <v>111</v>
      </c>
      <c r="AM429" s="1"/>
      <c r="AN429" s="1" t="s">
        <v>111</v>
      </c>
      <c r="AO429" s="1"/>
      <c r="AP429" s="1" t="s">
        <v>111</v>
      </c>
      <c r="AQ429" s="1" t="s">
        <v>111</v>
      </c>
    </row>
    <row r="430" spans="1:43" x14ac:dyDescent="0.25">
      <c r="A430" s="1">
        <v>58</v>
      </c>
      <c r="B430" s="1" t="s">
        <v>167</v>
      </c>
      <c r="C430" s="1" t="s">
        <v>103</v>
      </c>
      <c r="D430" s="1" t="s">
        <v>420</v>
      </c>
      <c r="E430" s="1" t="s">
        <v>158</v>
      </c>
      <c r="F430" s="1" t="s">
        <v>106</v>
      </c>
      <c r="G430" s="1" t="s">
        <v>107</v>
      </c>
      <c r="H430" s="1" t="s">
        <v>108</v>
      </c>
      <c r="I430" s="1">
        <v>19.742999999999999</v>
      </c>
      <c r="J430" s="1">
        <v>19.344000000000001</v>
      </c>
      <c r="K430" s="1">
        <v>0.26700000000000002</v>
      </c>
      <c r="L430" s="1"/>
      <c r="M430" s="1"/>
      <c r="N430" s="1"/>
      <c r="O430" s="1"/>
      <c r="P430" s="1"/>
      <c r="Q430" s="1"/>
      <c r="R430" s="1"/>
      <c r="S430" s="1" t="s">
        <v>109</v>
      </c>
      <c r="T430" s="1">
        <v>0.36599999999999999</v>
      </c>
      <c r="U430" s="1" t="s">
        <v>109</v>
      </c>
      <c r="V430" s="1">
        <v>3</v>
      </c>
      <c r="W430" s="1">
        <v>14</v>
      </c>
      <c r="X430" s="1" t="s">
        <v>110</v>
      </c>
      <c r="Y430" s="1"/>
      <c r="Z430" s="1">
        <v>0.98399999999999999</v>
      </c>
      <c r="AA430" s="1" t="s">
        <v>111</v>
      </c>
      <c r="AB430" s="1" t="s">
        <v>111</v>
      </c>
      <c r="AC430" s="1" t="s">
        <v>111</v>
      </c>
      <c r="AD430" s="1" t="s">
        <v>111</v>
      </c>
      <c r="AE430" s="1" t="s">
        <v>205</v>
      </c>
      <c r="AF430" s="1" t="s">
        <v>111</v>
      </c>
      <c r="AG430" s="1" t="s">
        <v>111</v>
      </c>
      <c r="AH430" s="1" t="s">
        <v>111</v>
      </c>
      <c r="AI430" s="1">
        <v>88.114000000000004</v>
      </c>
      <c r="AJ430" s="1" t="s">
        <v>111</v>
      </c>
      <c r="AK430" s="1"/>
      <c r="AL430" s="1" t="s">
        <v>111</v>
      </c>
      <c r="AM430" s="1"/>
      <c r="AN430" s="1" t="s">
        <v>111</v>
      </c>
      <c r="AO430" s="1"/>
      <c r="AP430" s="1" t="s">
        <v>111</v>
      </c>
      <c r="AQ430" s="1" t="s">
        <v>111</v>
      </c>
    </row>
    <row r="431" spans="1:43" x14ac:dyDescent="0.25">
      <c r="A431" s="1">
        <v>59</v>
      </c>
      <c r="B431" s="1" t="s">
        <v>168</v>
      </c>
      <c r="C431" s="1" t="s">
        <v>103</v>
      </c>
      <c r="D431" s="1" t="s">
        <v>421</v>
      </c>
      <c r="E431" s="1" t="s">
        <v>158</v>
      </c>
      <c r="F431" s="1" t="s">
        <v>106</v>
      </c>
      <c r="G431" s="1" t="s">
        <v>107</v>
      </c>
      <c r="H431" s="1" t="s">
        <v>108</v>
      </c>
      <c r="I431" s="1">
        <v>17.518000000000001</v>
      </c>
      <c r="J431" s="1">
        <v>17.675000000000001</v>
      </c>
      <c r="K431" s="1">
        <v>0.19600000000000001</v>
      </c>
      <c r="L431" s="1"/>
      <c r="M431" s="1"/>
      <c r="N431" s="1"/>
      <c r="O431" s="1"/>
      <c r="P431" s="1"/>
      <c r="Q431" s="1"/>
      <c r="R431" s="1"/>
      <c r="S431" s="1" t="s">
        <v>109</v>
      </c>
      <c r="T431" s="1">
        <v>0.36599999999999999</v>
      </c>
      <c r="U431" s="1" t="s">
        <v>109</v>
      </c>
      <c r="V431" s="1">
        <v>3</v>
      </c>
      <c r="W431" s="1">
        <v>11</v>
      </c>
      <c r="X431" s="1" t="s">
        <v>110</v>
      </c>
      <c r="Y431" s="1"/>
      <c r="Z431" s="1">
        <v>0.98199999999999998</v>
      </c>
      <c r="AA431" s="1" t="s">
        <v>111</v>
      </c>
      <c r="AB431" s="1" t="s">
        <v>111</v>
      </c>
      <c r="AC431" s="1" t="s">
        <v>111</v>
      </c>
      <c r="AD431" s="1" t="s">
        <v>111</v>
      </c>
      <c r="AE431" s="1" t="s">
        <v>111</v>
      </c>
      <c r="AF431" s="1" t="s">
        <v>111</v>
      </c>
      <c r="AG431" s="1" t="s">
        <v>111</v>
      </c>
      <c r="AH431" s="1" t="s">
        <v>111</v>
      </c>
      <c r="AI431" s="1">
        <v>88.001000000000005</v>
      </c>
      <c r="AJ431" s="1" t="s">
        <v>111</v>
      </c>
      <c r="AK431" s="1"/>
      <c r="AL431" s="1" t="s">
        <v>111</v>
      </c>
      <c r="AM431" s="1"/>
      <c r="AN431" s="1" t="s">
        <v>111</v>
      </c>
      <c r="AO431" s="1"/>
      <c r="AP431" s="1" t="s">
        <v>111</v>
      </c>
      <c r="AQ431" s="1" t="s">
        <v>111</v>
      </c>
    </row>
    <row r="432" spans="1:43" x14ac:dyDescent="0.25">
      <c r="A432" s="1">
        <v>60</v>
      </c>
      <c r="B432" s="1" t="s">
        <v>169</v>
      </c>
      <c r="C432" s="1" t="s">
        <v>103</v>
      </c>
      <c r="D432" s="1" t="s">
        <v>421</v>
      </c>
      <c r="E432" s="1" t="s">
        <v>158</v>
      </c>
      <c r="F432" s="1" t="s">
        <v>106</v>
      </c>
      <c r="G432" s="1" t="s">
        <v>107</v>
      </c>
      <c r="H432" s="1" t="s">
        <v>108</v>
      </c>
      <c r="I432" s="1">
        <v>17.544</v>
      </c>
      <c r="J432" s="1">
        <v>17.675000000000001</v>
      </c>
      <c r="K432" s="1">
        <v>0.19600000000000001</v>
      </c>
      <c r="L432" s="1"/>
      <c r="M432" s="1"/>
      <c r="N432" s="1"/>
      <c r="O432" s="1"/>
      <c r="P432" s="1"/>
      <c r="Q432" s="1"/>
      <c r="R432" s="1"/>
      <c r="S432" s="1" t="s">
        <v>109</v>
      </c>
      <c r="T432" s="1">
        <v>0.36599999999999999</v>
      </c>
      <c r="U432" s="1" t="s">
        <v>109</v>
      </c>
      <c r="V432" s="1">
        <v>3</v>
      </c>
      <c r="W432" s="1">
        <v>11</v>
      </c>
      <c r="X432" s="1" t="s">
        <v>110</v>
      </c>
      <c r="Y432" s="1"/>
      <c r="Z432" s="1">
        <v>0.98</v>
      </c>
      <c r="AA432" s="1" t="s">
        <v>111</v>
      </c>
      <c r="AB432" s="1" t="s">
        <v>111</v>
      </c>
      <c r="AC432" s="1" t="s">
        <v>111</v>
      </c>
      <c r="AD432" s="1" t="s">
        <v>111</v>
      </c>
      <c r="AE432" s="1" t="s">
        <v>111</v>
      </c>
      <c r="AF432" s="1" t="s">
        <v>111</v>
      </c>
      <c r="AG432" s="1" t="s">
        <v>111</v>
      </c>
      <c r="AH432" s="1" t="s">
        <v>111</v>
      </c>
      <c r="AI432" s="1">
        <v>88.114000000000004</v>
      </c>
      <c r="AJ432" s="1" t="s">
        <v>111</v>
      </c>
      <c r="AK432" s="1"/>
      <c r="AL432" s="1" t="s">
        <v>111</v>
      </c>
      <c r="AM432" s="1"/>
      <c r="AN432" s="1" t="s">
        <v>111</v>
      </c>
      <c r="AO432" s="1"/>
      <c r="AP432" s="1" t="s">
        <v>111</v>
      </c>
      <c r="AQ432" s="1" t="s">
        <v>111</v>
      </c>
    </row>
    <row r="433" spans="1:43" x14ac:dyDescent="0.25">
      <c r="A433" s="1">
        <v>65</v>
      </c>
      <c r="B433" s="1" t="s">
        <v>170</v>
      </c>
      <c r="C433" s="1" t="s">
        <v>103</v>
      </c>
      <c r="D433" s="1" t="s">
        <v>420</v>
      </c>
      <c r="E433" s="1" t="s">
        <v>129</v>
      </c>
      <c r="F433" s="1" t="s">
        <v>106</v>
      </c>
      <c r="G433" s="1" t="s">
        <v>107</v>
      </c>
      <c r="H433" s="1" t="s">
        <v>108</v>
      </c>
      <c r="I433" s="1">
        <v>20.026</v>
      </c>
      <c r="J433" s="1">
        <v>19.997</v>
      </c>
      <c r="K433" s="1">
        <v>0.109</v>
      </c>
      <c r="L433" s="1"/>
      <c r="M433" s="1"/>
      <c r="N433" s="1"/>
      <c r="O433" s="1"/>
      <c r="P433" s="1"/>
      <c r="Q433" s="1"/>
      <c r="R433" s="1"/>
      <c r="S433" s="1" t="s">
        <v>109</v>
      </c>
      <c r="T433" s="1">
        <v>0.38700000000000001</v>
      </c>
      <c r="U433" s="1" t="s">
        <v>109</v>
      </c>
      <c r="V433" s="1">
        <v>3</v>
      </c>
      <c r="W433" s="1">
        <v>13</v>
      </c>
      <c r="X433" s="1" t="s">
        <v>110</v>
      </c>
      <c r="Y433" s="1"/>
      <c r="Z433" s="1">
        <v>0.98299999999999998</v>
      </c>
      <c r="AA433" s="1" t="s">
        <v>111</v>
      </c>
      <c r="AB433" s="1" t="s">
        <v>111</v>
      </c>
      <c r="AC433" s="1" t="s">
        <v>111</v>
      </c>
      <c r="AD433" s="1" t="s">
        <v>111</v>
      </c>
      <c r="AE433" s="1" t="s">
        <v>111</v>
      </c>
      <c r="AF433" s="1" t="s">
        <v>111</v>
      </c>
      <c r="AG433" s="1" t="s">
        <v>111</v>
      </c>
      <c r="AH433" s="1" t="s">
        <v>111</v>
      </c>
      <c r="AI433" s="1">
        <v>82.346000000000004</v>
      </c>
      <c r="AJ433" s="1" t="s">
        <v>111</v>
      </c>
      <c r="AK433" s="1"/>
      <c r="AL433" s="1" t="s">
        <v>111</v>
      </c>
      <c r="AM433" s="1"/>
      <c r="AN433" s="1" t="s">
        <v>111</v>
      </c>
      <c r="AO433" s="1"/>
      <c r="AP433" s="1" t="s">
        <v>111</v>
      </c>
      <c r="AQ433" s="1" t="s">
        <v>111</v>
      </c>
    </row>
    <row r="434" spans="1:43" x14ac:dyDescent="0.25">
      <c r="A434" s="1">
        <v>66</v>
      </c>
      <c r="B434" s="1" t="s">
        <v>171</v>
      </c>
      <c r="C434" s="1" t="s">
        <v>103</v>
      </c>
      <c r="D434" s="1" t="s">
        <v>420</v>
      </c>
      <c r="E434" s="1" t="s">
        <v>129</v>
      </c>
      <c r="F434" s="1" t="s">
        <v>106</v>
      </c>
      <c r="G434" s="1" t="s">
        <v>107</v>
      </c>
      <c r="H434" s="1" t="s">
        <v>108</v>
      </c>
      <c r="I434" s="1">
        <v>20.100000000000001</v>
      </c>
      <c r="J434" s="1">
        <v>19.997</v>
      </c>
      <c r="K434" s="1">
        <v>0.109</v>
      </c>
      <c r="L434" s="1"/>
      <c r="M434" s="1"/>
      <c r="N434" s="1"/>
      <c r="O434" s="1"/>
      <c r="P434" s="1"/>
      <c r="Q434" s="1"/>
      <c r="R434" s="1"/>
      <c r="S434" s="1" t="s">
        <v>109</v>
      </c>
      <c r="T434" s="1">
        <v>0.38700000000000001</v>
      </c>
      <c r="U434" s="1" t="s">
        <v>109</v>
      </c>
      <c r="V434" s="1">
        <v>3</v>
      </c>
      <c r="W434" s="1">
        <v>14</v>
      </c>
      <c r="X434" s="1" t="s">
        <v>110</v>
      </c>
      <c r="Y434" s="1"/>
      <c r="Z434" s="1">
        <v>0.98599999999999999</v>
      </c>
      <c r="AA434" s="1" t="s">
        <v>111</v>
      </c>
      <c r="AB434" s="1" t="s">
        <v>111</v>
      </c>
      <c r="AC434" s="1" t="s">
        <v>111</v>
      </c>
      <c r="AD434" s="1" t="s">
        <v>111</v>
      </c>
      <c r="AE434" s="1" t="s">
        <v>111</v>
      </c>
      <c r="AF434" s="1" t="s">
        <v>111</v>
      </c>
      <c r="AG434" s="1" t="s">
        <v>111</v>
      </c>
      <c r="AH434" s="1" t="s">
        <v>111</v>
      </c>
      <c r="AI434" s="1">
        <v>82.346000000000004</v>
      </c>
      <c r="AJ434" s="1" t="s">
        <v>111</v>
      </c>
      <c r="AK434" s="1"/>
      <c r="AL434" s="1" t="s">
        <v>111</v>
      </c>
      <c r="AM434" s="1"/>
      <c r="AN434" s="1" t="s">
        <v>111</v>
      </c>
      <c r="AO434" s="1"/>
      <c r="AP434" s="1" t="s">
        <v>111</v>
      </c>
      <c r="AQ434" s="1" t="s">
        <v>111</v>
      </c>
    </row>
    <row r="435" spans="1:43" x14ac:dyDescent="0.25">
      <c r="A435" s="1">
        <v>67</v>
      </c>
      <c r="B435" s="1" t="s">
        <v>172</v>
      </c>
      <c r="C435" s="1" t="s">
        <v>103</v>
      </c>
      <c r="D435" s="1" t="s">
        <v>421</v>
      </c>
      <c r="E435" s="1" t="s">
        <v>129</v>
      </c>
      <c r="F435" s="1" t="s">
        <v>106</v>
      </c>
      <c r="G435" s="1" t="s">
        <v>107</v>
      </c>
      <c r="H435" s="1" t="s">
        <v>108</v>
      </c>
      <c r="I435" s="1">
        <v>18.928999999999998</v>
      </c>
      <c r="J435" s="1">
        <v>18.911000000000001</v>
      </c>
      <c r="K435" s="1">
        <v>0.05</v>
      </c>
      <c r="L435" s="1"/>
      <c r="M435" s="1"/>
      <c r="N435" s="1"/>
      <c r="O435" s="1"/>
      <c r="P435" s="1"/>
      <c r="Q435" s="1"/>
      <c r="R435" s="1"/>
      <c r="S435" s="1" t="s">
        <v>109</v>
      </c>
      <c r="T435" s="1">
        <v>0.38700000000000001</v>
      </c>
      <c r="U435" s="1" t="s">
        <v>109</v>
      </c>
      <c r="V435" s="1">
        <v>3</v>
      </c>
      <c r="W435" s="1">
        <v>13</v>
      </c>
      <c r="X435" s="1" t="s">
        <v>110</v>
      </c>
      <c r="Y435" s="1"/>
      <c r="Z435" s="1">
        <v>0.98399999999999999</v>
      </c>
      <c r="AA435" s="1" t="s">
        <v>111</v>
      </c>
      <c r="AB435" s="1" t="s">
        <v>111</v>
      </c>
      <c r="AC435" s="1" t="s">
        <v>111</v>
      </c>
      <c r="AD435" s="1" t="s">
        <v>111</v>
      </c>
      <c r="AE435" s="1" t="s">
        <v>111</v>
      </c>
      <c r="AF435" s="1" t="s">
        <v>111</v>
      </c>
      <c r="AG435" s="1" t="s">
        <v>111</v>
      </c>
      <c r="AH435" s="1" t="s">
        <v>111</v>
      </c>
      <c r="AI435" s="1">
        <v>82.346000000000004</v>
      </c>
      <c r="AJ435" s="1" t="s">
        <v>111</v>
      </c>
      <c r="AK435" s="1"/>
      <c r="AL435" s="1" t="s">
        <v>111</v>
      </c>
      <c r="AM435" s="1"/>
      <c r="AN435" s="1" t="s">
        <v>111</v>
      </c>
      <c r="AO435" s="1"/>
      <c r="AP435" s="1" t="s">
        <v>111</v>
      </c>
      <c r="AQ435" s="1" t="s">
        <v>111</v>
      </c>
    </row>
    <row r="436" spans="1:43" x14ac:dyDescent="0.25">
      <c r="A436" s="1">
        <v>68</v>
      </c>
      <c r="B436" s="1" t="s">
        <v>173</v>
      </c>
      <c r="C436" s="1" t="s">
        <v>103</v>
      </c>
      <c r="D436" s="1" t="s">
        <v>421</v>
      </c>
      <c r="E436" s="1" t="s">
        <v>129</v>
      </c>
      <c r="F436" s="1" t="s">
        <v>106</v>
      </c>
      <c r="G436" s="1" t="s">
        <v>107</v>
      </c>
      <c r="H436" s="1" t="s">
        <v>108</v>
      </c>
      <c r="I436" s="1">
        <v>18.837</v>
      </c>
      <c r="J436" s="1">
        <v>18.911000000000001</v>
      </c>
      <c r="K436" s="1">
        <v>0.05</v>
      </c>
      <c r="L436" s="1"/>
      <c r="M436" s="1"/>
      <c r="N436" s="1"/>
      <c r="O436" s="1"/>
      <c r="P436" s="1"/>
      <c r="Q436" s="1"/>
      <c r="R436" s="1"/>
      <c r="S436" s="1" t="s">
        <v>109</v>
      </c>
      <c r="T436" s="1">
        <v>0.38700000000000001</v>
      </c>
      <c r="U436" s="1" t="s">
        <v>109</v>
      </c>
      <c r="V436" s="1">
        <v>3</v>
      </c>
      <c r="W436" s="1">
        <v>12</v>
      </c>
      <c r="X436" s="1" t="s">
        <v>110</v>
      </c>
      <c r="Y436" s="1"/>
      <c r="Z436" s="1">
        <v>0.99199999999999999</v>
      </c>
      <c r="AA436" s="1" t="s">
        <v>111</v>
      </c>
      <c r="AB436" s="1" t="s">
        <v>111</v>
      </c>
      <c r="AC436" s="1" t="s">
        <v>111</v>
      </c>
      <c r="AD436" s="1" t="s">
        <v>111</v>
      </c>
      <c r="AE436" s="1" t="s">
        <v>111</v>
      </c>
      <c r="AF436" s="1" t="s">
        <v>111</v>
      </c>
      <c r="AG436" s="1" t="s">
        <v>111</v>
      </c>
      <c r="AH436" s="1" t="s">
        <v>111</v>
      </c>
      <c r="AI436" s="1">
        <v>82.346000000000004</v>
      </c>
      <c r="AJ436" s="1" t="s">
        <v>111</v>
      </c>
      <c r="AK436" s="1"/>
      <c r="AL436" s="1" t="s">
        <v>111</v>
      </c>
      <c r="AM436" s="1"/>
      <c r="AN436" s="1" t="s">
        <v>111</v>
      </c>
      <c r="AO436" s="1"/>
      <c r="AP436" s="1" t="s">
        <v>111</v>
      </c>
      <c r="AQ436" s="1" t="s">
        <v>111</v>
      </c>
    </row>
    <row r="437" spans="1:43" x14ac:dyDescent="0.25">
      <c r="A437" s="1">
        <v>73</v>
      </c>
      <c r="B437" s="1" t="s">
        <v>174</v>
      </c>
      <c r="C437" s="1" t="s">
        <v>103</v>
      </c>
      <c r="D437" s="1" t="s">
        <v>416</v>
      </c>
      <c r="E437" s="1" t="s">
        <v>158</v>
      </c>
      <c r="F437" s="1" t="s">
        <v>106</v>
      </c>
      <c r="G437" s="1" t="s">
        <v>107</v>
      </c>
      <c r="H437" s="1" t="s">
        <v>108</v>
      </c>
      <c r="I437" s="1">
        <v>16.349</v>
      </c>
      <c r="J437" s="1">
        <v>16.309999999999999</v>
      </c>
      <c r="K437" s="1">
        <v>6.3E-2</v>
      </c>
      <c r="L437" s="1"/>
      <c r="M437" s="1"/>
      <c r="N437" s="1"/>
      <c r="O437" s="1"/>
      <c r="P437" s="1"/>
      <c r="Q437" s="1"/>
      <c r="R437" s="1"/>
      <c r="S437" s="1" t="s">
        <v>109</v>
      </c>
      <c r="T437" s="1">
        <v>0.36599999999999999</v>
      </c>
      <c r="U437" s="1" t="s">
        <v>109</v>
      </c>
      <c r="V437" s="1">
        <v>3</v>
      </c>
      <c r="W437" s="1">
        <v>10</v>
      </c>
      <c r="X437" s="1" t="s">
        <v>110</v>
      </c>
      <c r="Y437" s="1"/>
      <c r="Z437" s="1">
        <v>0.96</v>
      </c>
      <c r="AA437" s="1" t="s">
        <v>111</v>
      </c>
      <c r="AB437" s="1" t="s">
        <v>111</v>
      </c>
      <c r="AC437" s="1" t="s">
        <v>111</v>
      </c>
      <c r="AD437" s="1" t="s">
        <v>111</v>
      </c>
      <c r="AE437" s="1" t="s">
        <v>111</v>
      </c>
      <c r="AF437" s="1" t="s">
        <v>111</v>
      </c>
      <c r="AG437" s="1" t="s">
        <v>111</v>
      </c>
      <c r="AH437" s="1" t="s">
        <v>111</v>
      </c>
      <c r="AI437" s="1">
        <v>88.001999999999995</v>
      </c>
      <c r="AJ437" s="1" t="s">
        <v>111</v>
      </c>
      <c r="AK437" s="1"/>
      <c r="AL437" s="1" t="s">
        <v>111</v>
      </c>
      <c r="AM437" s="1"/>
      <c r="AN437" s="1" t="s">
        <v>111</v>
      </c>
      <c r="AO437" s="1"/>
      <c r="AP437" s="1" t="s">
        <v>111</v>
      </c>
      <c r="AQ437" s="1" t="s">
        <v>111</v>
      </c>
    </row>
    <row r="438" spans="1:43" x14ac:dyDescent="0.25">
      <c r="A438" s="1">
        <v>74</v>
      </c>
      <c r="B438" s="1" t="s">
        <v>175</v>
      </c>
      <c r="C438" s="1" t="s">
        <v>103</v>
      </c>
      <c r="D438" s="1" t="s">
        <v>416</v>
      </c>
      <c r="E438" s="1" t="s">
        <v>158</v>
      </c>
      <c r="F438" s="1" t="s">
        <v>106</v>
      </c>
      <c r="G438" s="1" t="s">
        <v>107</v>
      </c>
      <c r="H438" s="1" t="s">
        <v>108</v>
      </c>
      <c r="I438" s="1">
        <v>16.25</v>
      </c>
      <c r="J438" s="1">
        <v>16.309999999999999</v>
      </c>
      <c r="K438" s="1">
        <v>6.3E-2</v>
      </c>
      <c r="L438" s="1"/>
      <c r="M438" s="1"/>
      <c r="N438" s="1"/>
      <c r="O438" s="1"/>
      <c r="P438" s="1"/>
      <c r="Q438" s="1"/>
      <c r="R438" s="1"/>
      <c r="S438" s="1" t="s">
        <v>109</v>
      </c>
      <c r="T438" s="1">
        <v>0.36599999999999999</v>
      </c>
      <c r="U438" s="1" t="s">
        <v>109</v>
      </c>
      <c r="V438" s="1">
        <v>3</v>
      </c>
      <c r="W438" s="1">
        <v>10</v>
      </c>
      <c r="X438" s="1" t="s">
        <v>110</v>
      </c>
      <c r="Y438" s="1"/>
      <c r="Z438" s="1">
        <v>0.98299999999999998</v>
      </c>
      <c r="AA438" s="1" t="s">
        <v>111</v>
      </c>
      <c r="AB438" s="1" t="s">
        <v>111</v>
      </c>
      <c r="AC438" s="1" t="s">
        <v>111</v>
      </c>
      <c r="AD438" s="1" t="s">
        <v>111</v>
      </c>
      <c r="AE438" s="1" t="s">
        <v>111</v>
      </c>
      <c r="AF438" s="1" t="s">
        <v>111</v>
      </c>
      <c r="AG438" s="1" t="s">
        <v>111</v>
      </c>
      <c r="AH438" s="1" t="s">
        <v>111</v>
      </c>
      <c r="AI438" s="1">
        <v>88.001999999999995</v>
      </c>
      <c r="AJ438" s="1" t="s">
        <v>111</v>
      </c>
      <c r="AK438" s="1"/>
      <c r="AL438" s="1" t="s">
        <v>111</v>
      </c>
      <c r="AM438" s="1"/>
      <c r="AN438" s="1" t="s">
        <v>111</v>
      </c>
      <c r="AO438" s="1"/>
      <c r="AP438" s="1" t="s">
        <v>111</v>
      </c>
      <c r="AQ438" s="1" t="s">
        <v>111</v>
      </c>
    </row>
    <row r="439" spans="1:43" x14ac:dyDescent="0.25">
      <c r="A439" s="1">
        <v>75</v>
      </c>
      <c r="B439" s="1" t="s">
        <v>176</v>
      </c>
      <c r="C439" s="1" t="s">
        <v>103</v>
      </c>
      <c r="D439" s="1" t="s">
        <v>417</v>
      </c>
      <c r="E439" s="1" t="s">
        <v>158</v>
      </c>
      <c r="F439" s="1" t="s">
        <v>106</v>
      </c>
      <c r="G439" s="1" t="s">
        <v>107</v>
      </c>
      <c r="H439" s="1" t="s">
        <v>108</v>
      </c>
      <c r="I439" s="1">
        <v>16.18</v>
      </c>
      <c r="J439" s="1">
        <v>16.294</v>
      </c>
      <c r="K439" s="1">
        <v>0.14299999999999999</v>
      </c>
      <c r="L439" s="1"/>
      <c r="M439" s="1"/>
      <c r="N439" s="1"/>
      <c r="O439" s="1"/>
      <c r="P439" s="1"/>
      <c r="Q439" s="1"/>
      <c r="R439" s="1"/>
      <c r="S439" s="1" t="s">
        <v>109</v>
      </c>
      <c r="T439" s="1">
        <v>0.36599999999999999</v>
      </c>
      <c r="U439" s="1" t="s">
        <v>109</v>
      </c>
      <c r="V439" s="1">
        <v>3</v>
      </c>
      <c r="W439" s="1">
        <v>10</v>
      </c>
      <c r="X439" s="1" t="s">
        <v>110</v>
      </c>
      <c r="Y439" s="1"/>
      <c r="Z439" s="1">
        <v>0.98</v>
      </c>
      <c r="AA439" s="1" t="s">
        <v>111</v>
      </c>
      <c r="AB439" s="1" t="s">
        <v>111</v>
      </c>
      <c r="AC439" s="1" t="s">
        <v>111</v>
      </c>
      <c r="AD439" s="1" t="s">
        <v>111</v>
      </c>
      <c r="AE439" s="1" t="s">
        <v>111</v>
      </c>
      <c r="AF439" s="1" t="s">
        <v>111</v>
      </c>
      <c r="AG439" s="1" t="s">
        <v>111</v>
      </c>
      <c r="AH439" s="1" t="s">
        <v>111</v>
      </c>
      <c r="AI439" s="1">
        <v>88.001999999999995</v>
      </c>
      <c r="AJ439" s="1" t="s">
        <v>111</v>
      </c>
      <c r="AK439" s="1"/>
      <c r="AL439" s="1" t="s">
        <v>111</v>
      </c>
      <c r="AM439" s="1"/>
      <c r="AN439" s="1" t="s">
        <v>111</v>
      </c>
      <c r="AO439" s="1"/>
      <c r="AP439" s="1" t="s">
        <v>111</v>
      </c>
      <c r="AQ439" s="1" t="s">
        <v>111</v>
      </c>
    </row>
    <row r="440" spans="1:43" x14ac:dyDescent="0.25">
      <c r="A440" s="1">
        <v>76</v>
      </c>
      <c r="B440" s="1" t="s">
        <v>177</v>
      </c>
      <c r="C440" s="1" t="s">
        <v>103</v>
      </c>
      <c r="D440" s="1" t="s">
        <v>417</v>
      </c>
      <c r="E440" s="1" t="s">
        <v>158</v>
      </c>
      <c r="F440" s="1" t="s">
        <v>106</v>
      </c>
      <c r="G440" s="1" t="s">
        <v>107</v>
      </c>
      <c r="H440" s="1" t="s">
        <v>108</v>
      </c>
      <c r="I440" s="1">
        <v>16.498000000000001</v>
      </c>
      <c r="J440" s="1">
        <v>16.294</v>
      </c>
      <c r="K440" s="1">
        <v>0.14299999999999999</v>
      </c>
      <c r="L440" s="1"/>
      <c r="M440" s="1"/>
      <c r="N440" s="1"/>
      <c r="O440" s="1"/>
      <c r="P440" s="1"/>
      <c r="Q440" s="1"/>
      <c r="R440" s="1"/>
      <c r="S440" s="1" t="s">
        <v>109</v>
      </c>
      <c r="T440" s="1">
        <v>0.36599999999999999</v>
      </c>
      <c r="U440" s="1" t="s">
        <v>109</v>
      </c>
      <c r="V440" s="1">
        <v>3</v>
      </c>
      <c r="W440" s="1">
        <v>11</v>
      </c>
      <c r="X440" s="1" t="s">
        <v>110</v>
      </c>
      <c r="Y440" s="1"/>
      <c r="Z440" s="1">
        <v>0.98799999999999999</v>
      </c>
      <c r="AA440" s="1" t="s">
        <v>111</v>
      </c>
      <c r="AB440" s="1" t="s">
        <v>111</v>
      </c>
      <c r="AC440" s="1" t="s">
        <v>111</v>
      </c>
      <c r="AD440" s="1" t="s">
        <v>111</v>
      </c>
      <c r="AE440" s="1" t="s">
        <v>111</v>
      </c>
      <c r="AF440" s="1" t="s">
        <v>111</v>
      </c>
      <c r="AG440" s="1" t="s">
        <v>111</v>
      </c>
      <c r="AH440" s="1" t="s">
        <v>111</v>
      </c>
      <c r="AI440" s="1">
        <v>88.114000000000004</v>
      </c>
      <c r="AJ440" s="1" t="s">
        <v>111</v>
      </c>
      <c r="AK440" s="1"/>
      <c r="AL440" s="1" t="s">
        <v>111</v>
      </c>
      <c r="AM440" s="1"/>
      <c r="AN440" s="1" t="s">
        <v>111</v>
      </c>
      <c r="AO440" s="1"/>
      <c r="AP440" s="1" t="s">
        <v>111</v>
      </c>
      <c r="AQ440" s="1" t="s">
        <v>111</v>
      </c>
    </row>
    <row r="441" spans="1:43" x14ac:dyDescent="0.25">
      <c r="A441" s="1">
        <v>77</v>
      </c>
      <c r="B441" s="1" t="s">
        <v>178</v>
      </c>
      <c r="C441" s="1" t="s">
        <v>103</v>
      </c>
      <c r="D441" s="1" t="s">
        <v>418</v>
      </c>
      <c r="E441" s="1" t="s">
        <v>158</v>
      </c>
      <c r="F441" s="1" t="s">
        <v>106</v>
      </c>
      <c r="G441" s="1" t="s">
        <v>107</v>
      </c>
      <c r="H441" s="1" t="s">
        <v>108</v>
      </c>
      <c r="I441" s="1">
        <v>19.084</v>
      </c>
      <c r="J441" s="1">
        <v>19.113</v>
      </c>
      <c r="K441" s="1">
        <v>5.3999999999999999E-2</v>
      </c>
      <c r="L441" s="1"/>
      <c r="M441" s="1"/>
      <c r="N441" s="1"/>
      <c r="O441" s="1"/>
      <c r="P441" s="1"/>
      <c r="Q441" s="1"/>
      <c r="R441" s="1"/>
      <c r="S441" s="1" t="s">
        <v>109</v>
      </c>
      <c r="T441" s="1">
        <v>0.36599999999999999</v>
      </c>
      <c r="U441" s="1" t="s">
        <v>109</v>
      </c>
      <c r="V441" s="1">
        <v>3</v>
      </c>
      <c r="W441" s="1">
        <v>13</v>
      </c>
      <c r="X441" s="1" t="s">
        <v>110</v>
      </c>
      <c r="Y441" s="1"/>
      <c r="Z441" s="1">
        <v>0.97799999999999998</v>
      </c>
      <c r="AA441" s="1" t="s">
        <v>111</v>
      </c>
      <c r="AB441" s="1" t="s">
        <v>111</v>
      </c>
      <c r="AC441" s="1" t="s">
        <v>111</v>
      </c>
      <c r="AD441" s="1" t="s">
        <v>111</v>
      </c>
      <c r="AE441" s="1" t="s">
        <v>111</v>
      </c>
      <c r="AF441" s="1" t="s">
        <v>111</v>
      </c>
      <c r="AG441" s="1" t="s">
        <v>111</v>
      </c>
      <c r="AH441" s="1" t="s">
        <v>111</v>
      </c>
      <c r="AI441" s="1">
        <v>87.986999999999995</v>
      </c>
      <c r="AJ441" s="1" t="s">
        <v>111</v>
      </c>
      <c r="AK441" s="1"/>
      <c r="AL441" s="1" t="s">
        <v>111</v>
      </c>
      <c r="AM441" s="1"/>
      <c r="AN441" s="1" t="s">
        <v>111</v>
      </c>
      <c r="AO441" s="1"/>
      <c r="AP441" s="1" t="s">
        <v>111</v>
      </c>
      <c r="AQ441" s="1" t="s">
        <v>111</v>
      </c>
    </row>
    <row r="442" spans="1:43" x14ac:dyDescent="0.25">
      <c r="A442" s="1">
        <v>78</v>
      </c>
      <c r="B442" s="1" t="s">
        <v>179</v>
      </c>
      <c r="C442" s="1" t="s">
        <v>103</v>
      </c>
      <c r="D442" s="1" t="s">
        <v>418</v>
      </c>
      <c r="E442" s="1" t="s">
        <v>158</v>
      </c>
      <c r="F442" s="1" t="s">
        <v>106</v>
      </c>
      <c r="G442" s="1" t="s">
        <v>107</v>
      </c>
      <c r="H442" s="1" t="s">
        <v>108</v>
      </c>
      <c r="I442" s="1">
        <v>19.052</v>
      </c>
      <c r="J442" s="1">
        <v>19.113</v>
      </c>
      <c r="K442" s="1">
        <v>5.3999999999999999E-2</v>
      </c>
      <c r="L442" s="1"/>
      <c r="M442" s="1"/>
      <c r="N442" s="1"/>
      <c r="O442" s="1"/>
      <c r="P442" s="1"/>
      <c r="Q442" s="1"/>
      <c r="R442" s="1"/>
      <c r="S442" s="1" t="s">
        <v>109</v>
      </c>
      <c r="T442" s="1">
        <v>0.36599999999999999</v>
      </c>
      <c r="U442" s="1" t="s">
        <v>109</v>
      </c>
      <c r="V442" s="1">
        <v>3</v>
      </c>
      <c r="W442" s="1">
        <v>12</v>
      </c>
      <c r="X442" s="1" t="s">
        <v>110</v>
      </c>
      <c r="Y442" s="1"/>
      <c r="Z442" s="1">
        <v>0.98399999999999999</v>
      </c>
      <c r="AA442" s="1" t="s">
        <v>111</v>
      </c>
      <c r="AB442" s="1" t="s">
        <v>111</v>
      </c>
      <c r="AC442" s="1" t="s">
        <v>111</v>
      </c>
      <c r="AD442" s="1" t="s">
        <v>111</v>
      </c>
      <c r="AE442" s="1" t="s">
        <v>111</v>
      </c>
      <c r="AF442" s="1" t="s">
        <v>111</v>
      </c>
      <c r="AG442" s="1" t="s">
        <v>111</v>
      </c>
      <c r="AH442" s="1" t="s">
        <v>111</v>
      </c>
      <c r="AI442" s="1">
        <v>88.1</v>
      </c>
      <c r="AJ442" s="1" t="s">
        <v>111</v>
      </c>
      <c r="AK442" s="1"/>
      <c r="AL442" s="1" t="s">
        <v>111</v>
      </c>
      <c r="AM442" s="1"/>
      <c r="AN442" s="1" t="s">
        <v>111</v>
      </c>
      <c r="AO442" s="1"/>
      <c r="AP442" s="1" t="s">
        <v>111</v>
      </c>
      <c r="AQ442" s="1" t="s">
        <v>111</v>
      </c>
    </row>
    <row r="443" spans="1:43" x14ac:dyDescent="0.25">
      <c r="A443" s="1">
        <v>79</v>
      </c>
      <c r="B443" s="1" t="s">
        <v>180</v>
      </c>
      <c r="C443" s="1" t="s">
        <v>103</v>
      </c>
      <c r="D443" s="1" t="s">
        <v>419</v>
      </c>
      <c r="E443" s="1" t="s">
        <v>158</v>
      </c>
      <c r="F443" s="1" t="s">
        <v>106</v>
      </c>
      <c r="G443" s="1" t="s">
        <v>107</v>
      </c>
      <c r="H443" s="1" t="s">
        <v>108</v>
      </c>
      <c r="I443" s="1">
        <v>19.152999999999999</v>
      </c>
      <c r="J443" s="1">
        <v>19.166</v>
      </c>
      <c r="K443" s="1">
        <v>8.7999999999999995E-2</v>
      </c>
      <c r="L443" s="1"/>
      <c r="M443" s="1"/>
      <c r="N443" s="1"/>
      <c r="O443" s="1"/>
      <c r="P443" s="1"/>
      <c r="Q443" s="1"/>
      <c r="R443" s="1"/>
      <c r="S443" s="1" t="s">
        <v>109</v>
      </c>
      <c r="T443" s="1">
        <v>0.36599999999999999</v>
      </c>
      <c r="U443" s="1" t="s">
        <v>109</v>
      </c>
      <c r="V443" s="1">
        <v>3</v>
      </c>
      <c r="W443" s="1">
        <v>13</v>
      </c>
      <c r="X443" s="1" t="s">
        <v>110</v>
      </c>
      <c r="Y443" s="1"/>
      <c r="Z443" s="1">
        <v>0.98299999999999998</v>
      </c>
      <c r="AA443" s="1" t="s">
        <v>111</v>
      </c>
      <c r="AB443" s="1" t="s">
        <v>111</v>
      </c>
      <c r="AC443" s="1" t="s">
        <v>111</v>
      </c>
      <c r="AD443" s="1" t="s">
        <v>111</v>
      </c>
      <c r="AE443" s="1" t="s">
        <v>111</v>
      </c>
      <c r="AF443" s="1" t="s">
        <v>111</v>
      </c>
      <c r="AG443" s="1" t="s">
        <v>111</v>
      </c>
      <c r="AH443" s="1" t="s">
        <v>111</v>
      </c>
      <c r="AI443" s="1">
        <v>87.986999999999995</v>
      </c>
      <c r="AJ443" s="1" t="s">
        <v>111</v>
      </c>
      <c r="AK443" s="1"/>
      <c r="AL443" s="1" t="s">
        <v>111</v>
      </c>
      <c r="AM443" s="1"/>
      <c r="AN443" s="1" t="s">
        <v>111</v>
      </c>
      <c r="AO443" s="1"/>
      <c r="AP443" s="1" t="s">
        <v>111</v>
      </c>
      <c r="AQ443" s="1" t="s">
        <v>111</v>
      </c>
    </row>
    <row r="444" spans="1:43" x14ac:dyDescent="0.25">
      <c r="A444" s="1">
        <v>80</v>
      </c>
      <c r="B444" s="1" t="s">
        <v>181</v>
      </c>
      <c r="C444" s="1" t="s">
        <v>103</v>
      </c>
      <c r="D444" s="1" t="s">
        <v>419</v>
      </c>
      <c r="E444" s="1" t="s">
        <v>158</v>
      </c>
      <c r="F444" s="1" t="s">
        <v>106</v>
      </c>
      <c r="G444" s="1" t="s">
        <v>107</v>
      </c>
      <c r="H444" s="1" t="s">
        <v>108</v>
      </c>
      <c r="I444" s="1">
        <v>19.105</v>
      </c>
      <c r="J444" s="1">
        <v>19.166</v>
      </c>
      <c r="K444" s="1">
        <v>8.7999999999999995E-2</v>
      </c>
      <c r="L444" s="1"/>
      <c r="M444" s="1"/>
      <c r="N444" s="1"/>
      <c r="O444" s="1"/>
      <c r="P444" s="1"/>
      <c r="Q444" s="1"/>
      <c r="R444" s="1"/>
      <c r="S444" s="1" t="s">
        <v>109</v>
      </c>
      <c r="T444" s="1">
        <v>0.36599999999999999</v>
      </c>
      <c r="U444" s="1" t="s">
        <v>109</v>
      </c>
      <c r="V444" s="1">
        <v>3</v>
      </c>
      <c r="W444" s="1">
        <v>13</v>
      </c>
      <c r="X444" s="1" t="s">
        <v>110</v>
      </c>
      <c r="Y444" s="1"/>
      <c r="Z444" s="1">
        <v>0.98299999999999998</v>
      </c>
      <c r="AA444" s="1" t="s">
        <v>111</v>
      </c>
      <c r="AB444" s="1" t="s">
        <v>111</v>
      </c>
      <c r="AC444" s="1" t="s">
        <v>111</v>
      </c>
      <c r="AD444" s="1" t="s">
        <v>111</v>
      </c>
      <c r="AE444" s="1" t="s">
        <v>111</v>
      </c>
      <c r="AF444" s="1" t="s">
        <v>111</v>
      </c>
      <c r="AG444" s="1" t="s">
        <v>111</v>
      </c>
      <c r="AH444" s="1" t="s">
        <v>111</v>
      </c>
      <c r="AI444" s="1">
        <v>88.1</v>
      </c>
      <c r="AJ444" s="1" t="s">
        <v>111</v>
      </c>
      <c r="AK444" s="1"/>
      <c r="AL444" s="1" t="s">
        <v>111</v>
      </c>
      <c r="AM444" s="1"/>
      <c r="AN444" s="1" t="s">
        <v>111</v>
      </c>
      <c r="AO444" s="1"/>
      <c r="AP444" s="1" t="s">
        <v>111</v>
      </c>
      <c r="AQ444" s="1" t="s">
        <v>111</v>
      </c>
    </row>
    <row r="445" spans="1:43" x14ac:dyDescent="0.25">
      <c r="A445" s="1">
        <v>81</v>
      </c>
      <c r="B445" s="1" t="s">
        <v>182</v>
      </c>
      <c r="C445" s="1" t="s">
        <v>103</v>
      </c>
      <c r="D445" s="1" t="s">
        <v>420</v>
      </c>
      <c r="E445" s="1" t="s">
        <v>158</v>
      </c>
      <c r="F445" s="1" t="s">
        <v>106</v>
      </c>
      <c r="G445" s="1" t="s">
        <v>107</v>
      </c>
      <c r="H445" s="1" t="s">
        <v>108</v>
      </c>
      <c r="I445" s="1">
        <v>19.172000000000001</v>
      </c>
      <c r="J445" s="1">
        <v>19.344000000000001</v>
      </c>
      <c r="K445" s="1">
        <v>0.26700000000000002</v>
      </c>
      <c r="L445" s="1"/>
      <c r="M445" s="1"/>
      <c r="N445" s="1"/>
      <c r="O445" s="1"/>
      <c r="P445" s="1"/>
      <c r="Q445" s="1"/>
      <c r="R445" s="1"/>
      <c r="S445" s="1" t="s">
        <v>109</v>
      </c>
      <c r="T445" s="1">
        <v>0.36599999999999999</v>
      </c>
      <c r="U445" s="1" t="s">
        <v>109</v>
      </c>
      <c r="V445" s="1">
        <v>3</v>
      </c>
      <c r="W445" s="1">
        <v>13</v>
      </c>
      <c r="X445" s="1" t="s">
        <v>110</v>
      </c>
      <c r="Y445" s="1"/>
      <c r="Z445" s="1">
        <v>0.98699999999999999</v>
      </c>
      <c r="AA445" s="1" t="s">
        <v>111</v>
      </c>
      <c r="AB445" s="1" t="s">
        <v>111</v>
      </c>
      <c r="AC445" s="1" t="s">
        <v>111</v>
      </c>
      <c r="AD445" s="1" t="s">
        <v>111</v>
      </c>
      <c r="AE445" s="1" t="s">
        <v>111</v>
      </c>
      <c r="AF445" s="1" t="s">
        <v>111</v>
      </c>
      <c r="AG445" s="1" t="s">
        <v>111</v>
      </c>
      <c r="AH445" s="1" t="s">
        <v>111</v>
      </c>
      <c r="AI445" s="1">
        <v>88.001000000000005</v>
      </c>
      <c r="AJ445" s="1" t="s">
        <v>111</v>
      </c>
      <c r="AK445" s="1"/>
      <c r="AL445" s="1" t="s">
        <v>111</v>
      </c>
      <c r="AM445" s="1"/>
      <c r="AN445" s="1" t="s">
        <v>111</v>
      </c>
      <c r="AO445" s="1"/>
      <c r="AP445" s="1" t="s">
        <v>111</v>
      </c>
      <c r="AQ445" s="1" t="s">
        <v>111</v>
      </c>
    </row>
    <row r="446" spans="1:43" x14ac:dyDescent="0.25">
      <c r="A446" s="1">
        <v>82</v>
      </c>
      <c r="B446" s="1" t="s">
        <v>183</v>
      </c>
      <c r="C446" s="1" t="s">
        <v>103</v>
      </c>
      <c r="D446" s="1" t="s">
        <v>420</v>
      </c>
      <c r="E446" s="1" t="s">
        <v>158</v>
      </c>
      <c r="F446" s="1" t="s">
        <v>106</v>
      </c>
      <c r="G446" s="1" t="s">
        <v>107</v>
      </c>
      <c r="H446" s="1" t="s">
        <v>108</v>
      </c>
      <c r="I446" s="1">
        <v>19.222000000000001</v>
      </c>
      <c r="J446" s="1">
        <v>19.344000000000001</v>
      </c>
      <c r="K446" s="1">
        <v>0.26700000000000002</v>
      </c>
      <c r="L446" s="1"/>
      <c r="M446" s="1"/>
      <c r="N446" s="1"/>
      <c r="O446" s="1"/>
      <c r="P446" s="1"/>
      <c r="Q446" s="1"/>
      <c r="R446" s="1"/>
      <c r="S446" s="1" t="s">
        <v>109</v>
      </c>
      <c r="T446" s="1">
        <v>0.36599999999999999</v>
      </c>
      <c r="U446" s="1" t="s">
        <v>109</v>
      </c>
      <c r="V446" s="1">
        <v>3</v>
      </c>
      <c r="W446" s="1">
        <v>13</v>
      </c>
      <c r="X446" s="1" t="s">
        <v>110</v>
      </c>
      <c r="Y446" s="1"/>
      <c r="Z446" s="1">
        <v>0.98099999999999998</v>
      </c>
      <c r="AA446" s="1" t="s">
        <v>111</v>
      </c>
      <c r="AB446" s="1" t="s">
        <v>111</v>
      </c>
      <c r="AC446" s="1" t="s">
        <v>111</v>
      </c>
      <c r="AD446" s="1" t="s">
        <v>111</v>
      </c>
      <c r="AE446" s="1" t="s">
        <v>111</v>
      </c>
      <c r="AF446" s="1" t="s">
        <v>111</v>
      </c>
      <c r="AG446" s="1" t="s">
        <v>111</v>
      </c>
      <c r="AH446" s="1" t="s">
        <v>111</v>
      </c>
      <c r="AI446" s="1">
        <v>88.001000000000005</v>
      </c>
      <c r="AJ446" s="1" t="s">
        <v>111</v>
      </c>
      <c r="AK446" s="1"/>
      <c r="AL446" s="1" t="s">
        <v>111</v>
      </c>
      <c r="AM446" s="1"/>
      <c r="AN446" s="1" t="s">
        <v>111</v>
      </c>
      <c r="AO446" s="1"/>
      <c r="AP446" s="1" t="s">
        <v>111</v>
      </c>
      <c r="AQ446" s="1" t="s">
        <v>111</v>
      </c>
    </row>
    <row r="447" spans="1:43" x14ac:dyDescent="0.25">
      <c r="A447" s="1">
        <v>83</v>
      </c>
      <c r="B447" s="1" t="s">
        <v>184</v>
      </c>
      <c r="C447" s="1" t="s">
        <v>103</v>
      </c>
      <c r="D447" s="1" t="s">
        <v>421</v>
      </c>
      <c r="E447" s="1" t="s">
        <v>158</v>
      </c>
      <c r="F447" s="1" t="s">
        <v>106</v>
      </c>
      <c r="G447" s="1" t="s">
        <v>107</v>
      </c>
      <c r="H447" s="1" t="s">
        <v>108</v>
      </c>
      <c r="I447" s="1">
        <v>17.690000000000001</v>
      </c>
      <c r="J447" s="1">
        <v>17.675000000000001</v>
      </c>
      <c r="K447" s="1">
        <v>0.19600000000000001</v>
      </c>
      <c r="L447" s="1"/>
      <c r="M447" s="1"/>
      <c r="N447" s="1"/>
      <c r="O447" s="1"/>
      <c r="P447" s="1"/>
      <c r="Q447" s="1"/>
      <c r="R447" s="1"/>
      <c r="S447" s="1" t="s">
        <v>109</v>
      </c>
      <c r="T447" s="1">
        <v>0.36599999999999999</v>
      </c>
      <c r="U447" s="1" t="s">
        <v>109</v>
      </c>
      <c r="V447" s="1">
        <v>3</v>
      </c>
      <c r="W447" s="1">
        <v>12</v>
      </c>
      <c r="X447" s="1" t="s">
        <v>110</v>
      </c>
      <c r="Y447" s="1"/>
      <c r="Z447" s="1">
        <v>0.98499999999999999</v>
      </c>
      <c r="AA447" s="1" t="s">
        <v>111</v>
      </c>
      <c r="AB447" s="1" t="s">
        <v>111</v>
      </c>
      <c r="AC447" s="1" t="s">
        <v>111</v>
      </c>
      <c r="AD447" s="1" t="s">
        <v>111</v>
      </c>
      <c r="AE447" s="1" t="s">
        <v>111</v>
      </c>
      <c r="AF447" s="1" t="s">
        <v>111</v>
      </c>
      <c r="AG447" s="1" t="s">
        <v>111</v>
      </c>
      <c r="AH447" s="1" t="s">
        <v>111</v>
      </c>
      <c r="AI447" s="1">
        <v>88.114000000000004</v>
      </c>
      <c r="AJ447" s="1" t="s">
        <v>111</v>
      </c>
      <c r="AK447" s="1"/>
      <c r="AL447" s="1" t="s">
        <v>111</v>
      </c>
      <c r="AM447" s="1"/>
      <c r="AN447" s="1" t="s">
        <v>111</v>
      </c>
      <c r="AO447" s="1"/>
      <c r="AP447" s="1" t="s">
        <v>111</v>
      </c>
      <c r="AQ447" s="1" t="s">
        <v>111</v>
      </c>
    </row>
    <row r="448" spans="1:43" x14ac:dyDescent="0.25">
      <c r="A448" s="1">
        <v>84</v>
      </c>
      <c r="B448" s="1" t="s">
        <v>185</v>
      </c>
      <c r="C448" s="1" t="s">
        <v>103</v>
      </c>
      <c r="D448" s="1" t="s">
        <v>421</v>
      </c>
      <c r="E448" s="1" t="s">
        <v>158</v>
      </c>
      <c r="F448" s="1" t="s">
        <v>106</v>
      </c>
      <c r="G448" s="1" t="s">
        <v>107</v>
      </c>
      <c r="H448" s="1" t="s">
        <v>108</v>
      </c>
      <c r="I448" s="1">
        <v>17.946999999999999</v>
      </c>
      <c r="J448" s="1">
        <v>17.675000000000001</v>
      </c>
      <c r="K448" s="1">
        <v>0.19600000000000001</v>
      </c>
      <c r="L448" s="1"/>
      <c r="M448" s="1"/>
      <c r="N448" s="1"/>
      <c r="O448" s="1"/>
      <c r="P448" s="1"/>
      <c r="Q448" s="1"/>
      <c r="R448" s="1"/>
      <c r="S448" s="1" t="s">
        <v>109</v>
      </c>
      <c r="T448" s="1">
        <v>0.36599999999999999</v>
      </c>
      <c r="U448" s="1" t="s">
        <v>109</v>
      </c>
      <c r="V448" s="1">
        <v>3</v>
      </c>
      <c r="W448" s="1">
        <v>12</v>
      </c>
      <c r="X448" s="1" t="s">
        <v>110</v>
      </c>
      <c r="Y448" s="1"/>
      <c r="Z448" s="1">
        <v>0.98899999999999999</v>
      </c>
      <c r="AA448" s="1" t="s">
        <v>111</v>
      </c>
      <c r="AB448" s="1" t="s">
        <v>111</v>
      </c>
      <c r="AC448" s="1" t="s">
        <v>111</v>
      </c>
      <c r="AD448" s="1" t="s">
        <v>111</v>
      </c>
      <c r="AE448" s="1" t="s">
        <v>111</v>
      </c>
      <c r="AF448" s="1" t="s">
        <v>111</v>
      </c>
      <c r="AG448" s="1" t="s">
        <v>111</v>
      </c>
      <c r="AH448" s="1" t="s">
        <v>111</v>
      </c>
      <c r="AI448" s="1">
        <v>88.001000000000005</v>
      </c>
      <c r="AJ448" s="1" t="s">
        <v>111</v>
      </c>
      <c r="AK448" s="1"/>
      <c r="AL448" s="1" t="s">
        <v>111</v>
      </c>
      <c r="AM448" s="1"/>
      <c r="AN448" s="1" t="s">
        <v>111</v>
      </c>
      <c r="AO448" s="1"/>
      <c r="AP448" s="1" t="s">
        <v>111</v>
      </c>
      <c r="AQ448" s="1" t="s">
        <v>111</v>
      </c>
    </row>
    <row r="449" spans="1:43" x14ac:dyDescent="0.25">
      <c r="A449" s="1">
        <v>89</v>
      </c>
      <c r="B449" s="1" t="s">
        <v>186</v>
      </c>
      <c r="C449" s="1" t="s">
        <v>103</v>
      </c>
      <c r="D449" s="1" t="s">
        <v>420</v>
      </c>
      <c r="E449" s="1" t="s">
        <v>129</v>
      </c>
      <c r="F449" s="1" t="s">
        <v>106</v>
      </c>
      <c r="G449" s="1" t="s">
        <v>107</v>
      </c>
      <c r="H449" s="1" t="s">
        <v>108</v>
      </c>
      <c r="I449" s="1">
        <v>20.016999999999999</v>
      </c>
      <c r="J449" s="1">
        <v>19.997</v>
      </c>
      <c r="K449" s="1">
        <v>0.109</v>
      </c>
      <c r="L449" s="1"/>
      <c r="M449" s="1"/>
      <c r="N449" s="1"/>
      <c r="O449" s="1"/>
      <c r="P449" s="1"/>
      <c r="Q449" s="1"/>
      <c r="R449" s="1"/>
      <c r="S449" s="1" t="s">
        <v>109</v>
      </c>
      <c r="T449" s="1">
        <v>0.38700000000000001</v>
      </c>
      <c r="U449" s="1" t="s">
        <v>109</v>
      </c>
      <c r="V449" s="1">
        <v>3</v>
      </c>
      <c r="W449" s="1">
        <v>13</v>
      </c>
      <c r="X449" s="1" t="s">
        <v>110</v>
      </c>
      <c r="Y449" s="1"/>
      <c r="Z449" s="1">
        <v>0.98599999999999999</v>
      </c>
      <c r="AA449" s="1" t="s">
        <v>111</v>
      </c>
      <c r="AB449" s="1" t="s">
        <v>111</v>
      </c>
      <c r="AC449" s="1" t="s">
        <v>111</v>
      </c>
      <c r="AD449" s="1" t="s">
        <v>111</v>
      </c>
      <c r="AE449" s="1" t="s">
        <v>111</v>
      </c>
      <c r="AF449" s="1" t="s">
        <v>111</v>
      </c>
      <c r="AG449" s="1" t="s">
        <v>111</v>
      </c>
      <c r="AH449" s="1" t="s">
        <v>111</v>
      </c>
      <c r="AI449" s="1">
        <v>82.346000000000004</v>
      </c>
      <c r="AJ449" s="1" t="s">
        <v>111</v>
      </c>
      <c r="AK449" s="1"/>
      <c r="AL449" s="1" t="s">
        <v>111</v>
      </c>
      <c r="AM449" s="1"/>
      <c r="AN449" s="1" t="s">
        <v>111</v>
      </c>
      <c r="AO449" s="1"/>
      <c r="AP449" s="1" t="s">
        <v>111</v>
      </c>
      <c r="AQ449" s="1" t="s">
        <v>111</v>
      </c>
    </row>
    <row r="450" spans="1:43" x14ac:dyDescent="0.25">
      <c r="A450" s="1">
        <v>90</v>
      </c>
      <c r="B450" s="1" t="s">
        <v>187</v>
      </c>
      <c r="C450" s="1" t="s">
        <v>103</v>
      </c>
      <c r="D450" s="1" t="s">
        <v>420</v>
      </c>
      <c r="E450" s="1" t="s">
        <v>129</v>
      </c>
      <c r="F450" s="1" t="s">
        <v>106</v>
      </c>
      <c r="G450" s="1" t="s">
        <v>107</v>
      </c>
      <c r="H450" s="1" t="s">
        <v>108</v>
      </c>
      <c r="I450" s="1">
        <v>19.843</v>
      </c>
      <c r="J450" s="1">
        <v>19.997</v>
      </c>
      <c r="K450" s="1">
        <v>0.109</v>
      </c>
      <c r="L450" s="1"/>
      <c r="M450" s="1"/>
      <c r="N450" s="1"/>
      <c r="O450" s="1"/>
      <c r="P450" s="1"/>
      <c r="Q450" s="1"/>
      <c r="R450" s="1"/>
      <c r="S450" s="1" t="s">
        <v>109</v>
      </c>
      <c r="T450" s="1">
        <v>0.38700000000000001</v>
      </c>
      <c r="U450" s="1" t="s">
        <v>109</v>
      </c>
      <c r="V450" s="1">
        <v>3</v>
      </c>
      <c r="W450" s="1">
        <v>13</v>
      </c>
      <c r="X450" s="1" t="s">
        <v>110</v>
      </c>
      <c r="Y450" s="1"/>
      <c r="Z450" s="1">
        <v>0.99199999999999999</v>
      </c>
      <c r="AA450" s="1" t="s">
        <v>111</v>
      </c>
      <c r="AB450" s="1" t="s">
        <v>111</v>
      </c>
      <c r="AC450" s="1" t="s">
        <v>111</v>
      </c>
      <c r="AD450" s="1" t="s">
        <v>111</v>
      </c>
      <c r="AE450" s="1" t="s">
        <v>111</v>
      </c>
      <c r="AF450" s="1" t="s">
        <v>111</v>
      </c>
      <c r="AG450" s="1" t="s">
        <v>111</v>
      </c>
      <c r="AH450" s="1" t="s">
        <v>111</v>
      </c>
      <c r="AI450" s="1">
        <v>82.346000000000004</v>
      </c>
      <c r="AJ450" s="1" t="s">
        <v>111</v>
      </c>
      <c r="AK450" s="1"/>
      <c r="AL450" s="1" t="s">
        <v>111</v>
      </c>
      <c r="AM450" s="1"/>
      <c r="AN450" s="1" t="s">
        <v>111</v>
      </c>
      <c r="AO450" s="1"/>
      <c r="AP450" s="1" t="s">
        <v>111</v>
      </c>
      <c r="AQ450" s="1" t="s">
        <v>111</v>
      </c>
    </row>
    <row r="451" spans="1:43" x14ac:dyDescent="0.25">
      <c r="A451" s="1">
        <v>91</v>
      </c>
      <c r="B451" s="1" t="s">
        <v>188</v>
      </c>
      <c r="C451" s="1" t="s">
        <v>103</v>
      </c>
      <c r="D451" s="1" t="s">
        <v>421</v>
      </c>
      <c r="E451" s="1" t="s">
        <v>129</v>
      </c>
      <c r="F451" s="1" t="s">
        <v>106</v>
      </c>
      <c r="G451" s="1" t="s">
        <v>107</v>
      </c>
      <c r="H451" s="1" t="s">
        <v>108</v>
      </c>
      <c r="I451" s="1">
        <v>18.948</v>
      </c>
      <c r="J451" s="1">
        <v>18.911000000000001</v>
      </c>
      <c r="K451" s="1">
        <v>0.05</v>
      </c>
      <c r="L451" s="1"/>
      <c r="M451" s="1"/>
      <c r="N451" s="1"/>
      <c r="O451" s="1"/>
      <c r="P451" s="1"/>
      <c r="Q451" s="1"/>
      <c r="R451" s="1"/>
      <c r="S451" s="1" t="s">
        <v>109</v>
      </c>
      <c r="T451" s="1">
        <v>0.38700000000000001</v>
      </c>
      <c r="U451" s="1" t="s">
        <v>109</v>
      </c>
      <c r="V451" s="1">
        <v>3</v>
      </c>
      <c r="W451" s="1">
        <v>13</v>
      </c>
      <c r="X451" s="1" t="s">
        <v>110</v>
      </c>
      <c r="Y451" s="1"/>
      <c r="Z451" s="1">
        <v>0.99</v>
      </c>
      <c r="AA451" s="1" t="s">
        <v>111</v>
      </c>
      <c r="AB451" s="1" t="s">
        <v>111</v>
      </c>
      <c r="AC451" s="1" t="s">
        <v>111</v>
      </c>
      <c r="AD451" s="1" t="s">
        <v>111</v>
      </c>
      <c r="AE451" s="1" t="s">
        <v>111</v>
      </c>
      <c r="AF451" s="1" t="s">
        <v>111</v>
      </c>
      <c r="AG451" s="1" t="s">
        <v>111</v>
      </c>
      <c r="AH451" s="1" t="s">
        <v>111</v>
      </c>
      <c r="AI451" s="1">
        <v>82.346000000000004</v>
      </c>
      <c r="AJ451" s="1" t="s">
        <v>111</v>
      </c>
      <c r="AK451" s="1"/>
      <c r="AL451" s="1" t="s">
        <v>111</v>
      </c>
      <c r="AM451" s="1"/>
      <c r="AN451" s="1" t="s">
        <v>111</v>
      </c>
      <c r="AO451" s="1"/>
      <c r="AP451" s="1" t="s">
        <v>111</v>
      </c>
      <c r="AQ451" s="1" t="s">
        <v>111</v>
      </c>
    </row>
    <row r="452" spans="1:43" x14ac:dyDescent="0.25">
      <c r="A452" s="1">
        <v>92</v>
      </c>
      <c r="B452" s="1" t="s">
        <v>189</v>
      </c>
      <c r="C452" s="1" t="s">
        <v>103</v>
      </c>
      <c r="D452" s="1" t="s">
        <v>421</v>
      </c>
      <c r="E452" s="1" t="s">
        <v>129</v>
      </c>
      <c r="F452" s="1" t="s">
        <v>106</v>
      </c>
      <c r="G452" s="1" t="s">
        <v>107</v>
      </c>
      <c r="H452" s="1" t="s">
        <v>108</v>
      </c>
      <c r="I452" s="1">
        <v>18.931000000000001</v>
      </c>
      <c r="J452" s="1">
        <v>18.911000000000001</v>
      </c>
      <c r="K452" s="1">
        <v>0.05</v>
      </c>
      <c r="L452" s="1"/>
      <c r="M452" s="1"/>
      <c r="N452" s="1"/>
      <c r="O452" s="1"/>
      <c r="P452" s="1"/>
      <c r="Q452" s="1"/>
      <c r="R452" s="1"/>
      <c r="S452" s="1" t="s">
        <v>109</v>
      </c>
      <c r="T452" s="1">
        <v>0.38700000000000001</v>
      </c>
      <c r="U452" s="1" t="s">
        <v>109</v>
      </c>
      <c r="V452" s="1">
        <v>3</v>
      </c>
      <c r="W452" s="1">
        <v>13</v>
      </c>
      <c r="X452" s="1" t="s">
        <v>110</v>
      </c>
      <c r="Y452" s="1"/>
      <c r="Z452" s="1">
        <v>0.98699999999999999</v>
      </c>
      <c r="AA452" s="1" t="s">
        <v>111</v>
      </c>
      <c r="AB452" s="1" t="s">
        <v>111</v>
      </c>
      <c r="AC452" s="1" t="s">
        <v>111</v>
      </c>
      <c r="AD452" s="1" t="s">
        <v>111</v>
      </c>
      <c r="AE452" s="1" t="s">
        <v>111</v>
      </c>
      <c r="AF452" s="1" t="s">
        <v>111</v>
      </c>
      <c r="AG452" s="1" t="s">
        <v>111</v>
      </c>
      <c r="AH452" s="1" t="s">
        <v>111</v>
      </c>
      <c r="AI452" s="1">
        <v>82.346000000000004</v>
      </c>
      <c r="AJ452" s="1" t="s">
        <v>111</v>
      </c>
      <c r="AK452" s="1"/>
      <c r="AL452" s="1" t="s">
        <v>111</v>
      </c>
      <c r="AM452" s="1"/>
      <c r="AN452" s="1" t="s">
        <v>111</v>
      </c>
      <c r="AO452" s="1"/>
      <c r="AP452" s="1" t="s">
        <v>111</v>
      </c>
      <c r="AQ452" s="1" t="s">
        <v>111</v>
      </c>
    </row>
    <row r="453" spans="1:43" x14ac:dyDescent="0.25">
      <c r="A453" s="1">
        <v>97</v>
      </c>
      <c r="B453" s="1" t="s">
        <v>190</v>
      </c>
      <c r="C453" s="1" t="s">
        <v>103</v>
      </c>
      <c r="D453" s="1" t="s">
        <v>416</v>
      </c>
      <c r="E453" s="1" t="s">
        <v>191</v>
      </c>
      <c r="F453" s="1" t="s">
        <v>106</v>
      </c>
      <c r="G453" s="1" t="s">
        <v>107</v>
      </c>
      <c r="H453" s="1" t="s">
        <v>108</v>
      </c>
      <c r="I453" s="1">
        <v>23.042000000000002</v>
      </c>
      <c r="J453" s="1">
        <v>23.105</v>
      </c>
      <c r="K453" s="1">
        <v>0.107</v>
      </c>
      <c r="L453" s="1"/>
      <c r="M453" s="1"/>
      <c r="N453" s="1"/>
      <c r="O453" s="1"/>
      <c r="P453" s="1"/>
      <c r="Q453" s="1"/>
      <c r="R453" s="1"/>
      <c r="S453" s="1" t="s">
        <v>109</v>
      </c>
      <c r="T453" s="1">
        <v>0.51400000000000001</v>
      </c>
      <c r="U453" s="1" t="s">
        <v>109</v>
      </c>
      <c r="V453" s="1">
        <v>3</v>
      </c>
      <c r="W453" s="1">
        <v>16</v>
      </c>
      <c r="X453" s="1" t="s">
        <v>110</v>
      </c>
      <c r="Y453" s="1"/>
      <c r="Z453" s="1">
        <v>0.97799999999999998</v>
      </c>
      <c r="AA453" s="1" t="s">
        <v>111</v>
      </c>
      <c r="AB453" s="1" t="s">
        <v>111</v>
      </c>
      <c r="AC453" s="1" t="s">
        <v>111</v>
      </c>
      <c r="AD453" s="1" t="s">
        <v>111</v>
      </c>
      <c r="AE453" s="1" t="s">
        <v>111</v>
      </c>
      <c r="AF453" s="1" t="s">
        <v>111</v>
      </c>
      <c r="AG453" s="1" t="s">
        <v>111</v>
      </c>
      <c r="AH453" s="1" t="s">
        <v>111</v>
      </c>
      <c r="AI453" s="1">
        <v>89.468999999999994</v>
      </c>
      <c r="AJ453" s="1" t="s">
        <v>111</v>
      </c>
      <c r="AK453" s="1"/>
      <c r="AL453" s="1" t="s">
        <v>111</v>
      </c>
      <c r="AM453" s="1"/>
      <c r="AN453" s="1" t="s">
        <v>111</v>
      </c>
      <c r="AO453" s="1"/>
      <c r="AP453" s="1" t="s">
        <v>111</v>
      </c>
      <c r="AQ453" s="1" t="s">
        <v>111</v>
      </c>
    </row>
    <row r="454" spans="1:43" x14ac:dyDescent="0.25">
      <c r="A454" s="1">
        <v>98</v>
      </c>
      <c r="B454" s="1" t="s">
        <v>192</v>
      </c>
      <c r="C454" s="1" t="s">
        <v>103</v>
      </c>
      <c r="D454" s="1" t="s">
        <v>416</v>
      </c>
      <c r="E454" s="1" t="s">
        <v>191</v>
      </c>
      <c r="F454" s="1" t="s">
        <v>106</v>
      </c>
      <c r="G454" s="1" t="s">
        <v>107</v>
      </c>
      <c r="H454" s="1" t="s">
        <v>108</v>
      </c>
      <c r="I454" s="1">
        <v>23.25</v>
      </c>
      <c r="J454" s="1">
        <v>23.105</v>
      </c>
      <c r="K454" s="1">
        <v>0.107</v>
      </c>
      <c r="L454" s="1"/>
      <c r="M454" s="1"/>
      <c r="N454" s="1"/>
      <c r="O454" s="1"/>
      <c r="P454" s="1"/>
      <c r="Q454" s="1"/>
      <c r="R454" s="1"/>
      <c r="S454" s="1" t="s">
        <v>109</v>
      </c>
      <c r="T454" s="1">
        <v>0.51400000000000001</v>
      </c>
      <c r="U454" s="1" t="s">
        <v>109</v>
      </c>
      <c r="V454" s="1">
        <v>3</v>
      </c>
      <c r="W454" s="1">
        <v>16</v>
      </c>
      <c r="X454" s="1" t="s">
        <v>110</v>
      </c>
      <c r="Y454" s="1"/>
      <c r="Z454" s="1">
        <v>0.98</v>
      </c>
      <c r="AA454" s="1" t="s">
        <v>111</v>
      </c>
      <c r="AB454" s="1" t="s">
        <v>111</v>
      </c>
      <c r="AC454" s="1" t="s">
        <v>111</v>
      </c>
      <c r="AD454" s="1" t="s">
        <v>111</v>
      </c>
      <c r="AE454" s="1" t="s">
        <v>111</v>
      </c>
      <c r="AF454" s="1" t="s">
        <v>111</v>
      </c>
      <c r="AG454" s="1" t="s">
        <v>111</v>
      </c>
      <c r="AH454" s="1" t="s">
        <v>111</v>
      </c>
      <c r="AI454" s="1">
        <v>89.468999999999994</v>
      </c>
      <c r="AJ454" s="1" t="s">
        <v>111</v>
      </c>
      <c r="AK454" s="1"/>
      <c r="AL454" s="1" t="s">
        <v>111</v>
      </c>
      <c r="AM454" s="1"/>
      <c r="AN454" s="1" t="s">
        <v>111</v>
      </c>
      <c r="AO454" s="1"/>
      <c r="AP454" s="1" t="s">
        <v>111</v>
      </c>
      <c r="AQ454" s="1" t="s">
        <v>111</v>
      </c>
    </row>
    <row r="455" spans="1:43" x14ac:dyDescent="0.25">
      <c r="A455" s="1">
        <v>99</v>
      </c>
      <c r="B455" s="1" t="s">
        <v>193</v>
      </c>
      <c r="C455" s="1" t="s">
        <v>103</v>
      </c>
      <c r="D455" s="1" t="s">
        <v>417</v>
      </c>
      <c r="E455" s="1" t="s">
        <v>191</v>
      </c>
      <c r="F455" s="1" t="s">
        <v>106</v>
      </c>
      <c r="G455" s="1" t="s">
        <v>107</v>
      </c>
      <c r="H455" s="1" t="s">
        <v>108</v>
      </c>
      <c r="I455" s="1">
        <v>23.37</v>
      </c>
      <c r="J455" s="1">
        <v>23.222999999999999</v>
      </c>
      <c r="K455" s="1">
        <v>0.1</v>
      </c>
      <c r="L455" s="1"/>
      <c r="M455" s="1"/>
      <c r="N455" s="1"/>
      <c r="O455" s="1"/>
      <c r="P455" s="1"/>
      <c r="Q455" s="1"/>
      <c r="R455" s="1"/>
      <c r="S455" s="1" t="s">
        <v>109</v>
      </c>
      <c r="T455" s="1">
        <v>0.51400000000000001</v>
      </c>
      <c r="U455" s="1" t="s">
        <v>109</v>
      </c>
      <c r="V455" s="1">
        <v>3</v>
      </c>
      <c r="W455" s="1">
        <v>17</v>
      </c>
      <c r="X455" s="1" t="s">
        <v>110</v>
      </c>
      <c r="Y455" s="1"/>
      <c r="Z455" s="1">
        <v>0.98</v>
      </c>
      <c r="AA455" s="1" t="s">
        <v>111</v>
      </c>
      <c r="AB455" s="1" t="s">
        <v>111</v>
      </c>
      <c r="AC455" s="1" t="s">
        <v>111</v>
      </c>
      <c r="AD455" s="1" t="s">
        <v>111</v>
      </c>
      <c r="AE455" s="1" t="s">
        <v>111</v>
      </c>
      <c r="AF455" s="1" t="s">
        <v>111</v>
      </c>
      <c r="AG455" s="1" t="s">
        <v>111</v>
      </c>
      <c r="AH455" s="1" t="s">
        <v>111</v>
      </c>
      <c r="AI455" s="1">
        <v>89.468999999999994</v>
      </c>
      <c r="AJ455" s="1" t="s">
        <v>111</v>
      </c>
      <c r="AK455" s="1"/>
      <c r="AL455" s="1" t="s">
        <v>111</v>
      </c>
      <c r="AM455" s="1"/>
      <c r="AN455" s="1" t="s">
        <v>111</v>
      </c>
      <c r="AO455" s="1"/>
      <c r="AP455" s="1" t="s">
        <v>111</v>
      </c>
      <c r="AQ455" s="1" t="s">
        <v>111</v>
      </c>
    </row>
    <row r="456" spans="1:43" x14ac:dyDescent="0.25">
      <c r="A456" s="1">
        <v>100</v>
      </c>
      <c r="B456" s="1" t="s">
        <v>194</v>
      </c>
      <c r="C456" s="1" t="s">
        <v>103</v>
      </c>
      <c r="D456" s="1" t="s">
        <v>417</v>
      </c>
      <c r="E456" s="1" t="s">
        <v>191</v>
      </c>
      <c r="F456" s="1" t="s">
        <v>106</v>
      </c>
      <c r="G456" s="1" t="s">
        <v>107</v>
      </c>
      <c r="H456" s="1" t="s">
        <v>108</v>
      </c>
      <c r="I456" s="1">
        <v>23.148</v>
      </c>
      <c r="J456" s="1">
        <v>23.222999999999999</v>
      </c>
      <c r="K456" s="1">
        <v>0.1</v>
      </c>
      <c r="L456" s="1"/>
      <c r="M456" s="1"/>
      <c r="N456" s="1"/>
      <c r="O456" s="1"/>
      <c r="P456" s="1"/>
      <c r="Q456" s="1"/>
      <c r="R456" s="1"/>
      <c r="S456" s="1" t="s">
        <v>109</v>
      </c>
      <c r="T456" s="1">
        <v>0.51400000000000001</v>
      </c>
      <c r="U456" s="1" t="s">
        <v>109</v>
      </c>
      <c r="V456" s="1">
        <v>3</v>
      </c>
      <c r="W456" s="1">
        <v>17</v>
      </c>
      <c r="X456" s="1" t="s">
        <v>110</v>
      </c>
      <c r="Y456" s="1"/>
      <c r="Z456" s="1">
        <v>0.97699999999999998</v>
      </c>
      <c r="AA456" s="1" t="s">
        <v>111</v>
      </c>
      <c r="AB456" s="1" t="s">
        <v>111</v>
      </c>
      <c r="AC456" s="1" t="s">
        <v>111</v>
      </c>
      <c r="AD456" s="1" t="s">
        <v>111</v>
      </c>
      <c r="AE456" s="1" t="s">
        <v>111</v>
      </c>
      <c r="AF456" s="1" t="s">
        <v>111</v>
      </c>
      <c r="AG456" s="1" t="s">
        <v>111</v>
      </c>
      <c r="AH456" s="1" t="s">
        <v>111</v>
      </c>
      <c r="AI456" s="1">
        <v>89.468999999999994</v>
      </c>
      <c r="AJ456" s="1" t="s">
        <v>111</v>
      </c>
      <c r="AK456" s="1"/>
      <c r="AL456" s="1" t="s">
        <v>111</v>
      </c>
      <c r="AM456" s="1"/>
      <c r="AN456" s="1" t="s">
        <v>111</v>
      </c>
      <c r="AO456" s="1"/>
      <c r="AP456" s="1" t="s">
        <v>111</v>
      </c>
      <c r="AQ456" s="1" t="s">
        <v>111</v>
      </c>
    </row>
    <row r="457" spans="1:43" x14ac:dyDescent="0.25">
      <c r="A457" s="1">
        <v>101</v>
      </c>
      <c r="B457" s="1" t="s">
        <v>195</v>
      </c>
      <c r="C457" s="1" t="s">
        <v>103</v>
      </c>
      <c r="D457" s="1" t="s">
        <v>418</v>
      </c>
      <c r="E457" s="1" t="s">
        <v>191</v>
      </c>
      <c r="F457" s="1" t="s">
        <v>106</v>
      </c>
      <c r="G457" s="1" t="s">
        <v>107</v>
      </c>
      <c r="H457" s="1" t="s">
        <v>108</v>
      </c>
      <c r="I457" s="1">
        <v>20.812000000000001</v>
      </c>
      <c r="J457" s="1">
        <v>20.791</v>
      </c>
      <c r="K457" s="1">
        <v>1.7999999999999999E-2</v>
      </c>
      <c r="L457" s="1"/>
      <c r="M457" s="1"/>
      <c r="N457" s="1"/>
      <c r="O457" s="1"/>
      <c r="P457" s="1"/>
      <c r="Q457" s="1"/>
      <c r="R457" s="1"/>
      <c r="S457" s="1" t="s">
        <v>109</v>
      </c>
      <c r="T457" s="1">
        <v>0.51400000000000001</v>
      </c>
      <c r="U457" s="1" t="s">
        <v>109</v>
      </c>
      <c r="V457" s="1">
        <v>3</v>
      </c>
      <c r="W457" s="1">
        <v>14</v>
      </c>
      <c r="X457" s="1" t="s">
        <v>110</v>
      </c>
      <c r="Y457" s="1"/>
      <c r="Z457" s="1">
        <v>0.97899999999999998</v>
      </c>
      <c r="AA457" s="1" t="s">
        <v>111</v>
      </c>
      <c r="AB457" s="1" t="s">
        <v>111</v>
      </c>
      <c r="AC457" s="1" t="s">
        <v>111</v>
      </c>
      <c r="AD457" s="1" t="s">
        <v>111</v>
      </c>
      <c r="AE457" s="1" t="s">
        <v>111</v>
      </c>
      <c r="AF457" s="1" t="s">
        <v>111</v>
      </c>
      <c r="AG457" s="1" t="s">
        <v>111</v>
      </c>
      <c r="AH457" s="1" t="s">
        <v>111</v>
      </c>
      <c r="AI457" s="1">
        <v>89.453999999999994</v>
      </c>
      <c r="AJ457" s="1" t="s">
        <v>111</v>
      </c>
      <c r="AK457" s="1"/>
      <c r="AL457" s="1" t="s">
        <v>111</v>
      </c>
      <c r="AM457" s="1"/>
      <c r="AN457" s="1" t="s">
        <v>111</v>
      </c>
      <c r="AO457" s="1"/>
      <c r="AP457" s="1" t="s">
        <v>111</v>
      </c>
      <c r="AQ457" s="1" t="s">
        <v>111</v>
      </c>
    </row>
    <row r="458" spans="1:43" x14ac:dyDescent="0.25">
      <c r="A458" s="1">
        <v>102</v>
      </c>
      <c r="B458" s="1" t="s">
        <v>196</v>
      </c>
      <c r="C458" s="1" t="s">
        <v>103</v>
      </c>
      <c r="D458" s="1" t="s">
        <v>418</v>
      </c>
      <c r="E458" s="1" t="s">
        <v>191</v>
      </c>
      <c r="F458" s="1" t="s">
        <v>106</v>
      </c>
      <c r="G458" s="1" t="s">
        <v>107</v>
      </c>
      <c r="H458" s="1" t="s">
        <v>108</v>
      </c>
      <c r="I458" s="1">
        <v>20.786000000000001</v>
      </c>
      <c r="J458" s="1">
        <v>20.791</v>
      </c>
      <c r="K458" s="1">
        <v>1.7999999999999999E-2</v>
      </c>
      <c r="L458" s="1"/>
      <c r="M458" s="1"/>
      <c r="N458" s="1"/>
      <c r="O458" s="1"/>
      <c r="P458" s="1"/>
      <c r="Q458" s="1"/>
      <c r="R458" s="1"/>
      <c r="S458" s="1" t="s">
        <v>109</v>
      </c>
      <c r="T458" s="1">
        <v>0.51400000000000001</v>
      </c>
      <c r="U458" s="1" t="s">
        <v>109</v>
      </c>
      <c r="V458" s="1">
        <v>3</v>
      </c>
      <c r="W458" s="1">
        <v>14</v>
      </c>
      <c r="X458" s="1" t="s">
        <v>110</v>
      </c>
      <c r="Y458" s="1"/>
      <c r="Z458" s="1">
        <v>0.98599999999999999</v>
      </c>
      <c r="AA458" s="1" t="s">
        <v>111</v>
      </c>
      <c r="AB458" s="1" t="s">
        <v>111</v>
      </c>
      <c r="AC458" s="1" t="s">
        <v>111</v>
      </c>
      <c r="AD458" s="1" t="s">
        <v>111</v>
      </c>
      <c r="AE458" s="1" t="s">
        <v>111</v>
      </c>
      <c r="AF458" s="1" t="s">
        <v>111</v>
      </c>
      <c r="AG458" s="1" t="s">
        <v>111</v>
      </c>
      <c r="AH458" s="1" t="s">
        <v>111</v>
      </c>
      <c r="AI458" s="1">
        <v>89.453999999999994</v>
      </c>
      <c r="AJ458" s="1" t="s">
        <v>111</v>
      </c>
      <c r="AK458" s="1"/>
      <c r="AL458" s="1" t="s">
        <v>111</v>
      </c>
      <c r="AM458" s="1"/>
      <c r="AN458" s="1" t="s">
        <v>111</v>
      </c>
      <c r="AO458" s="1"/>
      <c r="AP458" s="1" t="s">
        <v>111</v>
      </c>
      <c r="AQ458" s="1" t="s">
        <v>111</v>
      </c>
    </row>
    <row r="459" spans="1:43" x14ac:dyDescent="0.25">
      <c r="A459" s="1">
        <v>103</v>
      </c>
      <c r="B459" s="1" t="s">
        <v>197</v>
      </c>
      <c r="C459" s="1" t="s">
        <v>103</v>
      </c>
      <c r="D459" s="1" t="s">
        <v>419</v>
      </c>
      <c r="E459" s="1" t="s">
        <v>191</v>
      </c>
      <c r="F459" s="1" t="s">
        <v>106</v>
      </c>
      <c r="G459" s="1" t="s">
        <v>107</v>
      </c>
      <c r="H459" s="1" t="s">
        <v>108</v>
      </c>
      <c r="I459" s="1">
        <v>20.734999999999999</v>
      </c>
      <c r="J459" s="1">
        <v>20.739000000000001</v>
      </c>
      <c r="K459" s="1">
        <v>7.1999999999999995E-2</v>
      </c>
      <c r="L459" s="1"/>
      <c r="M459" s="1"/>
      <c r="N459" s="1"/>
      <c r="O459" s="1"/>
      <c r="P459" s="1"/>
      <c r="Q459" s="1"/>
      <c r="R459" s="1"/>
      <c r="S459" s="1" t="s">
        <v>109</v>
      </c>
      <c r="T459" s="1">
        <v>0.51400000000000001</v>
      </c>
      <c r="U459" s="1" t="s">
        <v>109</v>
      </c>
      <c r="V459" s="1">
        <v>3</v>
      </c>
      <c r="W459" s="1">
        <v>14</v>
      </c>
      <c r="X459" s="1" t="s">
        <v>110</v>
      </c>
      <c r="Y459" s="1"/>
      <c r="Z459" s="1">
        <v>0.97899999999999998</v>
      </c>
      <c r="AA459" s="1" t="s">
        <v>111</v>
      </c>
      <c r="AB459" s="1" t="s">
        <v>111</v>
      </c>
      <c r="AC459" s="1" t="s">
        <v>111</v>
      </c>
      <c r="AD459" s="1" t="s">
        <v>111</v>
      </c>
      <c r="AE459" s="1" t="s">
        <v>111</v>
      </c>
      <c r="AF459" s="1" t="s">
        <v>111</v>
      </c>
      <c r="AG459" s="1" t="s">
        <v>111</v>
      </c>
      <c r="AH459" s="1" t="s">
        <v>111</v>
      </c>
      <c r="AI459" s="1">
        <v>89.453999999999994</v>
      </c>
      <c r="AJ459" s="1" t="s">
        <v>111</v>
      </c>
      <c r="AK459" s="1"/>
      <c r="AL459" s="1" t="s">
        <v>111</v>
      </c>
      <c r="AM459" s="1"/>
      <c r="AN459" s="1" t="s">
        <v>111</v>
      </c>
      <c r="AO459" s="1"/>
      <c r="AP459" s="1" t="s">
        <v>111</v>
      </c>
      <c r="AQ459" s="1" t="s">
        <v>111</v>
      </c>
    </row>
    <row r="460" spans="1:43" x14ac:dyDescent="0.25">
      <c r="A460" s="1">
        <v>104</v>
      </c>
      <c r="B460" s="1" t="s">
        <v>198</v>
      </c>
      <c r="C460" s="1" t="s">
        <v>103</v>
      </c>
      <c r="D460" s="1" t="s">
        <v>419</v>
      </c>
      <c r="E460" s="1" t="s">
        <v>191</v>
      </c>
      <c r="F460" s="1" t="s">
        <v>106</v>
      </c>
      <c r="G460" s="1" t="s">
        <v>107</v>
      </c>
      <c r="H460" s="1" t="s">
        <v>108</v>
      </c>
      <c r="I460" s="1">
        <v>20.681999999999999</v>
      </c>
      <c r="J460" s="1">
        <v>20.739000000000001</v>
      </c>
      <c r="K460" s="1">
        <v>7.1999999999999995E-2</v>
      </c>
      <c r="L460" s="1"/>
      <c r="M460" s="1"/>
      <c r="N460" s="1"/>
      <c r="O460" s="1"/>
      <c r="P460" s="1"/>
      <c r="Q460" s="1"/>
      <c r="R460" s="1"/>
      <c r="S460" s="1" t="s">
        <v>109</v>
      </c>
      <c r="T460" s="1">
        <v>0.51400000000000001</v>
      </c>
      <c r="U460" s="1" t="s">
        <v>109</v>
      </c>
      <c r="V460" s="1">
        <v>3</v>
      </c>
      <c r="W460" s="1">
        <v>14</v>
      </c>
      <c r="X460" s="1" t="s">
        <v>110</v>
      </c>
      <c r="Y460" s="1"/>
      <c r="Z460" s="1">
        <v>0.98</v>
      </c>
      <c r="AA460" s="1" t="s">
        <v>111</v>
      </c>
      <c r="AB460" s="1" t="s">
        <v>111</v>
      </c>
      <c r="AC460" s="1" t="s">
        <v>111</v>
      </c>
      <c r="AD460" s="1" t="s">
        <v>111</v>
      </c>
      <c r="AE460" s="1" t="s">
        <v>111</v>
      </c>
      <c r="AF460" s="1" t="s">
        <v>111</v>
      </c>
      <c r="AG460" s="1" t="s">
        <v>111</v>
      </c>
      <c r="AH460" s="1" t="s">
        <v>111</v>
      </c>
      <c r="AI460" s="1">
        <v>89.453999999999994</v>
      </c>
      <c r="AJ460" s="1" t="s">
        <v>111</v>
      </c>
      <c r="AK460" s="1"/>
      <c r="AL460" s="1" t="s">
        <v>111</v>
      </c>
      <c r="AM460" s="1"/>
      <c r="AN460" s="1" t="s">
        <v>111</v>
      </c>
      <c r="AO460" s="1"/>
      <c r="AP460" s="1" t="s">
        <v>111</v>
      </c>
      <c r="AQ460" s="1" t="s">
        <v>111</v>
      </c>
    </row>
    <row r="461" spans="1:43" x14ac:dyDescent="0.25">
      <c r="A461" s="1">
        <v>105</v>
      </c>
      <c r="B461" s="1" t="s">
        <v>199</v>
      </c>
      <c r="C461" s="1" t="s">
        <v>103</v>
      </c>
      <c r="D461" s="1" t="s">
        <v>420</v>
      </c>
      <c r="E461" s="1" t="s">
        <v>191</v>
      </c>
      <c r="F461" s="1" t="s">
        <v>106</v>
      </c>
      <c r="G461" s="1" t="s">
        <v>107</v>
      </c>
      <c r="H461" s="1" t="s">
        <v>108</v>
      </c>
      <c r="I461" s="1">
        <v>24.262</v>
      </c>
      <c r="J461" s="1">
        <v>24.367999999999999</v>
      </c>
      <c r="K461" s="1">
        <v>7.4999999999999997E-2</v>
      </c>
      <c r="L461" s="1"/>
      <c r="M461" s="1"/>
      <c r="N461" s="1"/>
      <c r="O461" s="1"/>
      <c r="P461" s="1"/>
      <c r="Q461" s="1"/>
      <c r="R461" s="1"/>
      <c r="S461" s="1" t="s">
        <v>109</v>
      </c>
      <c r="T461" s="1">
        <v>0.51400000000000001</v>
      </c>
      <c r="U461" s="1" t="s">
        <v>109</v>
      </c>
      <c r="V461" s="1">
        <v>3</v>
      </c>
      <c r="W461" s="1">
        <v>17</v>
      </c>
      <c r="X461" s="1" t="s">
        <v>110</v>
      </c>
      <c r="Y461" s="1"/>
      <c r="Z461" s="1">
        <v>0.98299999999999998</v>
      </c>
      <c r="AA461" s="1" t="s">
        <v>111</v>
      </c>
      <c r="AB461" s="1" t="s">
        <v>111</v>
      </c>
      <c r="AC461" s="1" t="s">
        <v>111</v>
      </c>
      <c r="AD461" s="1" t="s">
        <v>111</v>
      </c>
      <c r="AE461" s="1" t="s">
        <v>111</v>
      </c>
      <c r="AF461" s="1" t="s">
        <v>111</v>
      </c>
      <c r="AG461" s="1" t="s">
        <v>111</v>
      </c>
      <c r="AH461" s="1" t="s">
        <v>111</v>
      </c>
      <c r="AI461" s="1">
        <v>89.468999999999994</v>
      </c>
      <c r="AJ461" s="1" t="s">
        <v>111</v>
      </c>
      <c r="AK461" s="1"/>
      <c r="AL461" s="1" t="s">
        <v>111</v>
      </c>
      <c r="AM461" s="1"/>
      <c r="AN461" s="1" t="s">
        <v>111</v>
      </c>
      <c r="AO461" s="1"/>
      <c r="AP461" s="1" t="s">
        <v>111</v>
      </c>
      <c r="AQ461" s="1" t="s">
        <v>111</v>
      </c>
    </row>
    <row r="462" spans="1:43" x14ac:dyDescent="0.25">
      <c r="A462" s="1">
        <v>106</v>
      </c>
      <c r="B462" s="1" t="s">
        <v>200</v>
      </c>
      <c r="C462" s="1" t="s">
        <v>103</v>
      </c>
      <c r="D462" s="1" t="s">
        <v>420</v>
      </c>
      <c r="E462" s="1" t="s">
        <v>191</v>
      </c>
      <c r="F462" s="1" t="s">
        <v>106</v>
      </c>
      <c r="G462" s="1" t="s">
        <v>107</v>
      </c>
      <c r="H462" s="1" t="s">
        <v>108</v>
      </c>
      <c r="I462" s="1">
        <v>24.422000000000001</v>
      </c>
      <c r="J462" s="1">
        <v>24.367999999999999</v>
      </c>
      <c r="K462" s="1">
        <v>7.4999999999999997E-2</v>
      </c>
      <c r="L462" s="1"/>
      <c r="M462" s="1"/>
      <c r="N462" s="1"/>
      <c r="O462" s="1"/>
      <c r="P462" s="1"/>
      <c r="Q462" s="1"/>
      <c r="R462" s="1"/>
      <c r="S462" s="1" t="s">
        <v>109</v>
      </c>
      <c r="T462" s="1">
        <v>0.51400000000000001</v>
      </c>
      <c r="U462" s="1" t="s">
        <v>109</v>
      </c>
      <c r="V462" s="1">
        <v>3</v>
      </c>
      <c r="W462" s="1">
        <v>18</v>
      </c>
      <c r="X462" s="1" t="s">
        <v>110</v>
      </c>
      <c r="Y462" s="1"/>
      <c r="Z462" s="1">
        <v>0.98699999999999999</v>
      </c>
      <c r="AA462" s="1" t="s">
        <v>111</v>
      </c>
      <c r="AB462" s="1" t="s">
        <v>111</v>
      </c>
      <c r="AC462" s="1" t="s">
        <v>111</v>
      </c>
      <c r="AD462" s="1" t="s">
        <v>111</v>
      </c>
      <c r="AE462" s="1" t="s">
        <v>111</v>
      </c>
      <c r="AF462" s="1" t="s">
        <v>111</v>
      </c>
      <c r="AG462" s="1" t="s">
        <v>111</v>
      </c>
      <c r="AH462" s="1" t="s">
        <v>111</v>
      </c>
      <c r="AI462" s="1">
        <v>89.468999999999994</v>
      </c>
      <c r="AJ462" s="1" t="s">
        <v>111</v>
      </c>
      <c r="AK462" s="1"/>
      <c r="AL462" s="1" t="s">
        <v>111</v>
      </c>
      <c r="AM462" s="1"/>
      <c r="AN462" s="1" t="s">
        <v>111</v>
      </c>
      <c r="AO462" s="1"/>
      <c r="AP462" s="1" t="s">
        <v>111</v>
      </c>
      <c r="AQ462" s="1" t="s">
        <v>111</v>
      </c>
    </row>
    <row r="463" spans="1:43" x14ac:dyDescent="0.25">
      <c r="A463" s="1">
        <v>107</v>
      </c>
      <c r="B463" s="1" t="s">
        <v>201</v>
      </c>
      <c r="C463" s="1" t="s">
        <v>103</v>
      </c>
      <c r="D463" s="1" t="s">
        <v>421</v>
      </c>
      <c r="E463" s="1" t="s">
        <v>191</v>
      </c>
      <c r="F463" s="1" t="s">
        <v>106</v>
      </c>
      <c r="G463" s="1" t="s">
        <v>107</v>
      </c>
      <c r="H463" s="1" t="s">
        <v>108</v>
      </c>
      <c r="I463" s="1">
        <v>22.843</v>
      </c>
      <c r="J463" s="1">
        <v>22.84</v>
      </c>
      <c r="K463" s="1">
        <v>9.2999999999999999E-2</v>
      </c>
      <c r="L463" s="1"/>
      <c r="M463" s="1"/>
      <c r="N463" s="1"/>
      <c r="O463" s="1"/>
      <c r="P463" s="1"/>
      <c r="Q463" s="1"/>
      <c r="R463" s="1"/>
      <c r="S463" s="1" t="s">
        <v>109</v>
      </c>
      <c r="T463" s="1">
        <v>0.51400000000000001</v>
      </c>
      <c r="U463" s="1" t="s">
        <v>109</v>
      </c>
      <c r="V463" s="1">
        <v>3</v>
      </c>
      <c r="W463" s="1">
        <v>16</v>
      </c>
      <c r="X463" s="1" t="s">
        <v>110</v>
      </c>
      <c r="Y463" s="1"/>
      <c r="Z463" s="1">
        <v>0.98599999999999999</v>
      </c>
      <c r="AA463" s="1" t="s">
        <v>111</v>
      </c>
      <c r="AB463" s="1" t="s">
        <v>111</v>
      </c>
      <c r="AC463" s="1" t="s">
        <v>111</v>
      </c>
      <c r="AD463" s="1" t="s">
        <v>111</v>
      </c>
      <c r="AE463" s="1" t="s">
        <v>111</v>
      </c>
      <c r="AF463" s="1" t="s">
        <v>111</v>
      </c>
      <c r="AG463" s="1" t="s">
        <v>111</v>
      </c>
      <c r="AH463" s="1" t="s">
        <v>111</v>
      </c>
      <c r="AI463" s="1">
        <v>89.468999999999994</v>
      </c>
      <c r="AJ463" s="1" t="s">
        <v>111</v>
      </c>
      <c r="AK463" s="1"/>
      <c r="AL463" s="1" t="s">
        <v>111</v>
      </c>
      <c r="AM463" s="1"/>
      <c r="AN463" s="1" t="s">
        <v>111</v>
      </c>
      <c r="AO463" s="1"/>
      <c r="AP463" s="1" t="s">
        <v>111</v>
      </c>
      <c r="AQ463" s="1" t="s">
        <v>111</v>
      </c>
    </row>
    <row r="464" spans="1:43" x14ac:dyDescent="0.25">
      <c r="A464" s="1">
        <v>108</v>
      </c>
      <c r="B464" s="1" t="s">
        <v>202</v>
      </c>
      <c r="C464" s="1" t="s">
        <v>103</v>
      </c>
      <c r="D464" s="1" t="s">
        <v>421</v>
      </c>
      <c r="E464" s="1" t="s">
        <v>191</v>
      </c>
      <c r="F464" s="1" t="s">
        <v>106</v>
      </c>
      <c r="G464" s="1" t="s">
        <v>107</v>
      </c>
      <c r="H464" s="1" t="s">
        <v>108</v>
      </c>
      <c r="I464" s="1">
        <v>22.818000000000001</v>
      </c>
      <c r="J464" s="1">
        <v>22.84</v>
      </c>
      <c r="K464" s="1">
        <v>9.2999999999999999E-2</v>
      </c>
      <c r="L464" s="1"/>
      <c r="M464" s="1"/>
      <c r="N464" s="1"/>
      <c r="O464" s="1"/>
      <c r="P464" s="1"/>
      <c r="Q464" s="1"/>
      <c r="R464" s="1"/>
      <c r="S464" s="1" t="s">
        <v>109</v>
      </c>
      <c r="T464" s="1">
        <v>0.51400000000000001</v>
      </c>
      <c r="U464" s="1" t="s">
        <v>109</v>
      </c>
      <c r="V464" s="1">
        <v>3</v>
      </c>
      <c r="W464" s="1">
        <v>16</v>
      </c>
      <c r="X464" s="1" t="s">
        <v>110</v>
      </c>
      <c r="Y464" s="1"/>
      <c r="Z464" s="1">
        <v>0.98299999999999998</v>
      </c>
      <c r="AA464" s="1" t="s">
        <v>111</v>
      </c>
      <c r="AB464" s="1" t="s">
        <v>111</v>
      </c>
      <c r="AC464" s="1" t="s">
        <v>111</v>
      </c>
      <c r="AD464" s="1" t="s">
        <v>111</v>
      </c>
      <c r="AE464" s="1" t="s">
        <v>111</v>
      </c>
      <c r="AF464" s="1" t="s">
        <v>111</v>
      </c>
      <c r="AG464" s="1" t="s">
        <v>111</v>
      </c>
      <c r="AH464" s="1" t="s">
        <v>111</v>
      </c>
      <c r="AI464" s="1">
        <v>89.581000000000003</v>
      </c>
      <c r="AJ464" s="1" t="s">
        <v>111</v>
      </c>
      <c r="AK464" s="1"/>
      <c r="AL464" s="1" t="s">
        <v>111</v>
      </c>
      <c r="AM464" s="1"/>
      <c r="AN464" s="1" t="s">
        <v>111</v>
      </c>
      <c r="AO464" s="1"/>
      <c r="AP464" s="1" t="s">
        <v>111</v>
      </c>
      <c r="AQ464" s="1" t="s">
        <v>111</v>
      </c>
    </row>
    <row r="465" spans="1:43" x14ac:dyDescent="0.25">
      <c r="A465" s="1">
        <v>113</v>
      </c>
      <c r="B465" s="1" t="s">
        <v>203</v>
      </c>
      <c r="C465" s="1" t="s">
        <v>103</v>
      </c>
      <c r="D465" s="1" t="s">
        <v>416</v>
      </c>
      <c r="E465" s="1" t="s">
        <v>204</v>
      </c>
      <c r="F465" s="1" t="s">
        <v>106</v>
      </c>
      <c r="G465" s="1" t="s">
        <v>107</v>
      </c>
      <c r="H465" s="1" t="s">
        <v>108</v>
      </c>
      <c r="I465" s="1">
        <v>30.562000000000001</v>
      </c>
      <c r="J465" s="1">
        <v>30.382999999999999</v>
      </c>
      <c r="K465" s="1">
        <v>0.55800000000000005</v>
      </c>
      <c r="L465" s="1"/>
      <c r="M465" s="1"/>
      <c r="N465" s="1"/>
      <c r="O465" s="1"/>
      <c r="P465" s="1"/>
      <c r="Q465" s="1"/>
      <c r="R465" s="1"/>
      <c r="S465" s="1" t="s">
        <v>109</v>
      </c>
      <c r="T465" s="1">
        <v>0.29399999999999998</v>
      </c>
      <c r="U465" s="1" t="s">
        <v>109</v>
      </c>
      <c r="V465" s="1">
        <v>3</v>
      </c>
      <c r="W465" s="1">
        <v>25</v>
      </c>
      <c r="X465" s="1" t="s">
        <v>110</v>
      </c>
      <c r="Y465" s="1"/>
      <c r="Z465" s="1">
        <v>0.98199999999999998</v>
      </c>
      <c r="AA465" s="1" t="s">
        <v>111</v>
      </c>
      <c r="AB465" s="1" t="s">
        <v>111</v>
      </c>
      <c r="AC465" s="1" t="s">
        <v>111</v>
      </c>
      <c r="AD465" s="1" t="s">
        <v>111</v>
      </c>
      <c r="AE465" s="1" t="s">
        <v>111</v>
      </c>
      <c r="AF465" s="1" t="s">
        <v>111</v>
      </c>
      <c r="AG465" s="1" t="s">
        <v>205</v>
      </c>
      <c r="AH465" s="1" t="s">
        <v>111</v>
      </c>
      <c r="AI465" s="1">
        <v>80.427999999999997</v>
      </c>
      <c r="AJ465" s="1" t="s">
        <v>111</v>
      </c>
      <c r="AK465" s="1"/>
      <c r="AL465" s="1" t="s">
        <v>111</v>
      </c>
      <c r="AM465" s="1"/>
      <c r="AN465" s="1" t="s">
        <v>111</v>
      </c>
      <c r="AO465" s="1"/>
      <c r="AP465" s="1" t="s">
        <v>111</v>
      </c>
      <c r="AQ465" s="1" t="s">
        <v>111</v>
      </c>
    </row>
    <row r="466" spans="1:43" x14ac:dyDescent="0.25">
      <c r="A466" s="1">
        <v>114</v>
      </c>
      <c r="B466" s="1" t="s">
        <v>206</v>
      </c>
      <c r="C466" s="1" t="s">
        <v>103</v>
      </c>
      <c r="D466" s="1" t="s">
        <v>416</v>
      </c>
      <c r="E466" s="1" t="s">
        <v>204</v>
      </c>
      <c r="F466" s="1" t="s">
        <v>106</v>
      </c>
      <c r="G466" s="1" t="s">
        <v>107</v>
      </c>
      <c r="H466" s="1" t="s">
        <v>108</v>
      </c>
      <c r="I466" s="1">
        <v>29.917999999999999</v>
      </c>
      <c r="J466" s="1">
        <v>30.382999999999999</v>
      </c>
      <c r="K466" s="1">
        <v>0.55800000000000005</v>
      </c>
      <c r="L466" s="1"/>
      <c r="M466" s="1"/>
      <c r="N466" s="1"/>
      <c r="O466" s="1"/>
      <c r="P466" s="1"/>
      <c r="Q466" s="1"/>
      <c r="R466" s="1"/>
      <c r="S466" s="1" t="s">
        <v>109</v>
      </c>
      <c r="T466" s="1">
        <v>0.29399999999999998</v>
      </c>
      <c r="U466" s="1" t="s">
        <v>109</v>
      </c>
      <c r="V466" s="1">
        <v>3</v>
      </c>
      <c r="W466" s="1">
        <v>24</v>
      </c>
      <c r="X466" s="1" t="s">
        <v>110</v>
      </c>
      <c r="Y466" s="1"/>
      <c r="Z466" s="1">
        <v>0.98399999999999999</v>
      </c>
      <c r="AA466" s="1" t="s">
        <v>111</v>
      </c>
      <c r="AB466" s="1" t="s">
        <v>111</v>
      </c>
      <c r="AC466" s="1" t="s">
        <v>111</v>
      </c>
      <c r="AD466" s="1" t="s">
        <v>111</v>
      </c>
      <c r="AE466" s="1" t="s">
        <v>111</v>
      </c>
      <c r="AF466" s="1" t="s">
        <v>111</v>
      </c>
      <c r="AG466" s="1" t="s">
        <v>205</v>
      </c>
      <c r="AH466" s="1" t="s">
        <v>111</v>
      </c>
      <c r="AI466" s="1">
        <v>80.427999999999997</v>
      </c>
      <c r="AJ466" s="1" t="s">
        <v>111</v>
      </c>
      <c r="AK466" s="1"/>
      <c r="AL466" s="1" t="s">
        <v>111</v>
      </c>
      <c r="AM466" s="1"/>
      <c r="AN466" s="1" t="s">
        <v>111</v>
      </c>
      <c r="AO466" s="1"/>
      <c r="AP466" s="1" t="s">
        <v>111</v>
      </c>
      <c r="AQ466" s="1" t="s">
        <v>111</v>
      </c>
    </row>
    <row r="467" spans="1:43" x14ac:dyDescent="0.25">
      <c r="A467" s="1">
        <v>115</v>
      </c>
      <c r="B467" s="1" t="s">
        <v>207</v>
      </c>
      <c r="C467" s="1" t="s">
        <v>103</v>
      </c>
      <c r="D467" s="1" t="s">
        <v>417</v>
      </c>
      <c r="E467" s="1" t="s">
        <v>204</v>
      </c>
      <c r="F467" s="1" t="s">
        <v>106</v>
      </c>
      <c r="G467" s="1" t="s">
        <v>107</v>
      </c>
      <c r="H467" s="1" t="s">
        <v>108</v>
      </c>
      <c r="I467" s="1">
        <v>29.920999999999999</v>
      </c>
      <c r="J467" s="1">
        <v>30.053999999999998</v>
      </c>
      <c r="K467" s="1">
        <v>0.30399999999999999</v>
      </c>
      <c r="L467" s="1"/>
      <c r="M467" s="1"/>
      <c r="N467" s="1"/>
      <c r="O467" s="1"/>
      <c r="P467" s="1"/>
      <c r="Q467" s="1"/>
      <c r="R467" s="1"/>
      <c r="S467" s="1" t="s">
        <v>109</v>
      </c>
      <c r="T467" s="1">
        <v>0.29399999999999998</v>
      </c>
      <c r="U467" s="1" t="s">
        <v>109</v>
      </c>
      <c r="V467" s="1">
        <v>3</v>
      </c>
      <c r="W467" s="1">
        <v>24</v>
      </c>
      <c r="X467" s="1" t="s">
        <v>110</v>
      </c>
      <c r="Y467" s="1"/>
      <c r="Z467" s="1">
        <v>0.98399999999999999</v>
      </c>
      <c r="AA467" s="1" t="s">
        <v>111</v>
      </c>
      <c r="AB467" s="1" t="s">
        <v>111</v>
      </c>
      <c r="AC467" s="1" t="s">
        <v>111</v>
      </c>
      <c r="AD467" s="1" t="s">
        <v>111</v>
      </c>
      <c r="AE467" s="1" t="s">
        <v>111</v>
      </c>
      <c r="AF467" s="1" t="s">
        <v>111</v>
      </c>
      <c r="AG467" s="1" t="s">
        <v>111</v>
      </c>
      <c r="AH467" s="1" t="s">
        <v>111</v>
      </c>
      <c r="AI467" s="1">
        <v>80.427999999999997</v>
      </c>
      <c r="AJ467" s="1" t="s">
        <v>111</v>
      </c>
      <c r="AK467" s="1"/>
      <c r="AL467" s="1" t="s">
        <v>111</v>
      </c>
      <c r="AM467" s="1"/>
      <c r="AN467" s="1" t="s">
        <v>111</v>
      </c>
      <c r="AO467" s="1"/>
      <c r="AP467" s="1" t="s">
        <v>111</v>
      </c>
      <c r="AQ467" s="1" t="s">
        <v>111</v>
      </c>
    </row>
    <row r="468" spans="1:43" x14ac:dyDescent="0.25">
      <c r="A468" s="1">
        <v>116</v>
      </c>
      <c r="B468" s="1" t="s">
        <v>208</v>
      </c>
      <c r="C468" s="1" t="s">
        <v>103</v>
      </c>
      <c r="D468" s="1" t="s">
        <v>417</v>
      </c>
      <c r="E468" s="1" t="s">
        <v>204</v>
      </c>
      <c r="F468" s="1" t="s">
        <v>106</v>
      </c>
      <c r="G468" s="1" t="s">
        <v>107</v>
      </c>
      <c r="H468" s="1" t="s">
        <v>108</v>
      </c>
      <c r="I468" s="1">
        <v>30.343</v>
      </c>
      <c r="J468" s="1">
        <v>30.053999999999998</v>
      </c>
      <c r="K468" s="1">
        <v>0.30399999999999999</v>
      </c>
      <c r="L468" s="1"/>
      <c r="M468" s="1"/>
      <c r="N468" s="1"/>
      <c r="O468" s="1"/>
      <c r="P468" s="1"/>
      <c r="Q468" s="1"/>
      <c r="R468" s="1"/>
      <c r="S468" s="1" t="s">
        <v>109</v>
      </c>
      <c r="T468" s="1">
        <v>0.29399999999999998</v>
      </c>
      <c r="U468" s="1" t="s">
        <v>109</v>
      </c>
      <c r="V468" s="1">
        <v>3</v>
      </c>
      <c r="W468" s="1">
        <v>24</v>
      </c>
      <c r="X468" s="1" t="s">
        <v>110</v>
      </c>
      <c r="Y468" s="1"/>
      <c r="Z468" s="1">
        <v>0.98399999999999999</v>
      </c>
      <c r="AA468" s="1" t="s">
        <v>111</v>
      </c>
      <c r="AB468" s="1" t="s">
        <v>111</v>
      </c>
      <c r="AC468" s="1" t="s">
        <v>111</v>
      </c>
      <c r="AD468" s="1" t="s">
        <v>111</v>
      </c>
      <c r="AE468" s="1" t="s">
        <v>111</v>
      </c>
      <c r="AF468" s="1" t="s">
        <v>111</v>
      </c>
      <c r="AG468" s="1" t="s">
        <v>111</v>
      </c>
      <c r="AH468" s="1" t="s">
        <v>111</v>
      </c>
      <c r="AI468" s="1">
        <v>80.427999999999997</v>
      </c>
      <c r="AJ468" s="1" t="s">
        <v>111</v>
      </c>
      <c r="AK468" s="1"/>
      <c r="AL468" s="1" t="s">
        <v>111</v>
      </c>
      <c r="AM468" s="1"/>
      <c r="AN468" s="1" t="s">
        <v>111</v>
      </c>
      <c r="AO468" s="1"/>
      <c r="AP468" s="1" t="s">
        <v>111</v>
      </c>
      <c r="AQ468" s="1" t="s">
        <v>111</v>
      </c>
    </row>
    <row r="469" spans="1:43" x14ac:dyDescent="0.25">
      <c r="A469" s="1">
        <v>117</v>
      </c>
      <c r="B469" s="1" t="s">
        <v>209</v>
      </c>
      <c r="C469" s="1" t="s">
        <v>103</v>
      </c>
      <c r="D469" s="1" t="s">
        <v>418</v>
      </c>
      <c r="E469" s="1" t="s">
        <v>204</v>
      </c>
      <c r="F469" s="1" t="s">
        <v>106</v>
      </c>
      <c r="G469" s="1" t="s">
        <v>107</v>
      </c>
      <c r="H469" s="1" t="s">
        <v>108</v>
      </c>
      <c r="I469" s="1">
        <v>28.100999999999999</v>
      </c>
      <c r="J469" s="1">
        <v>28.015999999999998</v>
      </c>
      <c r="K469" s="1">
        <v>8.8999999999999996E-2</v>
      </c>
      <c r="L469" s="1"/>
      <c r="M469" s="1"/>
      <c r="N469" s="1"/>
      <c r="O469" s="1"/>
      <c r="P469" s="1"/>
      <c r="Q469" s="1"/>
      <c r="R469" s="1"/>
      <c r="S469" s="1" t="s">
        <v>109</v>
      </c>
      <c r="T469" s="1">
        <v>0.29399999999999998</v>
      </c>
      <c r="U469" s="1" t="s">
        <v>109</v>
      </c>
      <c r="V469" s="1">
        <v>3</v>
      </c>
      <c r="W469" s="1">
        <v>23</v>
      </c>
      <c r="X469" s="1" t="s">
        <v>110</v>
      </c>
      <c r="Y469" s="1"/>
      <c r="Z469" s="1">
        <v>0.98399999999999999</v>
      </c>
      <c r="AA469" s="1" t="s">
        <v>111</v>
      </c>
      <c r="AB469" s="1" t="s">
        <v>111</v>
      </c>
      <c r="AC469" s="1" t="s">
        <v>111</v>
      </c>
      <c r="AD469" s="1" t="s">
        <v>111</v>
      </c>
      <c r="AE469" s="1" t="s">
        <v>111</v>
      </c>
      <c r="AF469" s="1" t="s">
        <v>111</v>
      </c>
      <c r="AG469" s="1" t="s">
        <v>111</v>
      </c>
      <c r="AH469" s="1" t="s">
        <v>111</v>
      </c>
      <c r="AI469" s="1">
        <v>80.435000000000002</v>
      </c>
      <c r="AJ469" s="1" t="s">
        <v>111</v>
      </c>
      <c r="AK469" s="1"/>
      <c r="AL469" s="1" t="s">
        <v>111</v>
      </c>
      <c r="AM469" s="1"/>
      <c r="AN469" s="1" t="s">
        <v>111</v>
      </c>
      <c r="AO469" s="1"/>
      <c r="AP469" s="1" t="s">
        <v>111</v>
      </c>
      <c r="AQ469" s="1" t="s">
        <v>111</v>
      </c>
    </row>
    <row r="470" spans="1:43" x14ac:dyDescent="0.25">
      <c r="A470" s="1">
        <v>118</v>
      </c>
      <c r="B470" s="1" t="s">
        <v>210</v>
      </c>
      <c r="C470" s="1" t="s">
        <v>103</v>
      </c>
      <c r="D470" s="1" t="s">
        <v>418</v>
      </c>
      <c r="E470" s="1" t="s">
        <v>204</v>
      </c>
      <c r="F470" s="1" t="s">
        <v>106</v>
      </c>
      <c r="G470" s="1" t="s">
        <v>107</v>
      </c>
      <c r="H470" s="1" t="s">
        <v>108</v>
      </c>
      <c r="I470" s="1">
        <v>28.085000000000001</v>
      </c>
      <c r="J470" s="1">
        <v>28.015999999999998</v>
      </c>
      <c r="K470" s="1">
        <v>8.8999999999999996E-2</v>
      </c>
      <c r="L470" s="1"/>
      <c r="M470" s="1"/>
      <c r="N470" s="1"/>
      <c r="O470" s="1"/>
      <c r="P470" s="1"/>
      <c r="Q470" s="1"/>
      <c r="R470" s="1"/>
      <c r="S470" s="1" t="s">
        <v>109</v>
      </c>
      <c r="T470" s="1">
        <v>0.29399999999999998</v>
      </c>
      <c r="U470" s="1" t="s">
        <v>109</v>
      </c>
      <c r="V470" s="1">
        <v>3</v>
      </c>
      <c r="W470" s="1">
        <v>22</v>
      </c>
      <c r="X470" s="1" t="s">
        <v>110</v>
      </c>
      <c r="Y470" s="1"/>
      <c r="Z470" s="1">
        <v>0.97899999999999998</v>
      </c>
      <c r="AA470" s="1" t="s">
        <v>111</v>
      </c>
      <c r="AB470" s="1" t="s">
        <v>111</v>
      </c>
      <c r="AC470" s="1" t="s">
        <v>111</v>
      </c>
      <c r="AD470" s="1" t="s">
        <v>111</v>
      </c>
      <c r="AE470" s="1" t="s">
        <v>111</v>
      </c>
      <c r="AF470" s="1" t="s">
        <v>111</v>
      </c>
      <c r="AG470" s="1" t="s">
        <v>111</v>
      </c>
      <c r="AH470" s="1" t="s">
        <v>111</v>
      </c>
      <c r="AI470" s="1">
        <v>80.435000000000002</v>
      </c>
      <c r="AJ470" s="1" t="s">
        <v>111</v>
      </c>
      <c r="AK470" s="1"/>
      <c r="AL470" s="1" t="s">
        <v>111</v>
      </c>
      <c r="AM470" s="1"/>
      <c r="AN470" s="1" t="s">
        <v>111</v>
      </c>
      <c r="AO470" s="1"/>
      <c r="AP470" s="1" t="s">
        <v>111</v>
      </c>
      <c r="AQ470" s="1" t="s">
        <v>111</v>
      </c>
    </row>
    <row r="471" spans="1:43" x14ac:dyDescent="0.25">
      <c r="A471" s="1">
        <v>119</v>
      </c>
      <c r="B471" s="1" t="s">
        <v>211</v>
      </c>
      <c r="C471" s="1" t="s">
        <v>103</v>
      </c>
      <c r="D471" s="1" t="s">
        <v>419</v>
      </c>
      <c r="E471" s="1" t="s">
        <v>204</v>
      </c>
      <c r="F471" s="1" t="s">
        <v>106</v>
      </c>
      <c r="G471" s="1" t="s">
        <v>107</v>
      </c>
      <c r="H471" s="1" t="s">
        <v>108</v>
      </c>
      <c r="I471" s="1">
        <v>27.902999999999999</v>
      </c>
      <c r="J471" s="1">
        <v>27.946999999999999</v>
      </c>
      <c r="K471" s="1">
        <v>8.8999999999999996E-2</v>
      </c>
      <c r="L471" s="1"/>
      <c r="M471" s="1"/>
      <c r="N471" s="1"/>
      <c r="O471" s="1"/>
      <c r="P471" s="1"/>
      <c r="Q471" s="1"/>
      <c r="R471" s="1"/>
      <c r="S471" s="1" t="s">
        <v>109</v>
      </c>
      <c r="T471" s="1">
        <v>0.29399999999999998</v>
      </c>
      <c r="U471" s="1" t="s">
        <v>109</v>
      </c>
      <c r="V471" s="1">
        <v>3</v>
      </c>
      <c r="W471" s="1">
        <v>21</v>
      </c>
      <c r="X471" s="1" t="s">
        <v>110</v>
      </c>
      <c r="Y471" s="1"/>
      <c r="Z471" s="1">
        <v>0.98499999999999999</v>
      </c>
      <c r="AA471" s="1" t="s">
        <v>111</v>
      </c>
      <c r="AB471" s="1" t="s">
        <v>111</v>
      </c>
      <c r="AC471" s="1" t="s">
        <v>111</v>
      </c>
      <c r="AD471" s="1" t="s">
        <v>111</v>
      </c>
      <c r="AE471" s="1" t="s">
        <v>111</v>
      </c>
      <c r="AF471" s="1" t="s">
        <v>111</v>
      </c>
      <c r="AG471" s="1" t="s">
        <v>111</v>
      </c>
      <c r="AH471" s="1" t="s">
        <v>111</v>
      </c>
      <c r="AI471" s="1">
        <v>80.435000000000002</v>
      </c>
      <c r="AJ471" s="1" t="s">
        <v>111</v>
      </c>
      <c r="AK471" s="1"/>
      <c r="AL471" s="1" t="s">
        <v>111</v>
      </c>
      <c r="AM471" s="1"/>
      <c r="AN471" s="1" t="s">
        <v>111</v>
      </c>
      <c r="AO471" s="1"/>
      <c r="AP471" s="1" t="s">
        <v>111</v>
      </c>
      <c r="AQ471" s="1" t="s">
        <v>111</v>
      </c>
    </row>
    <row r="472" spans="1:43" x14ac:dyDescent="0.25">
      <c r="A472" s="1">
        <v>120</v>
      </c>
      <c r="B472" s="1" t="s">
        <v>212</v>
      </c>
      <c r="C472" s="1" t="s">
        <v>103</v>
      </c>
      <c r="D472" s="1" t="s">
        <v>419</v>
      </c>
      <c r="E472" s="1" t="s">
        <v>204</v>
      </c>
      <c r="F472" s="1" t="s">
        <v>106</v>
      </c>
      <c r="G472" s="1" t="s">
        <v>107</v>
      </c>
      <c r="H472" s="1" t="s">
        <v>108</v>
      </c>
      <c r="I472" s="1">
        <v>27.876999999999999</v>
      </c>
      <c r="J472" s="1">
        <v>27.946999999999999</v>
      </c>
      <c r="K472" s="1">
        <v>8.8999999999999996E-2</v>
      </c>
      <c r="L472" s="1"/>
      <c r="M472" s="1"/>
      <c r="N472" s="1"/>
      <c r="O472" s="1"/>
      <c r="P472" s="1"/>
      <c r="Q472" s="1"/>
      <c r="R472" s="1"/>
      <c r="S472" s="1" t="s">
        <v>109</v>
      </c>
      <c r="T472" s="1">
        <v>0.29399999999999998</v>
      </c>
      <c r="U472" s="1" t="s">
        <v>109</v>
      </c>
      <c r="V472" s="1">
        <v>3</v>
      </c>
      <c r="W472" s="1">
        <v>21</v>
      </c>
      <c r="X472" s="1" t="s">
        <v>110</v>
      </c>
      <c r="Y472" s="1"/>
      <c r="Z472" s="1">
        <v>0.99</v>
      </c>
      <c r="AA472" s="1" t="s">
        <v>111</v>
      </c>
      <c r="AB472" s="1" t="s">
        <v>111</v>
      </c>
      <c r="AC472" s="1" t="s">
        <v>111</v>
      </c>
      <c r="AD472" s="1" t="s">
        <v>111</v>
      </c>
      <c r="AE472" s="1" t="s">
        <v>111</v>
      </c>
      <c r="AF472" s="1" t="s">
        <v>111</v>
      </c>
      <c r="AG472" s="1" t="s">
        <v>111</v>
      </c>
      <c r="AH472" s="1" t="s">
        <v>111</v>
      </c>
      <c r="AI472" s="1">
        <v>80.435000000000002</v>
      </c>
      <c r="AJ472" s="1" t="s">
        <v>111</v>
      </c>
      <c r="AK472" s="1"/>
      <c r="AL472" s="1" t="s">
        <v>111</v>
      </c>
      <c r="AM472" s="1"/>
      <c r="AN472" s="1" t="s">
        <v>111</v>
      </c>
      <c r="AO472" s="1"/>
      <c r="AP472" s="1" t="s">
        <v>111</v>
      </c>
      <c r="AQ472" s="1" t="s">
        <v>111</v>
      </c>
    </row>
    <row r="473" spans="1:43" x14ac:dyDescent="0.25">
      <c r="A473" s="1">
        <v>121</v>
      </c>
      <c r="B473" s="1" t="s">
        <v>213</v>
      </c>
      <c r="C473" s="1" t="s">
        <v>103</v>
      </c>
      <c r="D473" s="1" t="s">
        <v>416</v>
      </c>
      <c r="E473" s="1" t="s">
        <v>191</v>
      </c>
      <c r="F473" s="1" t="s">
        <v>106</v>
      </c>
      <c r="G473" s="1" t="s">
        <v>107</v>
      </c>
      <c r="H473" s="1" t="s">
        <v>108</v>
      </c>
      <c r="I473" s="1">
        <v>23.007999999999999</v>
      </c>
      <c r="J473" s="1">
        <v>23.105</v>
      </c>
      <c r="K473" s="1">
        <v>0.107</v>
      </c>
      <c r="L473" s="1"/>
      <c r="M473" s="1"/>
      <c r="N473" s="1"/>
      <c r="O473" s="1"/>
      <c r="P473" s="1"/>
      <c r="Q473" s="1"/>
      <c r="R473" s="1"/>
      <c r="S473" s="1" t="s">
        <v>109</v>
      </c>
      <c r="T473" s="1">
        <v>0.51400000000000001</v>
      </c>
      <c r="U473" s="1" t="s">
        <v>109</v>
      </c>
      <c r="V473" s="1">
        <v>3</v>
      </c>
      <c r="W473" s="1">
        <v>17</v>
      </c>
      <c r="X473" s="1" t="s">
        <v>110</v>
      </c>
      <c r="Y473" s="1"/>
      <c r="Z473" s="1">
        <v>0.98099999999999998</v>
      </c>
      <c r="AA473" s="1" t="s">
        <v>111</v>
      </c>
      <c r="AB473" s="1" t="s">
        <v>111</v>
      </c>
      <c r="AC473" s="1" t="s">
        <v>111</v>
      </c>
      <c r="AD473" s="1" t="s">
        <v>111</v>
      </c>
      <c r="AE473" s="1" t="s">
        <v>111</v>
      </c>
      <c r="AF473" s="1" t="s">
        <v>111</v>
      </c>
      <c r="AG473" s="1" t="s">
        <v>111</v>
      </c>
      <c r="AH473" s="1" t="s">
        <v>111</v>
      </c>
      <c r="AI473" s="1">
        <v>89.468999999999994</v>
      </c>
      <c r="AJ473" s="1" t="s">
        <v>111</v>
      </c>
      <c r="AK473" s="1"/>
      <c r="AL473" s="1" t="s">
        <v>111</v>
      </c>
      <c r="AM473" s="1"/>
      <c r="AN473" s="1" t="s">
        <v>111</v>
      </c>
      <c r="AO473" s="1"/>
      <c r="AP473" s="1" t="s">
        <v>111</v>
      </c>
      <c r="AQ473" s="1" t="s">
        <v>111</v>
      </c>
    </row>
    <row r="474" spans="1:43" x14ac:dyDescent="0.25">
      <c r="A474" s="1">
        <v>122</v>
      </c>
      <c r="B474" s="1" t="s">
        <v>214</v>
      </c>
      <c r="C474" s="1" t="s">
        <v>103</v>
      </c>
      <c r="D474" s="1" t="s">
        <v>416</v>
      </c>
      <c r="E474" s="1" t="s">
        <v>191</v>
      </c>
      <c r="F474" s="1" t="s">
        <v>106</v>
      </c>
      <c r="G474" s="1" t="s">
        <v>107</v>
      </c>
      <c r="H474" s="1" t="s">
        <v>108</v>
      </c>
      <c r="I474" s="1">
        <v>23.12</v>
      </c>
      <c r="J474" s="1">
        <v>23.105</v>
      </c>
      <c r="K474" s="1">
        <v>0.107</v>
      </c>
      <c r="L474" s="1"/>
      <c r="M474" s="1"/>
      <c r="N474" s="1"/>
      <c r="O474" s="1"/>
      <c r="P474" s="1"/>
      <c r="Q474" s="1"/>
      <c r="R474" s="1"/>
      <c r="S474" s="1" t="s">
        <v>109</v>
      </c>
      <c r="T474" s="1">
        <v>0.51400000000000001</v>
      </c>
      <c r="U474" s="1" t="s">
        <v>109</v>
      </c>
      <c r="V474" s="1">
        <v>3</v>
      </c>
      <c r="W474" s="1">
        <v>15</v>
      </c>
      <c r="X474" s="1" t="s">
        <v>110</v>
      </c>
      <c r="Y474" s="1"/>
      <c r="Z474" s="1">
        <v>0.98299999999999998</v>
      </c>
      <c r="AA474" s="1" t="s">
        <v>111</v>
      </c>
      <c r="AB474" s="1" t="s">
        <v>111</v>
      </c>
      <c r="AC474" s="1" t="s">
        <v>111</v>
      </c>
      <c r="AD474" s="1" t="s">
        <v>111</v>
      </c>
      <c r="AE474" s="1" t="s">
        <v>111</v>
      </c>
      <c r="AF474" s="1" t="s">
        <v>111</v>
      </c>
      <c r="AG474" s="1" t="s">
        <v>111</v>
      </c>
      <c r="AH474" s="1" t="s">
        <v>111</v>
      </c>
      <c r="AI474" s="1">
        <v>89.468999999999994</v>
      </c>
      <c r="AJ474" s="1" t="s">
        <v>111</v>
      </c>
      <c r="AK474" s="1"/>
      <c r="AL474" s="1" t="s">
        <v>111</v>
      </c>
      <c r="AM474" s="1"/>
      <c r="AN474" s="1" t="s">
        <v>111</v>
      </c>
      <c r="AO474" s="1"/>
      <c r="AP474" s="1" t="s">
        <v>111</v>
      </c>
      <c r="AQ474" s="1" t="s">
        <v>111</v>
      </c>
    </row>
    <row r="475" spans="1:43" x14ac:dyDescent="0.25">
      <c r="A475" s="1">
        <v>123</v>
      </c>
      <c r="B475" s="1" t="s">
        <v>215</v>
      </c>
      <c r="C475" s="1" t="s">
        <v>103</v>
      </c>
      <c r="D475" s="1" t="s">
        <v>417</v>
      </c>
      <c r="E475" s="1" t="s">
        <v>191</v>
      </c>
      <c r="F475" s="1" t="s">
        <v>106</v>
      </c>
      <c r="G475" s="1" t="s">
        <v>107</v>
      </c>
      <c r="H475" s="1" t="s">
        <v>108</v>
      </c>
      <c r="I475" s="1">
        <v>23.169</v>
      </c>
      <c r="J475" s="1">
        <v>23.222999999999999</v>
      </c>
      <c r="K475" s="1">
        <v>0.1</v>
      </c>
      <c r="L475" s="1"/>
      <c r="M475" s="1"/>
      <c r="N475" s="1"/>
      <c r="O475" s="1"/>
      <c r="P475" s="1"/>
      <c r="Q475" s="1"/>
      <c r="R475" s="1"/>
      <c r="S475" s="1" t="s">
        <v>109</v>
      </c>
      <c r="T475" s="1">
        <v>0.51400000000000001</v>
      </c>
      <c r="U475" s="1" t="s">
        <v>109</v>
      </c>
      <c r="V475" s="1">
        <v>3</v>
      </c>
      <c r="W475" s="1">
        <v>16</v>
      </c>
      <c r="X475" s="1" t="s">
        <v>110</v>
      </c>
      <c r="Y475" s="1"/>
      <c r="Z475" s="1">
        <v>0.97699999999999998</v>
      </c>
      <c r="AA475" s="1" t="s">
        <v>111</v>
      </c>
      <c r="AB475" s="1" t="s">
        <v>111</v>
      </c>
      <c r="AC475" s="1" t="s">
        <v>111</v>
      </c>
      <c r="AD475" s="1" t="s">
        <v>111</v>
      </c>
      <c r="AE475" s="1" t="s">
        <v>111</v>
      </c>
      <c r="AF475" s="1" t="s">
        <v>111</v>
      </c>
      <c r="AG475" s="1" t="s">
        <v>111</v>
      </c>
      <c r="AH475" s="1" t="s">
        <v>111</v>
      </c>
      <c r="AI475" s="1">
        <v>89.468999999999994</v>
      </c>
      <c r="AJ475" s="1" t="s">
        <v>111</v>
      </c>
      <c r="AK475" s="1"/>
      <c r="AL475" s="1" t="s">
        <v>111</v>
      </c>
      <c r="AM475" s="1"/>
      <c r="AN475" s="1" t="s">
        <v>111</v>
      </c>
      <c r="AO475" s="1"/>
      <c r="AP475" s="1" t="s">
        <v>111</v>
      </c>
      <c r="AQ475" s="1" t="s">
        <v>111</v>
      </c>
    </row>
    <row r="476" spans="1:43" x14ac:dyDescent="0.25">
      <c r="A476" s="1">
        <v>124</v>
      </c>
      <c r="B476" s="1" t="s">
        <v>216</v>
      </c>
      <c r="C476" s="1" t="s">
        <v>103</v>
      </c>
      <c r="D476" s="1" t="s">
        <v>417</v>
      </c>
      <c r="E476" s="1" t="s">
        <v>191</v>
      </c>
      <c r="F476" s="1" t="s">
        <v>106</v>
      </c>
      <c r="G476" s="1" t="s">
        <v>107</v>
      </c>
      <c r="H476" s="1" t="s">
        <v>108</v>
      </c>
      <c r="I476" s="1">
        <v>23.206</v>
      </c>
      <c r="J476" s="1">
        <v>23.222999999999999</v>
      </c>
      <c r="K476" s="1">
        <v>0.1</v>
      </c>
      <c r="L476" s="1"/>
      <c r="M476" s="1"/>
      <c r="N476" s="1"/>
      <c r="O476" s="1"/>
      <c r="P476" s="1"/>
      <c r="Q476" s="1"/>
      <c r="R476" s="1"/>
      <c r="S476" s="1" t="s">
        <v>109</v>
      </c>
      <c r="T476" s="1">
        <v>0.51400000000000001</v>
      </c>
      <c r="U476" s="1" t="s">
        <v>109</v>
      </c>
      <c r="V476" s="1">
        <v>3</v>
      </c>
      <c r="W476" s="1">
        <v>16</v>
      </c>
      <c r="X476" s="1" t="s">
        <v>110</v>
      </c>
      <c r="Y476" s="1"/>
      <c r="Z476" s="1">
        <v>0.98199999999999998</v>
      </c>
      <c r="AA476" s="1" t="s">
        <v>111</v>
      </c>
      <c r="AB476" s="1" t="s">
        <v>111</v>
      </c>
      <c r="AC476" s="1" t="s">
        <v>111</v>
      </c>
      <c r="AD476" s="1" t="s">
        <v>111</v>
      </c>
      <c r="AE476" s="1" t="s">
        <v>111</v>
      </c>
      <c r="AF476" s="1" t="s">
        <v>111</v>
      </c>
      <c r="AG476" s="1" t="s">
        <v>111</v>
      </c>
      <c r="AH476" s="1" t="s">
        <v>111</v>
      </c>
      <c r="AI476" s="1">
        <v>89.468999999999994</v>
      </c>
      <c r="AJ476" s="1" t="s">
        <v>111</v>
      </c>
      <c r="AK476" s="1"/>
      <c r="AL476" s="1" t="s">
        <v>111</v>
      </c>
      <c r="AM476" s="1"/>
      <c r="AN476" s="1" t="s">
        <v>111</v>
      </c>
      <c r="AO476" s="1"/>
      <c r="AP476" s="1" t="s">
        <v>111</v>
      </c>
      <c r="AQ476" s="1" t="s">
        <v>111</v>
      </c>
    </row>
    <row r="477" spans="1:43" x14ac:dyDescent="0.25">
      <c r="A477" s="1">
        <v>125</v>
      </c>
      <c r="B477" s="1" t="s">
        <v>217</v>
      </c>
      <c r="C477" s="1" t="s">
        <v>103</v>
      </c>
      <c r="D477" s="1" t="s">
        <v>418</v>
      </c>
      <c r="E477" s="1" t="s">
        <v>191</v>
      </c>
      <c r="F477" s="1" t="s">
        <v>106</v>
      </c>
      <c r="G477" s="1" t="s">
        <v>107</v>
      </c>
      <c r="H477" s="1" t="s">
        <v>108</v>
      </c>
      <c r="I477" s="1">
        <v>20.797000000000001</v>
      </c>
      <c r="J477" s="1">
        <v>20.791</v>
      </c>
      <c r="K477" s="1">
        <v>1.7999999999999999E-2</v>
      </c>
      <c r="L477" s="1"/>
      <c r="M477" s="1"/>
      <c r="N477" s="1"/>
      <c r="O477" s="1"/>
      <c r="P477" s="1"/>
      <c r="Q477" s="1"/>
      <c r="R477" s="1"/>
      <c r="S477" s="1" t="s">
        <v>109</v>
      </c>
      <c r="T477" s="1">
        <v>0.51400000000000001</v>
      </c>
      <c r="U477" s="1" t="s">
        <v>109</v>
      </c>
      <c r="V477" s="1">
        <v>3</v>
      </c>
      <c r="W477" s="1">
        <v>14</v>
      </c>
      <c r="X477" s="1" t="s">
        <v>110</v>
      </c>
      <c r="Y477" s="1"/>
      <c r="Z477" s="1">
        <v>0.98499999999999999</v>
      </c>
      <c r="AA477" s="1" t="s">
        <v>111</v>
      </c>
      <c r="AB477" s="1" t="s">
        <v>111</v>
      </c>
      <c r="AC477" s="1" t="s">
        <v>111</v>
      </c>
      <c r="AD477" s="1" t="s">
        <v>111</v>
      </c>
      <c r="AE477" s="1" t="s">
        <v>111</v>
      </c>
      <c r="AF477" s="1" t="s">
        <v>111</v>
      </c>
      <c r="AG477" s="1" t="s">
        <v>111</v>
      </c>
      <c r="AH477" s="1" t="s">
        <v>111</v>
      </c>
      <c r="AI477" s="1">
        <v>89.453999999999994</v>
      </c>
      <c r="AJ477" s="1" t="s">
        <v>111</v>
      </c>
      <c r="AK477" s="1"/>
      <c r="AL477" s="1" t="s">
        <v>111</v>
      </c>
      <c r="AM477" s="1"/>
      <c r="AN477" s="1" t="s">
        <v>111</v>
      </c>
      <c r="AO477" s="1"/>
      <c r="AP477" s="1" t="s">
        <v>111</v>
      </c>
      <c r="AQ477" s="1" t="s">
        <v>111</v>
      </c>
    </row>
    <row r="478" spans="1:43" x14ac:dyDescent="0.25">
      <c r="A478" s="1">
        <v>126</v>
      </c>
      <c r="B478" s="1" t="s">
        <v>218</v>
      </c>
      <c r="C478" s="1" t="s">
        <v>103</v>
      </c>
      <c r="D478" s="1" t="s">
        <v>418</v>
      </c>
      <c r="E478" s="1" t="s">
        <v>191</v>
      </c>
      <c r="F478" s="1" t="s">
        <v>106</v>
      </c>
      <c r="G478" s="1" t="s">
        <v>107</v>
      </c>
      <c r="H478" s="1" t="s">
        <v>108</v>
      </c>
      <c r="I478" s="1">
        <v>20.768999999999998</v>
      </c>
      <c r="J478" s="1">
        <v>20.791</v>
      </c>
      <c r="K478" s="1">
        <v>1.7999999999999999E-2</v>
      </c>
      <c r="L478" s="1"/>
      <c r="M478" s="1"/>
      <c r="N478" s="1"/>
      <c r="O478" s="1"/>
      <c r="P478" s="1"/>
      <c r="Q478" s="1"/>
      <c r="R478" s="1"/>
      <c r="S478" s="1" t="s">
        <v>109</v>
      </c>
      <c r="T478" s="1">
        <v>0.51400000000000001</v>
      </c>
      <c r="U478" s="1" t="s">
        <v>109</v>
      </c>
      <c r="V478" s="1">
        <v>3</v>
      </c>
      <c r="W478" s="1">
        <v>14</v>
      </c>
      <c r="X478" s="1" t="s">
        <v>110</v>
      </c>
      <c r="Y478" s="1"/>
      <c r="Z478" s="1">
        <v>0.98</v>
      </c>
      <c r="AA478" s="1" t="s">
        <v>111</v>
      </c>
      <c r="AB478" s="1" t="s">
        <v>111</v>
      </c>
      <c r="AC478" s="1" t="s">
        <v>111</v>
      </c>
      <c r="AD478" s="1" t="s">
        <v>111</v>
      </c>
      <c r="AE478" s="1" t="s">
        <v>111</v>
      </c>
      <c r="AF478" s="1" t="s">
        <v>111</v>
      </c>
      <c r="AG478" s="1" t="s">
        <v>111</v>
      </c>
      <c r="AH478" s="1" t="s">
        <v>111</v>
      </c>
      <c r="AI478" s="1">
        <v>89.453999999999994</v>
      </c>
      <c r="AJ478" s="1" t="s">
        <v>111</v>
      </c>
      <c r="AK478" s="1"/>
      <c r="AL478" s="1" t="s">
        <v>111</v>
      </c>
      <c r="AM478" s="1"/>
      <c r="AN478" s="1" t="s">
        <v>111</v>
      </c>
      <c r="AO478" s="1"/>
      <c r="AP478" s="1" t="s">
        <v>111</v>
      </c>
      <c r="AQ478" s="1" t="s">
        <v>111</v>
      </c>
    </row>
    <row r="479" spans="1:43" x14ac:dyDescent="0.25">
      <c r="A479" s="1">
        <v>127</v>
      </c>
      <c r="B479" s="1" t="s">
        <v>219</v>
      </c>
      <c r="C479" s="1" t="s">
        <v>103</v>
      </c>
      <c r="D479" s="1" t="s">
        <v>419</v>
      </c>
      <c r="E479" s="1" t="s">
        <v>191</v>
      </c>
      <c r="F479" s="1" t="s">
        <v>106</v>
      </c>
      <c r="G479" s="1" t="s">
        <v>107</v>
      </c>
      <c r="H479" s="1" t="s">
        <v>108</v>
      </c>
      <c r="I479" s="1">
        <v>20.841999999999999</v>
      </c>
      <c r="J479" s="1">
        <v>20.739000000000001</v>
      </c>
      <c r="K479" s="1">
        <v>7.1999999999999995E-2</v>
      </c>
      <c r="L479" s="1"/>
      <c r="M479" s="1"/>
      <c r="N479" s="1"/>
      <c r="O479" s="1"/>
      <c r="P479" s="1"/>
      <c r="Q479" s="1"/>
      <c r="R479" s="1"/>
      <c r="S479" s="1" t="s">
        <v>109</v>
      </c>
      <c r="T479" s="1">
        <v>0.51400000000000001</v>
      </c>
      <c r="U479" s="1" t="s">
        <v>109</v>
      </c>
      <c r="V479" s="1">
        <v>3</v>
      </c>
      <c r="W479" s="1">
        <v>14</v>
      </c>
      <c r="X479" s="1" t="s">
        <v>110</v>
      </c>
      <c r="Y479" s="1"/>
      <c r="Z479" s="1">
        <v>0.98399999999999999</v>
      </c>
      <c r="AA479" s="1" t="s">
        <v>111</v>
      </c>
      <c r="AB479" s="1" t="s">
        <v>111</v>
      </c>
      <c r="AC479" s="1" t="s">
        <v>111</v>
      </c>
      <c r="AD479" s="1" t="s">
        <v>111</v>
      </c>
      <c r="AE479" s="1" t="s">
        <v>111</v>
      </c>
      <c r="AF479" s="1" t="s">
        <v>111</v>
      </c>
      <c r="AG479" s="1" t="s">
        <v>111</v>
      </c>
      <c r="AH479" s="1" t="s">
        <v>111</v>
      </c>
      <c r="AI479" s="1">
        <v>89.453999999999994</v>
      </c>
      <c r="AJ479" s="1" t="s">
        <v>111</v>
      </c>
      <c r="AK479" s="1"/>
      <c r="AL479" s="1" t="s">
        <v>111</v>
      </c>
      <c r="AM479" s="1"/>
      <c r="AN479" s="1" t="s">
        <v>111</v>
      </c>
      <c r="AO479" s="1"/>
      <c r="AP479" s="1" t="s">
        <v>111</v>
      </c>
      <c r="AQ479" s="1" t="s">
        <v>111</v>
      </c>
    </row>
    <row r="480" spans="1:43" x14ac:dyDescent="0.25">
      <c r="A480" s="1">
        <v>128</v>
      </c>
      <c r="B480" s="1" t="s">
        <v>220</v>
      </c>
      <c r="C480" s="1" t="s">
        <v>103</v>
      </c>
      <c r="D480" s="1" t="s">
        <v>419</v>
      </c>
      <c r="E480" s="1" t="s">
        <v>191</v>
      </c>
      <c r="F480" s="1" t="s">
        <v>106</v>
      </c>
      <c r="G480" s="1" t="s">
        <v>107</v>
      </c>
      <c r="H480" s="1" t="s">
        <v>108</v>
      </c>
      <c r="I480" s="1">
        <v>20.699000000000002</v>
      </c>
      <c r="J480" s="1">
        <v>20.739000000000001</v>
      </c>
      <c r="K480" s="1">
        <v>7.1999999999999995E-2</v>
      </c>
      <c r="L480" s="1"/>
      <c r="M480" s="1"/>
      <c r="N480" s="1"/>
      <c r="O480" s="1"/>
      <c r="P480" s="1"/>
      <c r="Q480" s="1"/>
      <c r="R480" s="1"/>
      <c r="S480" s="1" t="s">
        <v>109</v>
      </c>
      <c r="T480" s="1">
        <v>0.51400000000000001</v>
      </c>
      <c r="U480" s="1" t="s">
        <v>109</v>
      </c>
      <c r="V480" s="1">
        <v>3</v>
      </c>
      <c r="W480" s="1">
        <v>14</v>
      </c>
      <c r="X480" s="1" t="s">
        <v>110</v>
      </c>
      <c r="Y480" s="1"/>
      <c r="Z480" s="1">
        <v>0.98299999999999998</v>
      </c>
      <c r="AA480" s="1" t="s">
        <v>111</v>
      </c>
      <c r="AB480" s="1" t="s">
        <v>111</v>
      </c>
      <c r="AC480" s="1" t="s">
        <v>111</v>
      </c>
      <c r="AD480" s="1" t="s">
        <v>111</v>
      </c>
      <c r="AE480" s="1" t="s">
        <v>111</v>
      </c>
      <c r="AF480" s="1" t="s">
        <v>111</v>
      </c>
      <c r="AG480" s="1" t="s">
        <v>111</v>
      </c>
      <c r="AH480" s="1" t="s">
        <v>111</v>
      </c>
      <c r="AI480" s="1">
        <v>89.566999999999993</v>
      </c>
      <c r="AJ480" s="1" t="s">
        <v>111</v>
      </c>
      <c r="AK480" s="1"/>
      <c r="AL480" s="1" t="s">
        <v>111</v>
      </c>
      <c r="AM480" s="1"/>
      <c r="AN480" s="1" t="s">
        <v>111</v>
      </c>
      <c r="AO480" s="1"/>
      <c r="AP480" s="1" t="s">
        <v>111</v>
      </c>
      <c r="AQ480" s="1" t="s">
        <v>111</v>
      </c>
    </row>
    <row r="481" spans="1:43" x14ac:dyDescent="0.25">
      <c r="A481" s="1">
        <v>129</v>
      </c>
      <c r="B481" s="1" t="s">
        <v>221</v>
      </c>
      <c r="C481" s="1" t="s">
        <v>103</v>
      </c>
      <c r="D481" s="1" t="s">
        <v>420</v>
      </c>
      <c r="E481" s="1" t="s">
        <v>191</v>
      </c>
      <c r="F481" s="1" t="s">
        <v>106</v>
      </c>
      <c r="G481" s="1" t="s">
        <v>107</v>
      </c>
      <c r="H481" s="1" t="s">
        <v>108</v>
      </c>
      <c r="I481" s="1">
        <v>24.419</v>
      </c>
      <c r="J481" s="1">
        <v>24.367999999999999</v>
      </c>
      <c r="K481" s="1">
        <v>7.4999999999999997E-2</v>
      </c>
      <c r="L481" s="1"/>
      <c r="M481" s="1"/>
      <c r="N481" s="1"/>
      <c r="O481" s="1"/>
      <c r="P481" s="1"/>
      <c r="Q481" s="1"/>
      <c r="R481" s="1"/>
      <c r="S481" s="1" t="s">
        <v>109</v>
      </c>
      <c r="T481" s="1">
        <v>0.51400000000000001</v>
      </c>
      <c r="U481" s="1" t="s">
        <v>109</v>
      </c>
      <c r="V481" s="1">
        <v>3</v>
      </c>
      <c r="W481" s="1">
        <v>18</v>
      </c>
      <c r="X481" s="1" t="s">
        <v>110</v>
      </c>
      <c r="Y481" s="1"/>
      <c r="Z481" s="1">
        <v>0.98399999999999999</v>
      </c>
      <c r="AA481" s="1" t="s">
        <v>111</v>
      </c>
      <c r="AB481" s="1" t="s">
        <v>111</v>
      </c>
      <c r="AC481" s="1" t="s">
        <v>111</v>
      </c>
      <c r="AD481" s="1" t="s">
        <v>111</v>
      </c>
      <c r="AE481" s="1" t="s">
        <v>111</v>
      </c>
      <c r="AF481" s="1" t="s">
        <v>111</v>
      </c>
      <c r="AG481" s="1" t="s">
        <v>111</v>
      </c>
      <c r="AH481" s="1" t="s">
        <v>111</v>
      </c>
      <c r="AI481" s="1">
        <v>89.468999999999994</v>
      </c>
      <c r="AJ481" s="1" t="s">
        <v>111</v>
      </c>
      <c r="AK481" s="1"/>
      <c r="AL481" s="1" t="s">
        <v>111</v>
      </c>
      <c r="AM481" s="1"/>
      <c r="AN481" s="1" t="s">
        <v>111</v>
      </c>
      <c r="AO481" s="1"/>
      <c r="AP481" s="1" t="s">
        <v>111</v>
      </c>
      <c r="AQ481" s="1" t="s">
        <v>111</v>
      </c>
    </row>
    <row r="482" spans="1:43" x14ac:dyDescent="0.25">
      <c r="A482" s="1">
        <v>130</v>
      </c>
      <c r="B482" s="1" t="s">
        <v>222</v>
      </c>
      <c r="C482" s="1" t="s">
        <v>103</v>
      </c>
      <c r="D482" s="1" t="s">
        <v>420</v>
      </c>
      <c r="E482" s="1" t="s">
        <v>191</v>
      </c>
      <c r="F482" s="1" t="s">
        <v>106</v>
      </c>
      <c r="G482" s="1" t="s">
        <v>107</v>
      </c>
      <c r="H482" s="1" t="s">
        <v>108</v>
      </c>
      <c r="I482" s="1">
        <v>24.367000000000001</v>
      </c>
      <c r="J482" s="1">
        <v>24.367999999999999</v>
      </c>
      <c r="K482" s="1">
        <v>7.4999999999999997E-2</v>
      </c>
      <c r="L482" s="1"/>
      <c r="M482" s="1"/>
      <c r="N482" s="1"/>
      <c r="O482" s="1"/>
      <c r="P482" s="1"/>
      <c r="Q482" s="1"/>
      <c r="R482" s="1"/>
      <c r="S482" s="1" t="s">
        <v>109</v>
      </c>
      <c r="T482" s="1">
        <v>0.51400000000000001</v>
      </c>
      <c r="U482" s="1" t="s">
        <v>109</v>
      </c>
      <c r="V482" s="1">
        <v>3</v>
      </c>
      <c r="W482" s="1">
        <v>18</v>
      </c>
      <c r="X482" s="1" t="s">
        <v>110</v>
      </c>
      <c r="Y482" s="1"/>
      <c r="Z482" s="1">
        <v>0.98399999999999999</v>
      </c>
      <c r="AA482" s="1" t="s">
        <v>111</v>
      </c>
      <c r="AB482" s="1" t="s">
        <v>111</v>
      </c>
      <c r="AC482" s="1" t="s">
        <v>111</v>
      </c>
      <c r="AD482" s="1" t="s">
        <v>111</v>
      </c>
      <c r="AE482" s="1" t="s">
        <v>111</v>
      </c>
      <c r="AF482" s="1" t="s">
        <v>111</v>
      </c>
      <c r="AG482" s="1" t="s">
        <v>111</v>
      </c>
      <c r="AH482" s="1" t="s">
        <v>111</v>
      </c>
      <c r="AI482" s="1">
        <v>89.468999999999994</v>
      </c>
      <c r="AJ482" s="1" t="s">
        <v>111</v>
      </c>
      <c r="AK482" s="1"/>
      <c r="AL482" s="1" t="s">
        <v>111</v>
      </c>
      <c r="AM482" s="1"/>
      <c r="AN482" s="1" t="s">
        <v>111</v>
      </c>
      <c r="AO482" s="1"/>
      <c r="AP482" s="1" t="s">
        <v>111</v>
      </c>
      <c r="AQ482" s="1" t="s">
        <v>111</v>
      </c>
    </row>
    <row r="483" spans="1:43" x14ac:dyDescent="0.25">
      <c r="A483" s="1">
        <v>131</v>
      </c>
      <c r="B483" s="1" t="s">
        <v>223</v>
      </c>
      <c r="C483" s="1" t="s">
        <v>103</v>
      </c>
      <c r="D483" s="1" t="s">
        <v>421</v>
      </c>
      <c r="E483" s="1" t="s">
        <v>191</v>
      </c>
      <c r="F483" s="1" t="s">
        <v>106</v>
      </c>
      <c r="G483" s="1" t="s">
        <v>107</v>
      </c>
      <c r="H483" s="1" t="s">
        <v>108</v>
      </c>
      <c r="I483" s="1">
        <v>22.962</v>
      </c>
      <c r="J483" s="1">
        <v>22.84</v>
      </c>
      <c r="K483" s="1">
        <v>9.2999999999999999E-2</v>
      </c>
      <c r="L483" s="1"/>
      <c r="M483" s="1"/>
      <c r="N483" s="1"/>
      <c r="O483" s="1"/>
      <c r="P483" s="1"/>
      <c r="Q483" s="1"/>
      <c r="R483" s="1"/>
      <c r="S483" s="1" t="s">
        <v>109</v>
      </c>
      <c r="T483" s="1">
        <v>0.51400000000000001</v>
      </c>
      <c r="U483" s="1" t="s">
        <v>109</v>
      </c>
      <c r="V483" s="1">
        <v>3</v>
      </c>
      <c r="W483" s="1">
        <v>16</v>
      </c>
      <c r="X483" s="1" t="s">
        <v>110</v>
      </c>
      <c r="Y483" s="1"/>
      <c r="Z483" s="1">
        <v>0.98499999999999999</v>
      </c>
      <c r="AA483" s="1" t="s">
        <v>111</v>
      </c>
      <c r="AB483" s="1" t="s">
        <v>111</v>
      </c>
      <c r="AC483" s="1" t="s">
        <v>111</v>
      </c>
      <c r="AD483" s="1" t="s">
        <v>111</v>
      </c>
      <c r="AE483" s="1" t="s">
        <v>111</v>
      </c>
      <c r="AF483" s="1" t="s">
        <v>111</v>
      </c>
      <c r="AG483" s="1" t="s">
        <v>111</v>
      </c>
      <c r="AH483" s="1" t="s">
        <v>111</v>
      </c>
      <c r="AI483" s="1">
        <v>89.581000000000003</v>
      </c>
      <c r="AJ483" s="1" t="s">
        <v>111</v>
      </c>
      <c r="AK483" s="1"/>
      <c r="AL483" s="1" t="s">
        <v>111</v>
      </c>
      <c r="AM483" s="1"/>
      <c r="AN483" s="1" t="s">
        <v>111</v>
      </c>
      <c r="AO483" s="1"/>
      <c r="AP483" s="1" t="s">
        <v>111</v>
      </c>
      <c r="AQ483" s="1" t="s">
        <v>111</v>
      </c>
    </row>
    <row r="484" spans="1:43" x14ac:dyDescent="0.25">
      <c r="A484" s="1">
        <v>132</v>
      </c>
      <c r="B484" s="1" t="s">
        <v>224</v>
      </c>
      <c r="C484" s="1" t="s">
        <v>103</v>
      </c>
      <c r="D484" s="1" t="s">
        <v>421</v>
      </c>
      <c r="E484" s="1" t="s">
        <v>191</v>
      </c>
      <c r="F484" s="1" t="s">
        <v>106</v>
      </c>
      <c r="G484" s="1" t="s">
        <v>107</v>
      </c>
      <c r="H484" s="1" t="s">
        <v>108</v>
      </c>
      <c r="I484" s="1">
        <v>22.736000000000001</v>
      </c>
      <c r="J484" s="1">
        <v>22.84</v>
      </c>
      <c r="K484" s="1">
        <v>9.2999999999999999E-2</v>
      </c>
      <c r="L484" s="1"/>
      <c r="M484" s="1"/>
      <c r="N484" s="1"/>
      <c r="O484" s="1"/>
      <c r="P484" s="1"/>
      <c r="Q484" s="1"/>
      <c r="R484" s="1"/>
      <c r="S484" s="1" t="s">
        <v>109</v>
      </c>
      <c r="T484" s="1">
        <v>0.51400000000000001</v>
      </c>
      <c r="U484" s="1" t="s">
        <v>109</v>
      </c>
      <c r="V484" s="1">
        <v>3</v>
      </c>
      <c r="W484" s="1">
        <v>16</v>
      </c>
      <c r="X484" s="1" t="s">
        <v>110</v>
      </c>
      <c r="Y484" s="1"/>
      <c r="Z484" s="1">
        <v>0.98599999999999999</v>
      </c>
      <c r="AA484" s="1" t="s">
        <v>111</v>
      </c>
      <c r="AB484" s="1" t="s">
        <v>111</v>
      </c>
      <c r="AC484" s="1" t="s">
        <v>111</v>
      </c>
      <c r="AD484" s="1" t="s">
        <v>111</v>
      </c>
      <c r="AE484" s="1" t="s">
        <v>111</v>
      </c>
      <c r="AF484" s="1" t="s">
        <v>111</v>
      </c>
      <c r="AG484" s="1" t="s">
        <v>111</v>
      </c>
      <c r="AH484" s="1" t="s">
        <v>111</v>
      </c>
      <c r="AI484" s="1">
        <v>89.581000000000003</v>
      </c>
      <c r="AJ484" s="1" t="s">
        <v>111</v>
      </c>
      <c r="AK484" s="1"/>
      <c r="AL484" s="1" t="s">
        <v>111</v>
      </c>
      <c r="AM484" s="1"/>
      <c r="AN484" s="1" t="s">
        <v>111</v>
      </c>
      <c r="AO484" s="1"/>
      <c r="AP484" s="1" t="s">
        <v>111</v>
      </c>
      <c r="AQ484" s="1" t="s">
        <v>111</v>
      </c>
    </row>
    <row r="485" spans="1:43" x14ac:dyDescent="0.25">
      <c r="A485" s="1">
        <v>137</v>
      </c>
      <c r="B485" s="1" t="s">
        <v>225</v>
      </c>
      <c r="C485" s="1" t="s">
        <v>103</v>
      </c>
      <c r="D485" s="1" t="s">
        <v>416</v>
      </c>
      <c r="E485" s="1" t="s">
        <v>204</v>
      </c>
      <c r="F485" s="1" t="s">
        <v>106</v>
      </c>
      <c r="G485" s="1" t="s">
        <v>107</v>
      </c>
      <c r="H485" s="1" t="s">
        <v>108</v>
      </c>
      <c r="I485" s="1">
        <v>31.094999999999999</v>
      </c>
      <c r="J485" s="1">
        <v>30.382999999999999</v>
      </c>
      <c r="K485" s="1">
        <v>0.55800000000000005</v>
      </c>
      <c r="L485" s="1"/>
      <c r="M485" s="1"/>
      <c r="N485" s="1"/>
      <c r="O485" s="1"/>
      <c r="P485" s="1"/>
      <c r="Q485" s="1"/>
      <c r="R485" s="1"/>
      <c r="S485" s="1" t="s">
        <v>109</v>
      </c>
      <c r="T485" s="1">
        <v>0.29399999999999998</v>
      </c>
      <c r="U485" s="1" t="s">
        <v>109</v>
      </c>
      <c r="V485" s="1">
        <v>3</v>
      </c>
      <c r="W485" s="1">
        <v>25</v>
      </c>
      <c r="X485" s="1" t="s">
        <v>110</v>
      </c>
      <c r="Y485" s="1"/>
      <c r="Z485" s="1">
        <v>0.98199999999999998</v>
      </c>
      <c r="AA485" s="1" t="s">
        <v>111</v>
      </c>
      <c r="AB485" s="1" t="s">
        <v>111</v>
      </c>
      <c r="AC485" s="1" t="s">
        <v>111</v>
      </c>
      <c r="AD485" s="1" t="s">
        <v>111</v>
      </c>
      <c r="AE485" s="1" t="s">
        <v>111</v>
      </c>
      <c r="AF485" s="1" t="s">
        <v>111</v>
      </c>
      <c r="AG485" s="1" t="s">
        <v>205</v>
      </c>
      <c r="AH485" s="1" t="s">
        <v>111</v>
      </c>
      <c r="AI485" s="1">
        <v>80.427999999999997</v>
      </c>
      <c r="AJ485" s="1" t="s">
        <v>111</v>
      </c>
      <c r="AK485" s="1"/>
      <c r="AL485" s="1" t="s">
        <v>111</v>
      </c>
      <c r="AM485" s="1"/>
      <c r="AN485" s="1" t="s">
        <v>111</v>
      </c>
      <c r="AO485" s="1"/>
      <c r="AP485" s="1" t="s">
        <v>111</v>
      </c>
      <c r="AQ485" s="1" t="s">
        <v>111</v>
      </c>
    </row>
    <row r="486" spans="1:43" x14ac:dyDescent="0.25">
      <c r="A486" s="1">
        <v>138</v>
      </c>
      <c r="B486" s="1" t="s">
        <v>226</v>
      </c>
      <c r="C486" s="1" t="s">
        <v>103</v>
      </c>
      <c r="D486" s="1" t="s">
        <v>416</v>
      </c>
      <c r="E486" s="1" t="s">
        <v>204</v>
      </c>
      <c r="F486" s="1" t="s">
        <v>106</v>
      </c>
      <c r="G486" s="1" t="s">
        <v>107</v>
      </c>
      <c r="H486" s="1" t="s">
        <v>108</v>
      </c>
      <c r="I486" s="1">
        <v>29.959</v>
      </c>
      <c r="J486" s="1">
        <v>30.382999999999999</v>
      </c>
      <c r="K486" s="1">
        <v>0.55800000000000005</v>
      </c>
      <c r="L486" s="1"/>
      <c r="M486" s="1"/>
      <c r="N486" s="1"/>
      <c r="O486" s="1"/>
      <c r="P486" s="1"/>
      <c r="Q486" s="1"/>
      <c r="R486" s="1"/>
      <c r="S486" s="1" t="s">
        <v>109</v>
      </c>
      <c r="T486" s="1">
        <v>0.29399999999999998</v>
      </c>
      <c r="U486" s="1" t="s">
        <v>109</v>
      </c>
      <c r="V486" s="1">
        <v>3</v>
      </c>
      <c r="W486" s="1">
        <v>24</v>
      </c>
      <c r="X486" s="1" t="s">
        <v>110</v>
      </c>
      <c r="Y486" s="1"/>
      <c r="Z486" s="1">
        <v>0.98299999999999998</v>
      </c>
      <c r="AA486" s="1" t="s">
        <v>111</v>
      </c>
      <c r="AB486" s="1" t="s">
        <v>111</v>
      </c>
      <c r="AC486" s="1" t="s">
        <v>111</v>
      </c>
      <c r="AD486" s="1" t="s">
        <v>111</v>
      </c>
      <c r="AE486" s="1" t="s">
        <v>111</v>
      </c>
      <c r="AF486" s="1" t="s">
        <v>111</v>
      </c>
      <c r="AG486" s="1" t="s">
        <v>205</v>
      </c>
      <c r="AH486" s="1" t="s">
        <v>111</v>
      </c>
      <c r="AI486" s="1">
        <v>80.427999999999997</v>
      </c>
      <c r="AJ486" s="1" t="s">
        <v>111</v>
      </c>
      <c r="AK486" s="1"/>
      <c r="AL486" s="1" t="s">
        <v>111</v>
      </c>
      <c r="AM486" s="1"/>
      <c r="AN486" s="1" t="s">
        <v>111</v>
      </c>
      <c r="AO486" s="1"/>
      <c r="AP486" s="1" t="s">
        <v>111</v>
      </c>
      <c r="AQ486" s="1" t="s">
        <v>111</v>
      </c>
    </row>
    <row r="487" spans="1:43" x14ac:dyDescent="0.25">
      <c r="A487" s="1">
        <v>139</v>
      </c>
      <c r="B487" s="1" t="s">
        <v>227</v>
      </c>
      <c r="C487" s="1" t="s">
        <v>103</v>
      </c>
      <c r="D487" s="1" t="s">
        <v>417</v>
      </c>
      <c r="E487" s="1" t="s">
        <v>204</v>
      </c>
      <c r="F487" s="1" t="s">
        <v>106</v>
      </c>
      <c r="G487" s="1" t="s">
        <v>107</v>
      </c>
      <c r="H487" s="1" t="s">
        <v>108</v>
      </c>
      <c r="I487" s="1">
        <v>29.690999999999999</v>
      </c>
      <c r="J487" s="1">
        <v>30.053999999999998</v>
      </c>
      <c r="K487" s="1">
        <v>0.30399999999999999</v>
      </c>
      <c r="L487" s="1"/>
      <c r="M487" s="1"/>
      <c r="N487" s="1"/>
      <c r="O487" s="1"/>
      <c r="P487" s="1"/>
      <c r="Q487" s="1"/>
      <c r="R487" s="1"/>
      <c r="S487" s="1" t="s">
        <v>109</v>
      </c>
      <c r="T487" s="1">
        <v>0.29399999999999998</v>
      </c>
      <c r="U487" s="1" t="s">
        <v>109</v>
      </c>
      <c r="V487" s="1">
        <v>3</v>
      </c>
      <c r="W487" s="1">
        <v>24</v>
      </c>
      <c r="X487" s="1" t="s">
        <v>110</v>
      </c>
      <c r="Y487" s="1"/>
      <c r="Z487" s="1">
        <v>0.98299999999999998</v>
      </c>
      <c r="AA487" s="1" t="s">
        <v>111</v>
      </c>
      <c r="AB487" s="1" t="s">
        <v>111</v>
      </c>
      <c r="AC487" s="1" t="s">
        <v>111</v>
      </c>
      <c r="AD487" s="1" t="s">
        <v>111</v>
      </c>
      <c r="AE487" s="1" t="s">
        <v>111</v>
      </c>
      <c r="AF487" s="1" t="s">
        <v>111</v>
      </c>
      <c r="AG487" s="1" t="s">
        <v>111</v>
      </c>
      <c r="AH487" s="1" t="s">
        <v>111</v>
      </c>
      <c r="AI487" s="1">
        <v>80.427999999999997</v>
      </c>
      <c r="AJ487" s="1" t="s">
        <v>111</v>
      </c>
      <c r="AK487" s="1"/>
      <c r="AL487" s="1" t="s">
        <v>111</v>
      </c>
      <c r="AM487" s="1"/>
      <c r="AN487" s="1" t="s">
        <v>111</v>
      </c>
      <c r="AO487" s="1"/>
      <c r="AP487" s="1" t="s">
        <v>111</v>
      </c>
      <c r="AQ487" s="1" t="s">
        <v>111</v>
      </c>
    </row>
    <row r="488" spans="1:43" x14ac:dyDescent="0.25">
      <c r="A488" s="1">
        <v>140</v>
      </c>
      <c r="B488" s="1" t="s">
        <v>228</v>
      </c>
      <c r="C488" s="1" t="s">
        <v>103</v>
      </c>
      <c r="D488" s="1" t="s">
        <v>417</v>
      </c>
      <c r="E488" s="1" t="s">
        <v>204</v>
      </c>
      <c r="F488" s="1" t="s">
        <v>106</v>
      </c>
      <c r="G488" s="1" t="s">
        <v>107</v>
      </c>
      <c r="H488" s="1" t="s">
        <v>108</v>
      </c>
      <c r="I488" s="1">
        <v>30.262</v>
      </c>
      <c r="J488" s="1">
        <v>30.053999999999998</v>
      </c>
      <c r="K488" s="1">
        <v>0.30399999999999999</v>
      </c>
      <c r="L488" s="1"/>
      <c r="M488" s="1"/>
      <c r="N488" s="1"/>
      <c r="O488" s="1"/>
      <c r="P488" s="1"/>
      <c r="Q488" s="1"/>
      <c r="R488" s="1"/>
      <c r="S488" s="1" t="s">
        <v>109</v>
      </c>
      <c r="T488" s="1">
        <v>0.29399999999999998</v>
      </c>
      <c r="U488" s="1" t="s">
        <v>109</v>
      </c>
      <c r="V488" s="1">
        <v>3</v>
      </c>
      <c r="W488" s="1">
        <v>24</v>
      </c>
      <c r="X488" s="1" t="s">
        <v>110</v>
      </c>
      <c r="Y488" s="1"/>
      <c r="Z488" s="1">
        <v>0.98199999999999998</v>
      </c>
      <c r="AA488" s="1" t="s">
        <v>111</v>
      </c>
      <c r="AB488" s="1" t="s">
        <v>111</v>
      </c>
      <c r="AC488" s="1" t="s">
        <v>111</v>
      </c>
      <c r="AD488" s="1" t="s">
        <v>111</v>
      </c>
      <c r="AE488" s="1" t="s">
        <v>111</v>
      </c>
      <c r="AF488" s="1" t="s">
        <v>111</v>
      </c>
      <c r="AG488" s="1" t="s">
        <v>111</v>
      </c>
      <c r="AH488" s="1" t="s">
        <v>111</v>
      </c>
      <c r="AI488" s="1">
        <v>80.427999999999997</v>
      </c>
      <c r="AJ488" s="1" t="s">
        <v>111</v>
      </c>
      <c r="AK488" s="1"/>
      <c r="AL488" s="1" t="s">
        <v>111</v>
      </c>
      <c r="AM488" s="1"/>
      <c r="AN488" s="1" t="s">
        <v>111</v>
      </c>
      <c r="AO488" s="1"/>
      <c r="AP488" s="1" t="s">
        <v>111</v>
      </c>
      <c r="AQ488" s="1" t="s">
        <v>111</v>
      </c>
    </row>
    <row r="489" spans="1:43" x14ac:dyDescent="0.25">
      <c r="A489" s="1">
        <v>141</v>
      </c>
      <c r="B489" s="1" t="s">
        <v>229</v>
      </c>
      <c r="C489" s="1" t="s">
        <v>103</v>
      </c>
      <c r="D489" s="1" t="s">
        <v>418</v>
      </c>
      <c r="E489" s="1" t="s">
        <v>204</v>
      </c>
      <c r="F489" s="1" t="s">
        <v>106</v>
      </c>
      <c r="G489" s="1" t="s">
        <v>107</v>
      </c>
      <c r="H489" s="1" t="s">
        <v>108</v>
      </c>
      <c r="I489" s="1">
        <v>27.925999999999998</v>
      </c>
      <c r="J489" s="1">
        <v>28.015999999999998</v>
      </c>
      <c r="K489" s="1">
        <v>8.8999999999999996E-2</v>
      </c>
      <c r="L489" s="1"/>
      <c r="M489" s="1"/>
      <c r="N489" s="1"/>
      <c r="O489" s="1"/>
      <c r="P489" s="1"/>
      <c r="Q489" s="1"/>
      <c r="R489" s="1"/>
      <c r="S489" s="1" t="s">
        <v>109</v>
      </c>
      <c r="T489" s="1">
        <v>0.29399999999999998</v>
      </c>
      <c r="U489" s="1" t="s">
        <v>109</v>
      </c>
      <c r="V489" s="1">
        <v>3</v>
      </c>
      <c r="W489" s="1">
        <v>23</v>
      </c>
      <c r="X489" s="1" t="s">
        <v>110</v>
      </c>
      <c r="Y489" s="1"/>
      <c r="Z489" s="1">
        <v>0.98499999999999999</v>
      </c>
      <c r="AA489" s="1" t="s">
        <v>111</v>
      </c>
      <c r="AB489" s="1" t="s">
        <v>111</v>
      </c>
      <c r="AC489" s="1" t="s">
        <v>111</v>
      </c>
      <c r="AD489" s="1" t="s">
        <v>111</v>
      </c>
      <c r="AE489" s="1" t="s">
        <v>111</v>
      </c>
      <c r="AF489" s="1" t="s">
        <v>111</v>
      </c>
      <c r="AG489" s="1" t="s">
        <v>111</v>
      </c>
      <c r="AH489" s="1" t="s">
        <v>111</v>
      </c>
      <c r="AI489" s="1">
        <v>80.435000000000002</v>
      </c>
      <c r="AJ489" s="1" t="s">
        <v>111</v>
      </c>
      <c r="AK489" s="1"/>
      <c r="AL489" s="1" t="s">
        <v>111</v>
      </c>
      <c r="AM489" s="1"/>
      <c r="AN489" s="1" t="s">
        <v>111</v>
      </c>
      <c r="AO489" s="1"/>
      <c r="AP489" s="1" t="s">
        <v>111</v>
      </c>
      <c r="AQ489" s="1" t="s">
        <v>111</v>
      </c>
    </row>
    <row r="490" spans="1:43" x14ac:dyDescent="0.25">
      <c r="A490" s="1">
        <v>142</v>
      </c>
      <c r="B490" s="1" t="s">
        <v>230</v>
      </c>
      <c r="C490" s="1" t="s">
        <v>103</v>
      </c>
      <c r="D490" s="1" t="s">
        <v>418</v>
      </c>
      <c r="E490" s="1" t="s">
        <v>204</v>
      </c>
      <c r="F490" s="1" t="s">
        <v>106</v>
      </c>
      <c r="G490" s="1" t="s">
        <v>107</v>
      </c>
      <c r="H490" s="1" t="s">
        <v>108</v>
      </c>
      <c r="I490" s="1">
        <v>27.952999999999999</v>
      </c>
      <c r="J490" s="1">
        <v>28.015999999999998</v>
      </c>
      <c r="K490" s="1">
        <v>8.8999999999999996E-2</v>
      </c>
      <c r="L490" s="1"/>
      <c r="M490" s="1"/>
      <c r="N490" s="1"/>
      <c r="O490" s="1"/>
      <c r="P490" s="1"/>
      <c r="Q490" s="1"/>
      <c r="R490" s="1"/>
      <c r="S490" s="1" t="s">
        <v>109</v>
      </c>
      <c r="T490" s="1">
        <v>0.29399999999999998</v>
      </c>
      <c r="U490" s="1" t="s">
        <v>109</v>
      </c>
      <c r="V490" s="1">
        <v>3</v>
      </c>
      <c r="W490" s="1">
        <v>21</v>
      </c>
      <c r="X490" s="1" t="s">
        <v>110</v>
      </c>
      <c r="Y490" s="1"/>
      <c r="Z490" s="1">
        <v>0.98499999999999999</v>
      </c>
      <c r="AA490" s="1" t="s">
        <v>111</v>
      </c>
      <c r="AB490" s="1" t="s">
        <v>111</v>
      </c>
      <c r="AC490" s="1" t="s">
        <v>111</v>
      </c>
      <c r="AD490" s="1" t="s">
        <v>111</v>
      </c>
      <c r="AE490" s="1" t="s">
        <v>111</v>
      </c>
      <c r="AF490" s="1" t="s">
        <v>111</v>
      </c>
      <c r="AG490" s="1" t="s">
        <v>111</v>
      </c>
      <c r="AH490" s="1" t="s">
        <v>111</v>
      </c>
      <c r="AI490" s="1">
        <v>80.435000000000002</v>
      </c>
      <c r="AJ490" s="1" t="s">
        <v>111</v>
      </c>
      <c r="AK490" s="1"/>
      <c r="AL490" s="1" t="s">
        <v>111</v>
      </c>
      <c r="AM490" s="1"/>
      <c r="AN490" s="1" t="s">
        <v>111</v>
      </c>
      <c r="AO490" s="1"/>
      <c r="AP490" s="1" t="s">
        <v>111</v>
      </c>
      <c r="AQ490" s="1" t="s">
        <v>111</v>
      </c>
    </row>
    <row r="491" spans="1:43" x14ac:dyDescent="0.25">
      <c r="A491" s="1">
        <v>143</v>
      </c>
      <c r="B491" s="1" t="s">
        <v>231</v>
      </c>
      <c r="C491" s="1" t="s">
        <v>103</v>
      </c>
      <c r="D491" s="1" t="s">
        <v>419</v>
      </c>
      <c r="E491" s="1" t="s">
        <v>204</v>
      </c>
      <c r="F491" s="1" t="s">
        <v>106</v>
      </c>
      <c r="G491" s="1" t="s">
        <v>107</v>
      </c>
      <c r="H491" s="1" t="s">
        <v>108</v>
      </c>
      <c r="I491" s="1">
        <v>27.93</v>
      </c>
      <c r="J491" s="1">
        <v>27.946999999999999</v>
      </c>
      <c r="K491" s="1">
        <v>8.8999999999999996E-2</v>
      </c>
      <c r="L491" s="1"/>
      <c r="M491" s="1"/>
      <c r="N491" s="1"/>
      <c r="O491" s="1"/>
      <c r="P491" s="1"/>
      <c r="Q491" s="1"/>
      <c r="R491" s="1"/>
      <c r="S491" s="1" t="s">
        <v>109</v>
      </c>
      <c r="T491" s="1">
        <v>0.29399999999999998</v>
      </c>
      <c r="U491" s="1" t="s">
        <v>109</v>
      </c>
      <c r="V491" s="1">
        <v>3</v>
      </c>
      <c r="W491" s="1">
        <v>22</v>
      </c>
      <c r="X491" s="1" t="s">
        <v>110</v>
      </c>
      <c r="Y491" s="1"/>
      <c r="Z491" s="1">
        <v>0.98699999999999999</v>
      </c>
      <c r="AA491" s="1" t="s">
        <v>111</v>
      </c>
      <c r="AB491" s="1" t="s">
        <v>111</v>
      </c>
      <c r="AC491" s="1" t="s">
        <v>111</v>
      </c>
      <c r="AD491" s="1" t="s">
        <v>111</v>
      </c>
      <c r="AE491" s="1" t="s">
        <v>111</v>
      </c>
      <c r="AF491" s="1" t="s">
        <v>111</v>
      </c>
      <c r="AG491" s="1" t="s">
        <v>111</v>
      </c>
      <c r="AH491" s="1" t="s">
        <v>111</v>
      </c>
      <c r="AI491" s="1">
        <v>80.435000000000002</v>
      </c>
      <c r="AJ491" s="1" t="s">
        <v>111</v>
      </c>
      <c r="AK491" s="1"/>
      <c r="AL491" s="1" t="s">
        <v>111</v>
      </c>
      <c r="AM491" s="1"/>
      <c r="AN491" s="1" t="s">
        <v>111</v>
      </c>
      <c r="AO491" s="1"/>
      <c r="AP491" s="1" t="s">
        <v>111</v>
      </c>
      <c r="AQ491" s="1" t="s">
        <v>111</v>
      </c>
    </row>
    <row r="492" spans="1:43" x14ac:dyDescent="0.25">
      <c r="A492" s="1">
        <v>144</v>
      </c>
      <c r="B492" s="1" t="s">
        <v>232</v>
      </c>
      <c r="C492" s="1" t="s">
        <v>103</v>
      </c>
      <c r="D492" s="1" t="s">
        <v>419</v>
      </c>
      <c r="E492" s="1" t="s">
        <v>204</v>
      </c>
      <c r="F492" s="1" t="s">
        <v>106</v>
      </c>
      <c r="G492" s="1" t="s">
        <v>107</v>
      </c>
      <c r="H492" s="1" t="s">
        <v>108</v>
      </c>
      <c r="I492" s="1">
        <v>28.076000000000001</v>
      </c>
      <c r="J492" s="1">
        <v>27.946999999999999</v>
      </c>
      <c r="K492" s="1">
        <v>8.8999999999999996E-2</v>
      </c>
      <c r="L492" s="1"/>
      <c r="M492" s="1"/>
      <c r="N492" s="1"/>
      <c r="O492" s="1"/>
      <c r="P492" s="1"/>
      <c r="Q492" s="1"/>
      <c r="R492" s="1"/>
      <c r="S492" s="1" t="s">
        <v>109</v>
      </c>
      <c r="T492" s="1">
        <v>0.29399999999999998</v>
      </c>
      <c r="U492" s="1" t="s">
        <v>109</v>
      </c>
      <c r="V492" s="1">
        <v>3</v>
      </c>
      <c r="W492" s="1">
        <v>21</v>
      </c>
      <c r="X492" s="1" t="s">
        <v>110</v>
      </c>
      <c r="Y492" s="1"/>
      <c r="Z492" s="1">
        <v>0.98699999999999999</v>
      </c>
      <c r="AA492" s="1" t="s">
        <v>111</v>
      </c>
      <c r="AB492" s="1" t="s">
        <v>111</v>
      </c>
      <c r="AC492" s="1" t="s">
        <v>111</v>
      </c>
      <c r="AD492" s="1" t="s">
        <v>111</v>
      </c>
      <c r="AE492" s="1" t="s">
        <v>111</v>
      </c>
      <c r="AF492" s="1" t="s">
        <v>111</v>
      </c>
      <c r="AG492" s="1" t="s">
        <v>111</v>
      </c>
      <c r="AH492" s="1" t="s">
        <v>111</v>
      </c>
      <c r="AI492" s="1">
        <v>80.435000000000002</v>
      </c>
      <c r="AJ492" s="1" t="s">
        <v>111</v>
      </c>
      <c r="AK492" s="1"/>
      <c r="AL492" s="1" t="s">
        <v>111</v>
      </c>
      <c r="AM492" s="1"/>
      <c r="AN492" s="1" t="s">
        <v>111</v>
      </c>
      <c r="AO492" s="1"/>
      <c r="AP492" s="1" t="s">
        <v>111</v>
      </c>
      <c r="AQ492" s="1" t="s">
        <v>111</v>
      </c>
    </row>
    <row r="493" spans="1:43" x14ac:dyDescent="0.25">
      <c r="A493" s="1">
        <v>145</v>
      </c>
      <c r="B493" s="1" t="s">
        <v>233</v>
      </c>
      <c r="C493" s="1" t="s">
        <v>103</v>
      </c>
      <c r="D493" s="1" t="s">
        <v>416</v>
      </c>
      <c r="E493" s="1" t="s">
        <v>234</v>
      </c>
      <c r="F493" s="1" t="s">
        <v>106</v>
      </c>
      <c r="G493" s="1" t="s">
        <v>107</v>
      </c>
      <c r="H493" s="1" t="s">
        <v>108</v>
      </c>
      <c r="I493" s="1" t="s">
        <v>235</v>
      </c>
      <c r="J493" s="1"/>
      <c r="K493" s="1"/>
      <c r="L493" s="1"/>
      <c r="M493" s="1"/>
      <c r="N493" s="1"/>
      <c r="O493" s="1"/>
      <c r="P493" s="1"/>
      <c r="Q493" s="1"/>
      <c r="R493" s="1"/>
      <c r="S493" s="1" t="s">
        <v>109</v>
      </c>
      <c r="T493" s="1">
        <v>0.36299999999999999</v>
      </c>
      <c r="U493" s="1" t="s">
        <v>109</v>
      </c>
      <c r="V493" s="1">
        <v>3</v>
      </c>
      <c r="W493" s="1">
        <v>39</v>
      </c>
      <c r="X493" s="1" t="s">
        <v>236</v>
      </c>
      <c r="Y493" s="1"/>
      <c r="Z493" s="1">
        <v>0</v>
      </c>
      <c r="AA493" s="1" t="s">
        <v>205</v>
      </c>
      <c r="AB493" s="1" t="s">
        <v>205</v>
      </c>
      <c r="AC493" s="1" t="s">
        <v>111</v>
      </c>
      <c r="AD493" s="1" t="s">
        <v>111</v>
      </c>
      <c r="AE493" s="1" t="s">
        <v>111</v>
      </c>
      <c r="AF493" s="1" t="s">
        <v>111</v>
      </c>
      <c r="AG493" s="1" t="s">
        <v>111</v>
      </c>
      <c r="AH493" s="1" t="s">
        <v>111</v>
      </c>
      <c r="AI493" s="1">
        <v>60</v>
      </c>
      <c r="AJ493" s="1" t="s">
        <v>111</v>
      </c>
      <c r="AK493" s="1"/>
      <c r="AL493" s="1" t="s">
        <v>111</v>
      </c>
      <c r="AM493" s="1"/>
      <c r="AN493" s="1" t="s">
        <v>111</v>
      </c>
      <c r="AO493" s="1"/>
      <c r="AP493" s="1" t="s">
        <v>205</v>
      </c>
      <c r="AQ493" s="1" t="s">
        <v>111</v>
      </c>
    </row>
    <row r="494" spans="1:43" x14ac:dyDescent="0.25">
      <c r="A494" s="1">
        <v>146</v>
      </c>
      <c r="B494" s="1" t="s">
        <v>237</v>
      </c>
      <c r="C494" s="1" t="s">
        <v>103</v>
      </c>
      <c r="D494" s="1" t="s">
        <v>416</v>
      </c>
      <c r="E494" s="1" t="s">
        <v>234</v>
      </c>
      <c r="F494" s="1" t="s">
        <v>106</v>
      </c>
      <c r="G494" s="1" t="s">
        <v>107</v>
      </c>
      <c r="H494" s="1" t="s">
        <v>108</v>
      </c>
      <c r="I494" s="1" t="s">
        <v>235</v>
      </c>
      <c r="J494" s="1"/>
      <c r="K494" s="1"/>
      <c r="L494" s="1"/>
      <c r="M494" s="1"/>
      <c r="N494" s="1"/>
      <c r="O494" s="1"/>
      <c r="P494" s="1"/>
      <c r="Q494" s="1"/>
      <c r="R494" s="1"/>
      <c r="S494" s="1" t="s">
        <v>109</v>
      </c>
      <c r="T494" s="1">
        <v>0.36299999999999999</v>
      </c>
      <c r="U494" s="1" t="s">
        <v>109</v>
      </c>
      <c r="V494" s="1">
        <v>3</v>
      </c>
      <c r="W494" s="1">
        <v>39</v>
      </c>
      <c r="X494" s="1" t="s">
        <v>236</v>
      </c>
      <c r="Y494" s="1"/>
      <c r="Z494" s="1">
        <v>0</v>
      </c>
      <c r="AA494" s="1" t="s">
        <v>205</v>
      </c>
      <c r="AB494" s="1" t="s">
        <v>205</v>
      </c>
      <c r="AC494" s="1" t="s">
        <v>111</v>
      </c>
      <c r="AD494" s="1" t="s">
        <v>111</v>
      </c>
      <c r="AE494" s="1" t="s">
        <v>111</v>
      </c>
      <c r="AF494" s="1" t="s">
        <v>111</v>
      </c>
      <c r="AG494" s="1" t="s">
        <v>111</v>
      </c>
      <c r="AH494" s="1" t="s">
        <v>111</v>
      </c>
      <c r="AI494" s="1">
        <v>60</v>
      </c>
      <c r="AJ494" s="1" t="s">
        <v>111</v>
      </c>
      <c r="AK494" s="1"/>
      <c r="AL494" s="1" t="s">
        <v>111</v>
      </c>
      <c r="AM494" s="1"/>
      <c r="AN494" s="1" t="s">
        <v>111</v>
      </c>
      <c r="AO494" s="1"/>
      <c r="AP494" s="1" t="s">
        <v>111</v>
      </c>
      <c r="AQ494" s="1" t="s">
        <v>111</v>
      </c>
    </row>
    <row r="495" spans="1:43" x14ac:dyDescent="0.25">
      <c r="A495" s="1">
        <v>147</v>
      </c>
      <c r="B495" s="1" t="s">
        <v>238</v>
      </c>
      <c r="C495" s="1" t="s">
        <v>103</v>
      </c>
      <c r="D495" s="1" t="s">
        <v>417</v>
      </c>
      <c r="E495" s="1" t="s">
        <v>234</v>
      </c>
      <c r="F495" s="1" t="s">
        <v>106</v>
      </c>
      <c r="G495" s="1" t="s">
        <v>107</v>
      </c>
      <c r="H495" s="1" t="s">
        <v>108</v>
      </c>
      <c r="I495" s="1" t="s">
        <v>235</v>
      </c>
      <c r="J495" s="1"/>
      <c r="K495" s="1"/>
      <c r="L495" s="1"/>
      <c r="M495" s="1"/>
      <c r="N495" s="1"/>
      <c r="O495" s="1"/>
      <c r="P495" s="1"/>
      <c r="Q495" s="1"/>
      <c r="R495" s="1"/>
      <c r="S495" s="1" t="s">
        <v>109</v>
      </c>
      <c r="T495" s="1">
        <v>0.36299999999999999</v>
      </c>
      <c r="U495" s="1" t="s">
        <v>109</v>
      </c>
      <c r="V495" s="1">
        <v>3</v>
      </c>
      <c r="W495" s="1">
        <v>39</v>
      </c>
      <c r="X495" s="1" t="s">
        <v>236</v>
      </c>
      <c r="Y495" s="1"/>
      <c r="Z495" s="1">
        <v>0</v>
      </c>
      <c r="AA495" s="1" t="s">
        <v>205</v>
      </c>
      <c r="AB495" s="1" t="s">
        <v>205</v>
      </c>
      <c r="AC495" s="1" t="s">
        <v>111</v>
      </c>
      <c r="AD495" s="1" t="s">
        <v>111</v>
      </c>
      <c r="AE495" s="1" t="s">
        <v>111</v>
      </c>
      <c r="AF495" s="1" t="s">
        <v>111</v>
      </c>
      <c r="AG495" s="1" t="s">
        <v>111</v>
      </c>
      <c r="AH495" s="1" t="s">
        <v>111</v>
      </c>
      <c r="AI495" s="1">
        <v>60.338999999999999</v>
      </c>
      <c r="AJ495" s="1" t="s">
        <v>111</v>
      </c>
      <c r="AK495" s="1"/>
      <c r="AL495" s="1" t="s">
        <v>111</v>
      </c>
      <c r="AM495" s="1"/>
      <c r="AN495" s="1" t="s">
        <v>111</v>
      </c>
      <c r="AO495" s="1"/>
      <c r="AP495" s="1" t="s">
        <v>205</v>
      </c>
      <c r="AQ495" s="1" t="s">
        <v>111</v>
      </c>
    </row>
    <row r="496" spans="1:43" x14ac:dyDescent="0.25">
      <c r="A496" s="1">
        <v>148</v>
      </c>
      <c r="B496" s="1" t="s">
        <v>239</v>
      </c>
      <c r="C496" s="1" t="s">
        <v>103</v>
      </c>
      <c r="D496" s="1" t="s">
        <v>417</v>
      </c>
      <c r="E496" s="1" t="s">
        <v>234</v>
      </c>
      <c r="F496" s="1" t="s">
        <v>106</v>
      </c>
      <c r="G496" s="1" t="s">
        <v>107</v>
      </c>
      <c r="H496" s="1" t="s">
        <v>108</v>
      </c>
      <c r="I496" s="1" t="s">
        <v>235</v>
      </c>
      <c r="J496" s="1"/>
      <c r="K496" s="1"/>
      <c r="L496" s="1"/>
      <c r="M496" s="1"/>
      <c r="N496" s="1"/>
      <c r="O496" s="1"/>
      <c r="P496" s="1"/>
      <c r="Q496" s="1"/>
      <c r="R496" s="1"/>
      <c r="S496" s="1" t="s">
        <v>109</v>
      </c>
      <c r="T496" s="1">
        <v>0.36299999999999999</v>
      </c>
      <c r="U496" s="1" t="s">
        <v>109</v>
      </c>
      <c r="V496" s="1">
        <v>3</v>
      </c>
      <c r="W496" s="1">
        <v>39</v>
      </c>
      <c r="X496" s="1" t="s">
        <v>236</v>
      </c>
      <c r="Y496" s="1"/>
      <c r="Z496" s="1">
        <v>0</v>
      </c>
      <c r="AA496" s="1" t="s">
        <v>205</v>
      </c>
      <c r="AB496" s="1" t="s">
        <v>205</v>
      </c>
      <c r="AC496" s="1" t="s">
        <v>111</v>
      </c>
      <c r="AD496" s="1" t="s">
        <v>111</v>
      </c>
      <c r="AE496" s="1" t="s">
        <v>111</v>
      </c>
      <c r="AF496" s="1" t="s">
        <v>111</v>
      </c>
      <c r="AG496" s="1" t="s">
        <v>111</v>
      </c>
      <c r="AH496" s="1" t="s">
        <v>111</v>
      </c>
      <c r="AI496" s="1">
        <v>60</v>
      </c>
      <c r="AJ496" s="1" t="s">
        <v>111</v>
      </c>
      <c r="AK496" s="1"/>
      <c r="AL496" s="1" t="s">
        <v>111</v>
      </c>
      <c r="AM496" s="1"/>
      <c r="AN496" s="1" t="s">
        <v>111</v>
      </c>
      <c r="AO496" s="1"/>
      <c r="AP496" s="1" t="s">
        <v>111</v>
      </c>
      <c r="AQ496" s="1" t="s">
        <v>111</v>
      </c>
    </row>
    <row r="497" spans="1:43" x14ac:dyDescent="0.25">
      <c r="A497" s="1">
        <v>149</v>
      </c>
      <c r="B497" s="1" t="s">
        <v>240</v>
      </c>
      <c r="C497" s="1" t="s">
        <v>103</v>
      </c>
      <c r="D497" s="1" t="s">
        <v>418</v>
      </c>
      <c r="E497" s="1" t="s">
        <v>234</v>
      </c>
      <c r="F497" s="1" t="s">
        <v>106</v>
      </c>
      <c r="G497" s="1" t="s">
        <v>107</v>
      </c>
      <c r="H497" s="1" t="s">
        <v>108</v>
      </c>
      <c r="I497" s="1">
        <v>34.887999999999998</v>
      </c>
      <c r="J497" s="1">
        <v>33.898000000000003</v>
      </c>
      <c r="K497" s="1">
        <v>0.83199999999999996</v>
      </c>
      <c r="L497" s="1"/>
      <c r="M497" s="1"/>
      <c r="N497" s="1"/>
      <c r="O497" s="1"/>
      <c r="P497" s="1"/>
      <c r="Q497" s="1"/>
      <c r="R497" s="1"/>
      <c r="S497" s="1" t="s">
        <v>109</v>
      </c>
      <c r="T497" s="1">
        <v>0.36299999999999999</v>
      </c>
      <c r="U497" s="1" t="s">
        <v>109</v>
      </c>
      <c r="V497" s="1">
        <v>3</v>
      </c>
      <c r="W497" s="1">
        <v>29</v>
      </c>
      <c r="X497" s="1" t="s">
        <v>110</v>
      </c>
      <c r="Y497" s="1"/>
      <c r="Z497" s="1">
        <v>0.98099999999999998</v>
      </c>
      <c r="AA497" s="1" t="s">
        <v>111</v>
      </c>
      <c r="AB497" s="1" t="s">
        <v>111</v>
      </c>
      <c r="AC497" s="1" t="s">
        <v>111</v>
      </c>
      <c r="AD497" s="1" t="s">
        <v>111</v>
      </c>
      <c r="AE497" s="1" t="s">
        <v>111</v>
      </c>
      <c r="AF497" s="1" t="s">
        <v>111</v>
      </c>
      <c r="AG497" s="1" t="s">
        <v>205</v>
      </c>
      <c r="AH497" s="1" t="s">
        <v>205</v>
      </c>
      <c r="AI497" s="1">
        <v>88.438000000000002</v>
      </c>
      <c r="AJ497" s="1" t="s">
        <v>111</v>
      </c>
      <c r="AK497" s="1">
        <v>84.263000000000005</v>
      </c>
      <c r="AL497" s="1" t="s">
        <v>111</v>
      </c>
      <c r="AM497" s="1"/>
      <c r="AN497" s="1" t="s">
        <v>111</v>
      </c>
      <c r="AO497" s="1"/>
      <c r="AP497" s="1" t="s">
        <v>111</v>
      </c>
      <c r="AQ497" s="1" t="s">
        <v>111</v>
      </c>
    </row>
    <row r="498" spans="1:43" x14ac:dyDescent="0.25">
      <c r="A498" s="1">
        <v>150</v>
      </c>
      <c r="B498" s="1" t="s">
        <v>241</v>
      </c>
      <c r="C498" s="1" t="s">
        <v>103</v>
      </c>
      <c r="D498" s="1" t="s">
        <v>418</v>
      </c>
      <c r="E498" s="1" t="s">
        <v>234</v>
      </c>
      <c r="F498" s="1" t="s">
        <v>106</v>
      </c>
      <c r="G498" s="1" t="s">
        <v>107</v>
      </c>
      <c r="H498" s="1" t="s">
        <v>108</v>
      </c>
      <c r="I498" s="1">
        <v>34.04</v>
      </c>
      <c r="J498" s="1">
        <v>33.898000000000003</v>
      </c>
      <c r="K498" s="1">
        <v>0.83199999999999996</v>
      </c>
      <c r="L498" s="1"/>
      <c r="M498" s="1"/>
      <c r="N498" s="1"/>
      <c r="O498" s="1"/>
      <c r="P498" s="1"/>
      <c r="Q498" s="1"/>
      <c r="R498" s="1"/>
      <c r="S498" s="1" t="s">
        <v>109</v>
      </c>
      <c r="T498" s="1">
        <v>0.36299999999999999</v>
      </c>
      <c r="U498" s="1" t="s">
        <v>109</v>
      </c>
      <c r="V498" s="1">
        <v>3</v>
      </c>
      <c r="W498" s="1">
        <v>27</v>
      </c>
      <c r="X498" s="1" t="s">
        <v>110</v>
      </c>
      <c r="Y498" s="1"/>
      <c r="Z498" s="1">
        <v>0.97599999999999998</v>
      </c>
      <c r="AA498" s="1" t="s">
        <v>111</v>
      </c>
      <c r="AB498" s="1" t="s">
        <v>111</v>
      </c>
      <c r="AC498" s="1" t="s">
        <v>111</v>
      </c>
      <c r="AD498" s="1" t="s">
        <v>111</v>
      </c>
      <c r="AE498" s="1" t="s">
        <v>111</v>
      </c>
      <c r="AF498" s="1" t="s">
        <v>111</v>
      </c>
      <c r="AG498" s="1" t="s">
        <v>205</v>
      </c>
      <c r="AH498" s="1" t="s">
        <v>205</v>
      </c>
      <c r="AI498" s="1">
        <v>88.551000000000002</v>
      </c>
      <c r="AJ498" s="1" t="s">
        <v>111</v>
      </c>
      <c r="AK498" s="1">
        <v>84.263000000000005</v>
      </c>
      <c r="AL498" s="1" t="s">
        <v>111</v>
      </c>
      <c r="AM498" s="1"/>
      <c r="AN498" s="1" t="s">
        <v>111</v>
      </c>
      <c r="AO498" s="1"/>
      <c r="AP498" s="1" t="s">
        <v>111</v>
      </c>
      <c r="AQ498" s="1" t="s">
        <v>111</v>
      </c>
    </row>
    <row r="499" spans="1:43" x14ac:dyDescent="0.25">
      <c r="A499" s="1">
        <v>151</v>
      </c>
      <c r="B499" s="1" t="s">
        <v>242</v>
      </c>
      <c r="C499" s="1" t="s">
        <v>103</v>
      </c>
      <c r="D499" s="1" t="s">
        <v>419</v>
      </c>
      <c r="E499" s="1" t="s">
        <v>234</v>
      </c>
      <c r="F499" s="1" t="s">
        <v>106</v>
      </c>
      <c r="G499" s="1" t="s">
        <v>107</v>
      </c>
      <c r="H499" s="1" t="s">
        <v>108</v>
      </c>
      <c r="I499" s="1" t="s">
        <v>235</v>
      </c>
      <c r="J499" s="1">
        <v>34.447000000000003</v>
      </c>
      <c r="K499" s="1">
        <v>0.76500000000000001</v>
      </c>
      <c r="L499" s="1"/>
      <c r="M499" s="1"/>
      <c r="N499" s="1"/>
      <c r="O499" s="1"/>
      <c r="P499" s="1"/>
      <c r="Q499" s="1"/>
      <c r="R499" s="1"/>
      <c r="S499" s="1" t="s">
        <v>109</v>
      </c>
      <c r="T499" s="1">
        <v>0.36299999999999999</v>
      </c>
      <c r="U499" s="1" t="s">
        <v>109</v>
      </c>
      <c r="V499" s="1">
        <v>3</v>
      </c>
      <c r="W499" s="1">
        <v>39</v>
      </c>
      <c r="X499" s="1" t="s">
        <v>236</v>
      </c>
      <c r="Y499" s="1"/>
      <c r="Z499" s="1">
        <v>0</v>
      </c>
      <c r="AA499" s="1" t="s">
        <v>205</v>
      </c>
      <c r="AB499" s="1" t="s">
        <v>205</v>
      </c>
      <c r="AC499" s="1" t="s">
        <v>111</v>
      </c>
      <c r="AD499" s="1" t="s">
        <v>111</v>
      </c>
      <c r="AE499" s="1" t="s">
        <v>111</v>
      </c>
      <c r="AF499" s="1" t="s">
        <v>111</v>
      </c>
      <c r="AG499" s="1" t="s">
        <v>111</v>
      </c>
      <c r="AH499" s="1" t="s">
        <v>111</v>
      </c>
      <c r="AI499" s="1">
        <v>60</v>
      </c>
      <c r="AJ499" s="1" t="s">
        <v>111</v>
      </c>
      <c r="AK499" s="1"/>
      <c r="AL499" s="1" t="s">
        <v>111</v>
      </c>
      <c r="AM499" s="1"/>
      <c r="AN499" s="1" t="s">
        <v>111</v>
      </c>
      <c r="AO499" s="1"/>
      <c r="AP499" s="1" t="s">
        <v>205</v>
      </c>
      <c r="AQ499" s="1" t="s">
        <v>111</v>
      </c>
    </row>
    <row r="500" spans="1:43" x14ac:dyDescent="0.25">
      <c r="A500" s="1">
        <v>152</v>
      </c>
      <c r="B500" s="1" t="s">
        <v>243</v>
      </c>
      <c r="C500" s="1" t="s">
        <v>103</v>
      </c>
      <c r="D500" s="1" t="s">
        <v>419</v>
      </c>
      <c r="E500" s="1" t="s">
        <v>234</v>
      </c>
      <c r="F500" s="1" t="s">
        <v>106</v>
      </c>
      <c r="G500" s="1" t="s">
        <v>107</v>
      </c>
      <c r="H500" s="1" t="s">
        <v>108</v>
      </c>
      <c r="I500" s="1">
        <v>34.988</v>
      </c>
      <c r="J500" s="1">
        <v>34.447000000000003</v>
      </c>
      <c r="K500" s="1">
        <v>0.76500000000000001</v>
      </c>
      <c r="L500" s="1"/>
      <c r="M500" s="1"/>
      <c r="N500" s="1"/>
      <c r="O500" s="1"/>
      <c r="P500" s="1"/>
      <c r="Q500" s="1"/>
      <c r="R500" s="1"/>
      <c r="S500" s="1" t="s">
        <v>109</v>
      </c>
      <c r="T500" s="1">
        <v>0.36299999999999999</v>
      </c>
      <c r="U500" s="1" t="s">
        <v>109</v>
      </c>
      <c r="V500" s="1">
        <v>3</v>
      </c>
      <c r="W500" s="1">
        <v>29</v>
      </c>
      <c r="X500" s="1" t="s">
        <v>110</v>
      </c>
      <c r="Y500" s="1"/>
      <c r="Z500" s="1">
        <v>0.98099999999999998</v>
      </c>
      <c r="AA500" s="1" t="s">
        <v>111</v>
      </c>
      <c r="AB500" s="1" t="s">
        <v>111</v>
      </c>
      <c r="AC500" s="1" t="s">
        <v>111</v>
      </c>
      <c r="AD500" s="1" t="s">
        <v>111</v>
      </c>
      <c r="AE500" s="1" t="s">
        <v>111</v>
      </c>
      <c r="AF500" s="1" t="s">
        <v>111</v>
      </c>
      <c r="AG500" s="1" t="s">
        <v>205</v>
      </c>
      <c r="AH500" s="1" t="s">
        <v>205</v>
      </c>
      <c r="AI500" s="1">
        <v>88.551000000000002</v>
      </c>
      <c r="AJ500" s="1" t="s">
        <v>111</v>
      </c>
      <c r="AK500" s="1">
        <v>84.376000000000005</v>
      </c>
      <c r="AL500" s="1" t="s">
        <v>111</v>
      </c>
      <c r="AM500" s="1">
        <v>64.063000000000002</v>
      </c>
      <c r="AN500" s="1" t="s">
        <v>111</v>
      </c>
      <c r="AO500" s="1"/>
      <c r="AP500" s="1" t="s">
        <v>111</v>
      </c>
      <c r="AQ500" s="1" t="s">
        <v>111</v>
      </c>
    </row>
    <row r="501" spans="1:43" x14ac:dyDescent="0.25">
      <c r="A501" s="1">
        <v>153</v>
      </c>
      <c r="B501" s="1" t="s">
        <v>244</v>
      </c>
      <c r="C501" s="1" t="s">
        <v>103</v>
      </c>
      <c r="D501" s="1" t="s">
        <v>420</v>
      </c>
      <c r="E501" s="1" t="s">
        <v>234</v>
      </c>
      <c r="F501" s="1" t="s">
        <v>106</v>
      </c>
      <c r="G501" s="1" t="s">
        <v>107</v>
      </c>
      <c r="H501" s="1" t="s">
        <v>108</v>
      </c>
      <c r="I501" s="1">
        <v>31.866</v>
      </c>
      <c r="J501" s="1">
        <v>32.231000000000002</v>
      </c>
      <c r="K501" s="1">
        <v>0.65700000000000003</v>
      </c>
      <c r="L501" s="1"/>
      <c r="M501" s="1"/>
      <c r="N501" s="1"/>
      <c r="O501" s="1"/>
      <c r="P501" s="1"/>
      <c r="Q501" s="1"/>
      <c r="R501" s="1"/>
      <c r="S501" s="1" t="s">
        <v>109</v>
      </c>
      <c r="T501" s="1">
        <v>0.36299999999999999</v>
      </c>
      <c r="U501" s="1" t="s">
        <v>109</v>
      </c>
      <c r="V501" s="1">
        <v>3</v>
      </c>
      <c r="W501" s="1">
        <v>25</v>
      </c>
      <c r="X501" s="1" t="s">
        <v>110</v>
      </c>
      <c r="Y501" s="1"/>
      <c r="Z501" s="1">
        <v>0.98699999999999999</v>
      </c>
      <c r="AA501" s="1" t="s">
        <v>111</v>
      </c>
      <c r="AB501" s="1" t="s">
        <v>111</v>
      </c>
      <c r="AC501" s="1" t="s">
        <v>111</v>
      </c>
      <c r="AD501" s="1" t="s">
        <v>111</v>
      </c>
      <c r="AE501" s="1" t="s">
        <v>111</v>
      </c>
      <c r="AF501" s="1" t="s">
        <v>111</v>
      </c>
      <c r="AG501" s="1" t="s">
        <v>205</v>
      </c>
      <c r="AH501" s="1" t="s">
        <v>205</v>
      </c>
      <c r="AI501" s="1">
        <v>88.564999999999998</v>
      </c>
      <c r="AJ501" s="1" t="s">
        <v>111</v>
      </c>
      <c r="AK501" s="1">
        <v>84.501000000000005</v>
      </c>
      <c r="AL501" s="1" t="s">
        <v>111</v>
      </c>
      <c r="AM501" s="1"/>
      <c r="AN501" s="1" t="s">
        <v>111</v>
      </c>
      <c r="AO501" s="1"/>
      <c r="AP501" s="1" t="s">
        <v>111</v>
      </c>
      <c r="AQ501" s="1" t="s">
        <v>111</v>
      </c>
    </row>
    <row r="502" spans="1:43" x14ac:dyDescent="0.25">
      <c r="A502" s="1">
        <v>154</v>
      </c>
      <c r="B502" s="1" t="s">
        <v>245</v>
      </c>
      <c r="C502" s="1" t="s">
        <v>103</v>
      </c>
      <c r="D502" s="1" t="s">
        <v>420</v>
      </c>
      <c r="E502" s="1" t="s">
        <v>234</v>
      </c>
      <c r="F502" s="1" t="s">
        <v>106</v>
      </c>
      <c r="G502" s="1" t="s">
        <v>107</v>
      </c>
      <c r="H502" s="1" t="s">
        <v>108</v>
      </c>
      <c r="I502" s="1">
        <v>32.165999999999997</v>
      </c>
      <c r="J502" s="1">
        <v>32.231000000000002</v>
      </c>
      <c r="K502" s="1">
        <v>0.65700000000000003</v>
      </c>
      <c r="L502" s="1"/>
      <c r="M502" s="1"/>
      <c r="N502" s="1"/>
      <c r="O502" s="1"/>
      <c r="P502" s="1"/>
      <c r="Q502" s="1"/>
      <c r="R502" s="1"/>
      <c r="S502" s="1" t="s">
        <v>109</v>
      </c>
      <c r="T502" s="1">
        <v>0.36299999999999999</v>
      </c>
      <c r="U502" s="1" t="s">
        <v>109</v>
      </c>
      <c r="V502" s="1">
        <v>3</v>
      </c>
      <c r="W502" s="1">
        <v>26</v>
      </c>
      <c r="X502" s="1" t="s">
        <v>110</v>
      </c>
      <c r="Y502" s="1"/>
      <c r="Z502" s="1">
        <v>0.98799999999999999</v>
      </c>
      <c r="AA502" s="1" t="s">
        <v>111</v>
      </c>
      <c r="AB502" s="1" t="s">
        <v>111</v>
      </c>
      <c r="AC502" s="1" t="s">
        <v>111</v>
      </c>
      <c r="AD502" s="1" t="s">
        <v>111</v>
      </c>
      <c r="AE502" s="1" t="s">
        <v>111</v>
      </c>
      <c r="AF502" s="1" t="s">
        <v>111</v>
      </c>
      <c r="AG502" s="1" t="s">
        <v>205</v>
      </c>
      <c r="AH502" s="1" t="s">
        <v>205</v>
      </c>
      <c r="AI502" s="1">
        <v>88.564999999999998</v>
      </c>
      <c r="AJ502" s="1" t="s">
        <v>111</v>
      </c>
      <c r="AK502" s="1">
        <v>84.388000000000005</v>
      </c>
      <c r="AL502" s="1" t="s">
        <v>111</v>
      </c>
      <c r="AM502" s="1"/>
      <c r="AN502" s="1" t="s">
        <v>111</v>
      </c>
      <c r="AO502" s="1"/>
      <c r="AP502" s="1" t="s">
        <v>111</v>
      </c>
      <c r="AQ502" s="1" t="s">
        <v>111</v>
      </c>
    </row>
    <row r="503" spans="1:43" x14ac:dyDescent="0.25">
      <c r="A503" s="1">
        <v>155</v>
      </c>
      <c r="B503" s="1" t="s">
        <v>246</v>
      </c>
      <c r="C503" s="1" t="s">
        <v>103</v>
      </c>
      <c r="D503" s="1" t="s">
        <v>421</v>
      </c>
      <c r="E503" s="1" t="s">
        <v>234</v>
      </c>
      <c r="F503" s="1" t="s">
        <v>106</v>
      </c>
      <c r="G503" s="1" t="s">
        <v>107</v>
      </c>
      <c r="H503" s="1" t="s">
        <v>108</v>
      </c>
      <c r="I503" s="1">
        <v>31.81</v>
      </c>
      <c r="J503" s="1">
        <v>31.696999999999999</v>
      </c>
      <c r="K503" s="1">
        <v>7.8E-2</v>
      </c>
      <c r="L503" s="1"/>
      <c r="M503" s="1"/>
      <c r="N503" s="1"/>
      <c r="O503" s="1"/>
      <c r="P503" s="1"/>
      <c r="Q503" s="1"/>
      <c r="R503" s="1"/>
      <c r="S503" s="1" t="s">
        <v>109</v>
      </c>
      <c r="T503" s="1">
        <v>0.36299999999999999</v>
      </c>
      <c r="U503" s="1" t="s">
        <v>109</v>
      </c>
      <c r="V503" s="1">
        <v>3</v>
      </c>
      <c r="W503" s="1">
        <v>25</v>
      </c>
      <c r="X503" s="1" t="s">
        <v>110</v>
      </c>
      <c r="Y503" s="1"/>
      <c r="Z503" s="1">
        <v>0.98599999999999999</v>
      </c>
      <c r="AA503" s="1" t="s">
        <v>111</v>
      </c>
      <c r="AB503" s="1" t="s">
        <v>111</v>
      </c>
      <c r="AC503" s="1" t="s">
        <v>111</v>
      </c>
      <c r="AD503" s="1" t="s">
        <v>111</v>
      </c>
      <c r="AE503" s="1" t="s">
        <v>111</v>
      </c>
      <c r="AF503" s="1" t="s">
        <v>111</v>
      </c>
      <c r="AG503" s="1" t="s">
        <v>111</v>
      </c>
      <c r="AH503" s="1" t="s">
        <v>205</v>
      </c>
      <c r="AI503" s="1">
        <v>88.564999999999998</v>
      </c>
      <c r="AJ503" s="1" t="s">
        <v>111</v>
      </c>
      <c r="AK503" s="1">
        <v>84.501000000000005</v>
      </c>
      <c r="AL503" s="1" t="s">
        <v>111</v>
      </c>
      <c r="AM503" s="1"/>
      <c r="AN503" s="1" t="s">
        <v>111</v>
      </c>
      <c r="AO503" s="1"/>
      <c r="AP503" s="1" t="s">
        <v>111</v>
      </c>
      <c r="AQ503" s="1" t="s">
        <v>111</v>
      </c>
    </row>
    <row r="504" spans="1:43" x14ac:dyDescent="0.25">
      <c r="A504" s="1">
        <v>156</v>
      </c>
      <c r="B504" s="1" t="s">
        <v>247</v>
      </c>
      <c r="C504" s="1" t="s">
        <v>103</v>
      </c>
      <c r="D504" s="1" t="s">
        <v>421</v>
      </c>
      <c r="E504" s="1" t="s">
        <v>234</v>
      </c>
      <c r="F504" s="1" t="s">
        <v>106</v>
      </c>
      <c r="G504" s="1" t="s">
        <v>107</v>
      </c>
      <c r="H504" s="1" t="s">
        <v>108</v>
      </c>
      <c r="I504" s="1">
        <v>31.635999999999999</v>
      </c>
      <c r="J504" s="1">
        <v>31.696999999999999</v>
      </c>
      <c r="K504" s="1">
        <v>7.8E-2</v>
      </c>
      <c r="L504" s="1"/>
      <c r="M504" s="1"/>
      <c r="N504" s="1"/>
      <c r="O504" s="1"/>
      <c r="P504" s="1"/>
      <c r="Q504" s="1"/>
      <c r="R504" s="1"/>
      <c r="S504" s="1" t="s">
        <v>109</v>
      </c>
      <c r="T504" s="1">
        <v>0.36299999999999999</v>
      </c>
      <c r="U504" s="1" t="s">
        <v>109</v>
      </c>
      <c r="V504" s="1">
        <v>3</v>
      </c>
      <c r="W504" s="1">
        <v>26</v>
      </c>
      <c r="X504" s="1" t="s">
        <v>110</v>
      </c>
      <c r="Y504" s="1"/>
      <c r="Z504" s="1">
        <v>0.98699999999999999</v>
      </c>
      <c r="AA504" s="1" t="s">
        <v>111</v>
      </c>
      <c r="AB504" s="1" t="s">
        <v>111</v>
      </c>
      <c r="AC504" s="1" t="s">
        <v>111</v>
      </c>
      <c r="AD504" s="1" t="s">
        <v>111</v>
      </c>
      <c r="AE504" s="1" t="s">
        <v>111</v>
      </c>
      <c r="AF504" s="1" t="s">
        <v>111</v>
      </c>
      <c r="AG504" s="1" t="s">
        <v>111</v>
      </c>
      <c r="AH504" s="1" t="s">
        <v>111</v>
      </c>
      <c r="AI504" s="1">
        <v>88.564999999999998</v>
      </c>
      <c r="AJ504" s="1" t="s">
        <v>111</v>
      </c>
      <c r="AK504" s="1"/>
      <c r="AL504" s="1" t="s">
        <v>111</v>
      </c>
      <c r="AM504" s="1"/>
      <c r="AN504" s="1" t="s">
        <v>111</v>
      </c>
      <c r="AO504" s="1"/>
      <c r="AP504" s="1" t="s">
        <v>111</v>
      </c>
      <c r="AQ504" s="1" t="s">
        <v>111</v>
      </c>
    </row>
    <row r="505" spans="1:43" x14ac:dyDescent="0.25">
      <c r="A505" s="1">
        <v>161</v>
      </c>
      <c r="B505" s="1" t="s">
        <v>248</v>
      </c>
      <c r="C505" s="1" t="s">
        <v>103</v>
      </c>
      <c r="D505" s="1" t="s">
        <v>420</v>
      </c>
      <c r="E505" s="1" t="s">
        <v>204</v>
      </c>
      <c r="F505" s="1" t="s">
        <v>106</v>
      </c>
      <c r="G505" s="1" t="s">
        <v>107</v>
      </c>
      <c r="H505" s="1" t="s">
        <v>108</v>
      </c>
      <c r="I505" s="1">
        <v>28.193999999999999</v>
      </c>
      <c r="J505" s="1">
        <v>28.295000000000002</v>
      </c>
      <c r="K505" s="1">
        <v>0.115</v>
      </c>
      <c r="L505" s="1"/>
      <c r="M505" s="1"/>
      <c r="N505" s="1"/>
      <c r="O505" s="1"/>
      <c r="P505" s="1"/>
      <c r="Q505" s="1"/>
      <c r="R505" s="1"/>
      <c r="S505" s="1" t="s">
        <v>109</v>
      </c>
      <c r="T505" s="1">
        <v>0.29399999999999998</v>
      </c>
      <c r="U505" s="1" t="s">
        <v>109</v>
      </c>
      <c r="V505" s="1">
        <v>3</v>
      </c>
      <c r="W505" s="1">
        <v>22</v>
      </c>
      <c r="X505" s="1" t="s">
        <v>110</v>
      </c>
      <c r="Y505" s="1"/>
      <c r="Z505" s="1">
        <v>0.98399999999999999</v>
      </c>
      <c r="AA505" s="1" t="s">
        <v>111</v>
      </c>
      <c r="AB505" s="1" t="s">
        <v>111</v>
      </c>
      <c r="AC505" s="1" t="s">
        <v>111</v>
      </c>
      <c r="AD505" s="1" t="s">
        <v>111</v>
      </c>
      <c r="AE505" s="1" t="s">
        <v>111</v>
      </c>
      <c r="AF505" s="1" t="s">
        <v>111</v>
      </c>
      <c r="AG505" s="1" t="s">
        <v>111</v>
      </c>
      <c r="AH505" s="1" t="s">
        <v>111</v>
      </c>
      <c r="AI505" s="1">
        <v>80.427999999999997</v>
      </c>
      <c r="AJ505" s="1" t="s">
        <v>111</v>
      </c>
      <c r="AK505" s="1"/>
      <c r="AL505" s="1" t="s">
        <v>111</v>
      </c>
      <c r="AM505" s="1"/>
      <c r="AN505" s="1" t="s">
        <v>111</v>
      </c>
      <c r="AO505" s="1"/>
      <c r="AP505" s="1" t="s">
        <v>111</v>
      </c>
      <c r="AQ505" s="1" t="s">
        <v>111</v>
      </c>
    </row>
    <row r="506" spans="1:43" x14ac:dyDescent="0.25">
      <c r="A506" s="1">
        <v>162</v>
      </c>
      <c r="B506" s="1" t="s">
        <v>249</v>
      </c>
      <c r="C506" s="1" t="s">
        <v>103</v>
      </c>
      <c r="D506" s="1" t="s">
        <v>420</v>
      </c>
      <c r="E506" s="1" t="s">
        <v>204</v>
      </c>
      <c r="F506" s="1" t="s">
        <v>106</v>
      </c>
      <c r="G506" s="1" t="s">
        <v>107</v>
      </c>
      <c r="H506" s="1" t="s">
        <v>108</v>
      </c>
      <c r="I506" s="1">
        <v>28.459</v>
      </c>
      <c r="J506" s="1">
        <v>28.295000000000002</v>
      </c>
      <c r="K506" s="1">
        <v>0.115</v>
      </c>
      <c r="L506" s="1"/>
      <c r="M506" s="1"/>
      <c r="N506" s="1"/>
      <c r="O506" s="1"/>
      <c r="P506" s="1"/>
      <c r="Q506" s="1"/>
      <c r="R506" s="1"/>
      <c r="S506" s="1" t="s">
        <v>109</v>
      </c>
      <c r="T506" s="1">
        <v>0.29399999999999998</v>
      </c>
      <c r="U506" s="1" t="s">
        <v>109</v>
      </c>
      <c r="V506" s="1">
        <v>3</v>
      </c>
      <c r="W506" s="1">
        <v>22</v>
      </c>
      <c r="X506" s="1" t="s">
        <v>110</v>
      </c>
      <c r="Y506" s="1"/>
      <c r="Z506" s="1">
        <v>0.98499999999999999</v>
      </c>
      <c r="AA506" s="1" t="s">
        <v>111</v>
      </c>
      <c r="AB506" s="1" t="s">
        <v>111</v>
      </c>
      <c r="AC506" s="1" t="s">
        <v>111</v>
      </c>
      <c r="AD506" s="1" t="s">
        <v>111</v>
      </c>
      <c r="AE506" s="1" t="s">
        <v>111</v>
      </c>
      <c r="AF506" s="1" t="s">
        <v>111</v>
      </c>
      <c r="AG506" s="1" t="s">
        <v>111</v>
      </c>
      <c r="AH506" s="1" t="s">
        <v>111</v>
      </c>
      <c r="AI506" s="1">
        <v>80.427999999999997</v>
      </c>
      <c r="AJ506" s="1" t="s">
        <v>111</v>
      </c>
      <c r="AK506" s="1"/>
      <c r="AL506" s="1" t="s">
        <v>111</v>
      </c>
      <c r="AM506" s="1"/>
      <c r="AN506" s="1" t="s">
        <v>111</v>
      </c>
      <c r="AO506" s="1"/>
      <c r="AP506" s="1" t="s">
        <v>111</v>
      </c>
      <c r="AQ506" s="1" t="s">
        <v>111</v>
      </c>
    </row>
    <row r="507" spans="1:43" x14ac:dyDescent="0.25">
      <c r="A507" s="1">
        <v>163</v>
      </c>
      <c r="B507" s="1" t="s">
        <v>250</v>
      </c>
      <c r="C507" s="1" t="s">
        <v>103</v>
      </c>
      <c r="D507" s="1" t="s">
        <v>421</v>
      </c>
      <c r="E507" s="1" t="s">
        <v>204</v>
      </c>
      <c r="F507" s="1" t="s">
        <v>106</v>
      </c>
      <c r="G507" s="1" t="s">
        <v>107</v>
      </c>
      <c r="H507" s="1" t="s">
        <v>108</v>
      </c>
      <c r="I507" s="1">
        <v>27.576000000000001</v>
      </c>
      <c r="J507" s="1">
        <v>27.603999999999999</v>
      </c>
      <c r="K507" s="1">
        <v>0.223</v>
      </c>
      <c r="L507" s="1"/>
      <c r="M507" s="1"/>
      <c r="N507" s="1"/>
      <c r="O507" s="1"/>
      <c r="P507" s="1"/>
      <c r="Q507" s="1"/>
      <c r="R507" s="1"/>
      <c r="S507" s="1" t="s">
        <v>109</v>
      </c>
      <c r="T507" s="1">
        <v>0.29399999999999998</v>
      </c>
      <c r="U507" s="1" t="s">
        <v>109</v>
      </c>
      <c r="V507" s="1">
        <v>3</v>
      </c>
      <c r="W507" s="1">
        <v>21</v>
      </c>
      <c r="X507" s="1" t="s">
        <v>110</v>
      </c>
      <c r="Y507" s="1"/>
      <c r="Z507" s="1">
        <v>0.98899999999999999</v>
      </c>
      <c r="AA507" s="1" t="s">
        <v>111</v>
      </c>
      <c r="AB507" s="1" t="s">
        <v>111</v>
      </c>
      <c r="AC507" s="1" t="s">
        <v>111</v>
      </c>
      <c r="AD507" s="1" t="s">
        <v>111</v>
      </c>
      <c r="AE507" s="1" t="s">
        <v>111</v>
      </c>
      <c r="AF507" s="1" t="s">
        <v>111</v>
      </c>
      <c r="AG507" s="1" t="s">
        <v>111</v>
      </c>
      <c r="AH507" s="1" t="s">
        <v>111</v>
      </c>
      <c r="AI507" s="1">
        <v>80.427999999999997</v>
      </c>
      <c r="AJ507" s="1" t="s">
        <v>111</v>
      </c>
      <c r="AK507" s="1"/>
      <c r="AL507" s="1" t="s">
        <v>111</v>
      </c>
      <c r="AM507" s="1"/>
      <c r="AN507" s="1" t="s">
        <v>111</v>
      </c>
      <c r="AO507" s="1"/>
      <c r="AP507" s="1" t="s">
        <v>111</v>
      </c>
      <c r="AQ507" s="1" t="s">
        <v>111</v>
      </c>
    </row>
    <row r="508" spans="1:43" x14ac:dyDescent="0.25">
      <c r="A508" s="1">
        <v>164</v>
      </c>
      <c r="B508" s="1" t="s">
        <v>251</v>
      </c>
      <c r="C508" s="1" t="s">
        <v>103</v>
      </c>
      <c r="D508" s="1" t="s">
        <v>421</v>
      </c>
      <c r="E508" s="1" t="s">
        <v>204</v>
      </c>
      <c r="F508" s="1" t="s">
        <v>106</v>
      </c>
      <c r="G508" s="1" t="s">
        <v>107</v>
      </c>
      <c r="H508" s="1" t="s">
        <v>108</v>
      </c>
      <c r="I508" s="1">
        <v>27.812999999999999</v>
      </c>
      <c r="J508" s="1">
        <v>27.603999999999999</v>
      </c>
      <c r="K508" s="1">
        <v>0.223</v>
      </c>
      <c r="L508" s="1"/>
      <c r="M508" s="1"/>
      <c r="N508" s="1"/>
      <c r="O508" s="1"/>
      <c r="P508" s="1"/>
      <c r="Q508" s="1"/>
      <c r="R508" s="1"/>
      <c r="S508" s="1" t="s">
        <v>109</v>
      </c>
      <c r="T508" s="1">
        <v>0.29399999999999998</v>
      </c>
      <c r="U508" s="1" t="s">
        <v>109</v>
      </c>
      <c r="V508" s="1">
        <v>3</v>
      </c>
      <c r="W508" s="1">
        <v>22</v>
      </c>
      <c r="X508" s="1" t="s">
        <v>110</v>
      </c>
      <c r="Y508" s="1"/>
      <c r="Z508" s="1">
        <v>0.98699999999999999</v>
      </c>
      <c r="AA508" s="1" t="s">
        <v>111</v>
      </c>
      <c r="AB508" s="1" t="s">
        <v>111</v>
      </c>
      <c r="AC508" s="1" t="s">
        <v>111</v>
      </c>
      <c r="AD508" s="1" t="s">
        <v>111</v>
      </c>
      <c r="AE508" s="1" t="s">
        <v>111</v>
      </c>
      <c r="AF508" s="1" t="s">
        <v>111</v>
      </c>
      <c r="AG508" s="1" t="s">
        <v>111</v>
      </c>
      <c r="AH508" s="1" t="s">
        <v>111</v>
      </c>
      <c r="AI508" s="1">
        <v>80.427999999999997</v>
      </c>
      <c r="AJ508" s="1" t="s">
        <v>111</v>
      </c>
      <c r="AK508" s="1"/>
      <c r="AL508" s="1" t="s">
        <v>111</v>
      </c>
      <c r="AM508" s="1"/>
      <c r="AN508" s="1" t="s">
        <v>111</v>
      </c>
      <c r="AO508" s="1"/>
      <c r="AP508" s="1" t="s">
        <v>111</v>
      </c>
      <c r="AQ508" s="1" t="s">
        <v>111</v>
      </c>
    </row>
    <row r="509" spans="1:43" x14ac:dyDescent="0.25">
      <c r="A509" s="1">
        <v>169</v>
      </c>
      <c r="B509" s="1" t="s">
        <v>252</v>
      </c>
      <c r="C509" s="1" t="s">
        <v>103</v>
      </c>
      <c r="D509" s="1" t="s">
        <v>416</v>
      </c>
      <c r="E509" s="1" t="s">
        <v>234</v>
      </c>
      <c r="F509" s="1" t="s">
        <v>106</v>
      </c>
      <c r="G509" s="1" t="s">
        <v>107</v>
      </c>
      <c r="H509" s="1" t="s">
        <v>108</v>
      </c>
      <c r="I509" s="1" t="s">
        <v>235</v>
      </c>
      <c r="J509" s="1"/>
      <c r="K509" s="1"/>
      <c r="L509" s="1"/>
      <c r="M509" s="1"/>
      <c r="N509" s="1"/>
      <c r="O509" s="1"/>
      <c r="P509" s="1"/>
      <c r="Q509" s="1"/>
      <c r="R509" s="1"/>
      <c r="S509" s="1" t="s">
        <v>109</v>
      </c>
      <c r="T509" s="1">
        <v>0.36299999999999999</v>
      </c>
      <c r="U509" s="1" t="s">
        <v>109</v>
      </c>
      <c r="V509" s="1">
        <v>3</v>
      </c>
      <c r="W509" s="1">
        <v>39</v>
      </c>
      <c r="X509" s="1" t="s">
        <v>236</v>
      </c>
      <c r="Y509" s="1"/>
      <c r="Z509" s="1">
        <v>0</v>
      </c>
      <c r="AA509" s="1" t="s">
        <v>205</v>
      </c>
      <c r="AB509" s="1" t="s">
        <v>205</v>
      </c>
      <c r="AC509" s="1" t="s">
        <v>111</v>
      </c>
      <c r="AD509" s="1" t="s">
        <v>111</v>
      </c>
      <c r="AE509" s="1" t="s">
        <v>111</v>
      </c>
      <c r="AF509" s="1" t="s">
        <v>111</v>
      </c>
      <c r="AG509" s="1" t="s">
        <v>111</v>
      </c>
      <c r="AH509" s="1" t="s">
        <v>111</v>
      </c>
      <c r="AI509" s="1">
        <v>60</v>
      </c>
      <c r="AJ509" s="1" t="s">
        <v>111</v>
      </c>
      <c r="AK509" s="1"/>
      <c r="AL509" s="1" t="s">
        <v>111</v>
      </c>
      <c r="AM509" s="1"/>
      <c r="AN509" s="1" t="s">
        <v>111</v>
      </c>
      <c r="AO509" s="1"/>
      <c r="AP509" s="1" t="s">
        <v>205</v>
      </c>
      <c r="AQ509" s="1" t="s">
        <v>111</v>
      </c>
    </row>
    <row r="510" spans="1:43" x14ac:dyDescent="0.25">
      <c r="A510" s="1">
        <v>170</v>
      </c>
      <c r="B510" s="1" t="s">
        <v>253</v>
      </c>
      <c r="C510" s="1" t="s">
        <v>103</v>
      </c>
      <c r="D510" s="1" t="s">
        <v>416</v>
      </c>
      <c r="E510" s="1" t="s">
        <v>234</v>
      </c>
      <c r="F510" s="1" t="s">
        <v>106</v>
      </c>
      <c r="G510" s="1" t="s">
        <v>107</v>
      </c>
      <c r="H510" s="1" t="s">
        <v>108</v>
      </c>
      <c r="I510" s="1" t="s">
        <v>235</v>
      </c>
      <c r="J510" s="1"/>
      <c r="K510" s="1"/>
      <c r="L510" s="1"/>
      <c r="M510" s="1"/>
      <c r="N510" s="1"/>
      <c r="O510" s="1"/>
      <c r="P510" s="1"/>
      <c r="Q510" s="1"/>
      <c r="R510" s="1"/>
      <c r="S510" s="1" t="s">
        <v>109</v>
      </c>
      <c r="T510" s="1">
        <v>0.36299999999999999</v>
      </c>
      <c r="U510" s="1" t="s">
        <v>109</v>
      </c>
      <c r="V510" s="1">
        <v>3</v>
      </c>
      <c r="W510" s="1">
        <v>39</v>
      </c>
      <c r="X510" s="1" t="s">
        <v>236</v>
      </c>
      <c r="Y510" s="1"/>
      <c r="Z510" s="1">
        <v>0</v>
      </c>
      <c r="AA510" s="1" t="s">
        <v>205</v>
      </c>
      <c r="AB510" s="1" t="s">
        <v>205</v>
      </c>
      <c r="AC510" s="1" t="s">
        <v>111</v>
      </c>
      <c r="AD510" s="1" t="s">
        <v>111</v>
      </c>
      <c r="AE510" s="1" t="s">
        <v>111</v>
      </c>
      <c r="AF510" s="1" t="s">
        <v>111</v>
      </c>
      <c r="AG510" s="1" t="s">
        <v>111</v>
      </c>
      <c r="AH510" s="1" t="s">
        <v>111</v>
      </c>
      <c r="AI510" s="1">
        <v>60</v>
      </c>
      <c r="AJ510" s="1" t="s">
        <v>111</v>
      </c>
      <c r="AK510" s="1"/>
      <c r="AL510" s="1" t="s">
        <v>111</v>
      </c>
      <c r="AM510" s="1"/>
      <c r="AN510" s="1" t="s">
        <v>111</v>
      </c>
      <c r="AO510" s="1"/>
      <c r="AP510" s="1" t="s">
        <v>205</v>
      </c>
      <c r="AQ510" s="1" t="s">
        <v>111</v>
      </c>
    </row>
    <row r="511" spans="1:43" x14ac:dyDescent="0.25">
      <c r="A511" s="1">
        <v>171</v>
      </c>
      <c r="B511" s="1" t="s">
        <v>254</v>
      </c>
      <c r="C511" s="1" t="s">
        <v>103</v>
      </c>
      <c r="D511" s="1" t="s">
        <v>417</v>
      </c>
      <c r="E511" s="1" t="s">
        <v>234</v>
      </c>
      <c r="F511" s="1" t="s">
        <v>106</v>
      </c>
      <c r="G511" s="1" t="s">
        <v>107</v>
      </c>
      <c r="H511" s="1" t="s">
        <v>108</v>
      </c>
      <c r="I511" s="1" t="s">
        <v>235</v>
      </c>
      <c r="J511" s="1"/>
      <c r="K511" s="1"/>
      <c r="L511" s="1"/>
      <c r="M511" s="1"/>
      <c r="N511" s="1"/>
      <c r="O511" s="1"/>
      <c r="P511" s="1"/>
      <c r="Q511" s="1"/>
      <c r="R511" s="1"/>
      <c r="S511" s="1" t="s">
        <v>109</v>
      </c>
      <c r="T511" s="1">
        <v>0.36299999999999999</v>
      </c>
      <c r="U511" s="1" t="s">
        <v>109</v>
      </c>
      <c r="V511" s="1">
        <v>3</v>
      </c>
      <c r="W511" s="1">
        <v>19</v>
      </c>
      <c r="X511" s="1" t="s">
        <v>236</v>
      </c>
      <c r="Y511" s="1"/>
      <c r="Z511" s="1">
        <v>0</v>
      </c>
      <c r="AA511" s="1" t="s">
        <v>205</v>
      </c>
      <c r="AB511" s="1" t="s">
        <v>111</v>
      </c>
      <c r="AC511" s="1" t="s">
        <v>111</v>
      </c>
      <c r="AD511" s="1" t="s">
        <v>111</v>
      </c>
      <c r="AE511" s="1" t="s">
        <v>111</v>
      </c>
      <c r="AF511" s="1" t="s">
        <v>111</v>
      </c>
      <c r="AG511" s="1" t="s">
        <v>111</v>
      </c>
      <c r="AH511" s="1" t="s">
        <v>111</v>
      </c>
      <c r="AI511" s="1">
        <v>63.5</v>
      </c>
      <c r="AJ511" s="1" t="s">
        <v>111</v>
      </c>
      <c r="AK511" s="1"/>
      <c r="AL511" s="1" t="s">
        <v>111</v>
      </c>
      <c r="AM511" s="1"/>
      <c r="AN511" s="1" t="s">
        <v>111</v>
      </c>
      <c r="AO511" s="1"/>
      <c r="AP511" s="1" t="s">
        <v>111</v>
      </c>
      <c r="AQ511" s="1" t="s">
        <v>111</v>
      </c>
    </row>
    <row r="512" spans="1:43" x14ac:dyDescent="0.25">
      <c r="A512" s="1">
        <v>172</v>
      </c>
      <c r="B512" s="1" t="s">
        <v>255</v>
      </c>
      <c r="C512" s="1" t="s">
        <v>103</v>
      </c>
      <c r="D512" s="1" t="s">
        <v>417</v>
      </c>
      <c r="E512" s="1" t="s">
        <v>234</v>
      </c>
      <c r="F512" s="1" t="s">
        <v>106</v>
      </c>
      <c r="G512" s="1" t="s">
        <v>107</v>
      </c>
      <c r="H512" s="1" t="s">
        <v>108</v>
      </c>
      <c r="I512" s="1" t="s">
        <v>235</v>
      </c>
      <c r="J512" s="1"/>
      <c r="K512" s="1"/>
      <c r="L512" s="1"/>
      <c r="M512" s="1"/>
      <c r="N512" s="1"/>
      <c r="O512" s="1"/>
      <c r="P512" s="1"/>
      <c r="Q512" s="1"/>
      <c r="R512" s="1"/>
      <c r="S512" s="1" t="s">
        <v>109</v>
      </c>
      <c r="T512" s="1">
        <v>0.36299999999999999</v>
      </c>
      <c r="U512" s="1" t="s">
        <v>109</v>
      </c>
      <c r="V512" s="1">
        <v>3</v>
      </c>
      <c r="W512" s="1">
        <v>15</v>
      </c>
      <c r="X512" s="1" t="s">
        <v>236</v>
      </c>
      <c r="Y512" s="1"/>
      <c r="Z512" s="1">
        <v>0</v>
      </c>
      <c r="AA512" s="1" t="s">
        <v>205</v>
      </c>
      <c r="AB512" s="1" t="s">
        <v>111</v>
      </c>
      <c r="AC512" s="1" t="s">
        <v>111</v>
      </c>
      <c r="AD512" s="1" t="s">
        <v>111</v>
      </c>
      <c r="AE512" s="1" t="s">
        <v>111</v>
      </c>
      <c r="AF512" s="1" t="s">
        <v>111</v>
      </c>
      <c r="AG512" s="1" t="s">
        <v>111</v>
      </c>
      <c r="AH512" s="1" t="s">
        <v>111</v>
      </c>
      <c r="AI512" s="1">
        <v>60</v>
      </c>
      <c r="AJ512" s="1" t="s">
        <v>111</v>
      </c>
      <c r="AK512" s="1"/>
      <c r="AL512" s="1" t="s">
        <v>111</v>
      </c>
      <c r="AM512" s="1"/>
      <c r="AN512" s="1" t="s">
        <v>111</v>
      </c>
      <c r="AO512" s="1"/>
      <c r="AP512" s="1" t="s">
        <v>205</v>
      </c>
      <c r="AQ512" s="1" t="s">
        <v>111</v>
      </c>
    </row>
    <row r="513" spans="1:43" x14ac:dyDescent="0.25">
      <c r="A513" s="1">
        <v>173</v>
      </c>
      <c r="B513" s="1" t="s">
        <v>256</v>
      </c>
      <c r="C513" s="1" t="s">
        <v>103</v>
      </c>
      <c r="D513" s="1" t="s">
        <v>418</v>
      </c>
      <c r="E513" s="1" t="s">
        <v>234</v>
      </c>
      <c r="F513" s="1" t="s">
        <v>106</v>
      </c>
      <c r="G513" s="1" t="s">
        <v>107</v>
      </c>
      <c r="H513" s="1" t="s">
        <v>108</v>
      </c>
      <c r="I513" s="1">
        <v>33.798000000000002</v>
      </c>
      <c r="J513" s="1">
        <v>33.898000000000003</v>
      </c>
      <c r="K513" s="1">
        <v>0.83199999999999996</v>
      </c>
      <c r="L513" s="1"/>
      <c r="M513" s="1"/>
      <c r="N513" s="1"/>
      <c r="O513" s="1"/>
      <c r="P513" s="1"/>
      <c r="Q513" s="1"/>
      <c r="R513" s="1"/>
      <c r="S513" s="1" t="s">
        <v>109</v>
      </c>
      <c r="T513" s="1">
        <v>0.36299999999999999</v>
      </c>
      <c r="U513" s="1" t="s">
        <v>109</v>
      </c>
      <c r="V513" s="1">
        <v>3</v>
      </c>
      <c r="W513" s="1">
        <v>28</v>
      </c>
      <c r="X513" s="1" t="s">
        <v>110</v>
      </c>
      <c r="Y513" s="1"/>
      <c r="Z513" s="1">
        <v>0.97799999999999998</v>
      </c>
      <c r="AA513" s="1" t="s">
        <v>111</v>
      </c>
      <c r="AB513" s="1" t="s">
        <v>111</v>
      </c>
      <c r="AC513" s="1" t="s">
        <v>111</v>
      </c>
      <c r="AD513" s="1" t="s">
        <v>111</v>
      </c>
      <c r="AE513" s="1" t="s">
        <v>111</v>
      </c>
      <c r="AF513" s="1" t="s">
        <v>111</v>
      </c>
      <c r="AG513" s="1" t="s">
        <v>205</v>
      </c>
      <c r="AH513" s="1" t="s">
        <v>205</v>
      </c>
      <c r="AI513" s="1">
        <v>88.551000000000002</v>
      </c>
      <c r="AJ513" s="1" t="s">
        <v>111</v>
      </c>
      <c r="AK513" s="1">
        <v>64.513999999999996</v>
      </c>
      <c r="AL513" s="1" t="s">
        <v>111</v>
      </c>
      <c r="AM513" s="1">
        <v>84.263000000000005</v>
      </c>
      <c r="AN513" s="1" t="s">
        <v>111</v>
      </c>
      <c r="AO513" s="1"/>
      <c r="AP513" s="1" t="s">
        <v>111</v>
      </c>
      <c r="AQ513" s="1" t="s">
        <v>111</v>
      </c>
    </row>
    <row r="514" spans="1:43" x14ac:dyDescent="0.25">
      <c r="A514" s="1">
        <v>174</v>
      </c>
      <c r="B514" s="1" t="s">
        <v>257</v>
      </c>
      <c r="C514" s="1" t="s">
        <v>103</v>
      </c>
      <c r="D514" s="1" t="s">
        <v>418</v>
      </c>
      <c r="E514" s="1" t="s">
        <v>234</v>
      </c>
      <c r="F514" s="1" t="s">
        <v>106</v>
      </c>
      <c r="G514" s="1" t="s">
        <v>107</v>
      </c>
      <c r="H514" s="1" t="s">
        <v>108</v>
      </c>
      <c r="I514" s="1">
        <v>32.865000000000002</v>
      </c>
      <c r="J514" s="1">
        <v>33.898000000000003</v>
      </c>
      <c r="K514" s="1">
        <v>0.83199999999999996</v>
      </c>
      <c r="L514" s="1"/>
      <c r="M514" s="1"/>
      <c r="N514" s="1"/>
      <c r="O514" s="1"/>
      <c r="P514" s="1"/>
      <c r="Q514" s="1"/>
      <c r="R514" s="1"/>
      <c r="S514" s="1" t="s">
        <v>109</v>
      </c>
      <c r="T514" s="1">
        <v>0.36299999999999999</v>
      </c>
      <c r="U514" s="1" t="s">
        <v>109</v>
      </c>
      <c r="V514" s="1">
        <v>3</v>
      </c>
      <c r="W514" s="1">
        <v>26</v>
      </c>
      <c r="X514" s="1" t="s">
        <v>110</v>
      </c>
      <c r="Y514" s="1"/>
      <c r="Z514" s="1">
        <v>0.98</v>
      </c>
      <c r="AA514" s="1" t="s">
        <v>111</v>
      </c>
      <c r="AB514" s="1" t="s">
        <v>111</v>
      </c>
      <c r="AC514" s="1" t="s">
        <v>111</v>
      </c>
      <c r="AD514" s="1" t="s">
        <v>111</v>
      </c>
      <c r="AE514" s="1" t="s">
        <v>111</v>
      </c>
      <c r="AF514" s="1" t="s">
        <v>111</v>
      </c>
      <c r="AG514" s="1" t="s">
        <v>205</v>
      </c>
      <c r="AH514" s="1" t="s">
        <v>205</v>
      </c>
      <c r="AI514" s="1">
        <v>88.551000000000002</v>
      </c>
      <c r="AJ514" s="1" t="s">
        <v>111</v>
      </c>
      <c r="AK514" s="1">
        <v>84.376000000000005</v>
      </c>
      <c r="AL514" s="1" t="s">
        <v>111</v>
      </c>
      <c r="AM514" s="1"/>
      <c r="AN514" s="1" t="s">
        <v>111</v>
      </c>
      <c r="AO514" s="1"/>
      <c r="AP514" s="1" t="s">
        <v>111</v>
      </c>
      <c r="AQ514" s="1" t="s">
        <v>111</v>
      </c>
    </row>
    <row r="515" spans="1:43" x14ac:dyDescent="0.25">
      <c r="A515" s="1">
        <v>175</v>
      </c>
      <c r="B515" s="1" t="s">
        <v>258</v>
      </c>
      <c r="C515" s="1" t="s">
        <v>103</v>
      </c>
      <c r="D515" s="1" t="s">
        <v>419</v>
      </c>
      <c r="E515" s="1" t="s">
        <v>234</v>
      </c>
      <c r="F515" s="1" t="s">
        <v>106</v>
      </c>
      <c r="G515" s="1" t="s">
        <v>107</v>
      </c>
      <c r="H515" s="1" t="s">
        <v>108</v>
      </c>
      <c r="I515" s="1">
        <v>33.906999999999996</v>
      </c>
      <c r="J515" s="1">
        <v>34.447000000000003</v>
      </c>
      <c r="K515" s="1">
        <v>0.76500000000000001</v>
      </c>
      <c r="L515" s="1"/>
      <c r="M515" s="1"/>
      <c r="N515" s="1"/>
      <c r="O515" s="1"/>
      <c r="P515" s="1"/>
      <c r="Q515" s="1"/>
      <c r="R515" s="1"/>
      <c r="S515" s="1" t="s">
        <v>109</v>
      </c>
      <c r="T515" s="1">
        <v>0.36299999999999999</v>
      </c>
      <c r="U515" s="1" t="s">
        <v>109</v>
      </c>
      <c r="V515" s="1">
        <v>3</v>
      </c>
      <c r="W515" s="1">
        <v>27</v>
      </c>
      <c r="X515" s="1" t="s">
        <v>110</v>
      </c>
      <c r="Y515" s="1"/>
      <c r="Z515" s="1">
        <v>0.98</v>
      </c>
      <c r="AA515" s="1" t="s">
        <v>111</v>
      </c>
      <c r="AB515" s="1" t="s">
        <v>111</v>
      </c>
      <c r="AC515" s="1" t="s">
        <v>111</v>
      </c>
      <c r="AD515" s="1" t="s">
        <v>111</v>
      </c>
      <c r="AE515" s="1" t="s">
        <v>111</v>
      </c>
      <c r="AF515" s="1" t="s">
        <v>111</v>
      </c>
      <c r="AG515" s="1" t="s">
        <v>205</v>
      </c>
      <c r="AH515" s="1" t="s">
        <v>205</v>
      </c>
      <c r="AI515" s="1">
        <v>88.551000000000002</v>
      </c>
      <c r="AJ515" s="1" t="s">
        <v>111</v>
      </c>
      <c r="AK515" s="1">
        <v>84.376000000000005</v>
      </c>
      <c r="AL515" s="1" t="s">
        <v>111</v>
      </c>
      <c r="AM515" s="1"/>
      <c r="AN515" s="1" t="s">
        <v>111</v>
      </c>
      <c r="AO515" s="1"/>
      <c r="AP515" s="1" t="s">
        <v>111</v>
      </c>
      <c r="AQ515" s="1" t="s">
        <v>111</v>
      </c>
    </row>
    <row r="516" spans="1:43" x14ac:dyDescent="0.25">
      <c r="A516" s="1">
        <v>176</v>
      </c>
      <c r="B516" s="1" t="s">
        <v>259</v>
      </c>
      <c r="C516" s="1" t="s">
        <v>103</v>
      </c>
      <c r="D516" s="1" t="s">
        <v>419</v>
      </c>
      <c r="E516" s="1" t="s">
        <v>234</v>
      </c>
      <c r="F516" s="1" t="s">
        <v>106</v>
      </c>
      <c r="G516" s="1" t="s">
        <v>107</v>
      </c>
      <c r="H516" s="1" t="s">
        <v>108</v>
      </c>
      <c r="I516" s="1" t="s">
        <v>235</v>
      </c>
      <c r="J516" s="1">
        <v>34.447000000000003</v>
      </c>
      <c r="K516" s="1">
        <v>0.76500000000000001</v>
      </c>
      <c r="L516" s="1"/>
      <c r="M516" s="1"/>
      <c r="N516" s="1"/>
      <c r="O516" s="1"/>
      <c r="P516" s="1"/>
      <c r="Q516" s="1"/>
      <c r="R516" s="1"/>
      <c r="S516" s="1" t="s">
        <v>109</v>
      </c>
      <c r="T516" s="1">
        <v>0.36299999999999999</v>
      </c>
      <c r="U516" s="1" t="s">
        <v>109</v>
      </c>
      <c r="V516" s="1">
        <v>3</v>
      </c>
      <c r="W516" s="1">
        <v>39</v>
      </c>
      <c r="X516" s="1" t="s">
        <v>236</v>
      </c>
      <c r="Y516" s="1"/>
      <c r="Z516" s="1">
        <v>0</v>
      </c>
      <c r="AA516" s="1" t="s">
        <v>205</v>
      </c>
      <c r="AB516" s="1" t="s">
        <v>205</v>
      </c>
      <c r="AC516" s="1" t="s">
        <v>111</v>
      </c>
      <c r="AD516" s="1" t="s">
        <v>111</v>
      </c>
      <c r="AE516" s="1" t="s">
        <v>111</v>
      </c>
      <c r="AF516" s="1" t="s">
        <v>111</v>
      </c>
      <c r="AG516" s="1" t="s">
        <v>111</v>
      </c>
      <c r="AH516" s="1" t="s">
        <v>111</v>
      </c>
      <c r="AI516" s="1">
        <v>60</v>
      </c>
      <c r="AJ516" s="1" t="s">
        <v>111</v>
      </c>
      <c r="AK516" s="1"/>
      <c r="AL516" s="1" t="s">
        <v>111</v>
      </c>
      <c r="AM516" s="1"/>
      <c r="AN516" s="1" t="s">
        <v>111</v>
      </c>
      <c r="AO516" s="1"/>
      <c r="AP516" s="1" t="s">
        <v>205</v>
      </c>
      <c r="AQ516" s="1" t="s">
        <v>111</v>
      </c>
    </row>
    <row r="517" spans="1:43" x14ac:dyDescent="0.25">
      <c r="A517" s="1">
        <v>177</v>
      </c>
      <c r="B517" s="1" t="s">
        <v>260</v>
      </c>
      <c r="C517" s="1" t="s">
        <v>103</v>
      </c>
      <c r="D517" s="1" t="s">
        <v>420</v>
      </c>
      <c r="E517" s="1" t="s">
        <v>234</v>
      </c>
      <c r="F517" s="1" t="s">
        <v>106</v>
      </c>
      <c r="G517" s="1" t="s">
        <v>107</v>
      </c>
      <c r="H517" s="1" t="s">
        <v>108</v>
      </c>
      <c r="I517" s="1">
        <v>33.174999999999997</v>
      </c>
      <c r="J517" s="1">
        <v>32.231000000000002</v>
      </c>
      <c r="K517" s="1">
        <v>0.65700000000000003</v>
      </c>
      <c r="L517" s="1"/>
      <c r="M517" s="1"/>
      <c r="N517" s="1"/>
      <c r="O517" s="1"/>
      <c r="P517" s="1"/>
      <c r="Q517" s="1"/>
      <c r="R517" s="1"/>
      <c r="S517" s="1" t="s">
        <v>109</v>
      </c>
      <c r="T517" s="1">
        <v>0.36299999999999999</v>
      </c>
      <c r="U517" s="1" t="s">
        <v>109</v>
      </c>
      <c r="V517" s="1">
        <v>3</v>
      </c>
      <c r="W517" s="1">
        <v>27</v>
      </c>
      <c r="X517" s="1" t="s">
        <v>110</v>
      </c>
      <c r="Y517" s="1"/>
      <c r="Z517" s="1">
        <v>0.98199999999999998</v>
      </c>
      <c r="AA517" s="1" t="s">
        <v>111</v>
      </c>
      <c r="AB517" s="1" t="s">
        <v>111</v>
      </c>
      <c r="AC517" s="1" t="s">
        <v>111</v>
      </c>
      <c r="AD517" s="1" t="s">
        <v>111</v>
      </c>
      <c r="AE517" s="1" t="s">
        <v>111</v>
      </c>
      <c r="AF517" s="1" t="s">
        <v>111</v>
      </c>
      <c r="AG517" s="1" t="s">
        <v>205</v>
      </c>
      <c r="AH517" s="1" t="s">
        <v>205</v>
      </c>
      <c r="AI517" s="1">
        <v>88.564999999999998</v>
      </c>
      <c r="AJ517" s="1" t="s">
        <v>111</v>
      </c>
      <c r="AK517" s="1">
        <v>66.775000000000006</v>
      </c>
      <c r="AL517" s="1" t="s">
        <v>111</v>
      </c>
      <c r="AM517" s="1">
        <v>84.388000000000005</v>
      </c>
      <c r="AN517" s="1" t="s">
        <v>111</v>
      </c>
      <c r="AO517" s="1"/>
      <c r="AP517" s="1" t="s">
        <v>111</v>
      </c>
      <c r="AQ517" s="1" t="s">
        <v>111</v>
      </c>
    </row>
    <row r="518" spans="1:43" x14ac:dyDescent="0.25">
      <c r="A518" s="1">
        <v>178</v>
      </c>
      <c r="B518" s="1" t="s">
        <v>261</v>
      </c>
      <c r="C518" s="1" t="s">
        <v>103</v>
      </c>
      <c r="D518" s="1" t="s">
        <v>420</v>
      </c>
      <c r="E518" s="1" t="s">
        <v>234</v>
      </c>
      <c r="F518" s="1" t="s">
        <v>106</v>
      </c>
      <c r="G518" s="1" t="s">
        <v>107</v>
      </c>
      <c r="H518" s="1" t="s">
        <v>108</v>
      </c>
      <c r="I518" s="1">
        <v>31.715</v>
      </c>
      <c r="J518" s="1">
        <v>32.231000000000002</v>
      </c>
      <c r="K518" s="1">
        <v>0.65700000000000003</v>
      </c>
      <c r="L518" s="1"/>
      <c r="M518" s="1"/>
      <c r="N518" s="1"/>
      <c r="O518" s="1"/>
      <c r="P518" s="1"/>
      <c r="Q518" s="1"/>
      <c r="R518" s="1"/>
      <c r="S518" s="1" t="s">
        <v>109</v>
      </c>
      <c r="T518" s="1">
        <v>0.36299999999999999</v>
      </c>
      <c r="U518" s="1" t="s">
        <v>109</v>
      </c>
      <c r="V518" s="1">
        <v>3</v>
      </c>
      <c r="W518" s="1">
        <v>25</v>
      </c>
      <c r="X518" s="1" t="s">
        <v>110</v>
      </c>
      <c r="Y518" s="1"/>
      <c r="Z518" s="1">
        <v>0.98799999999999999</v>
      </c>
      <c r="AA518" s="1" t="s">
        <v>111</v>
      </c>
      <c r="AB518" s="1" t="s">
        <v>111</v>
      </c>
      <c r="AC518" s="1" t="s">
        <v>111</v>
      </c>
      <c r="AD518" s="1" t="s">
        <v>111</v>
      </c>
      <c r="AE518" s="1" t="s">
        <v>111</v>
      </c>
      <c r="AF518" s="1" t="s">
        <v>111</v>
      </c>
      <c r="AG518" s="1" t="s">
        <v>205</v>
      </c>
      <c r="AH518" s="1" t="s">
        <v>205</v>
      </c>
      <c r="AI518" s="1">
        <v>88.564999999999998</v>
      </c>
      <c r="AJ518" s="1" t="s">
        <v>111</v>
      </c>
      <c r="AK518" s="1">
        <v>84.388000000000005</v>
      </c>
      <c r="AL518" s="1" t="s">
        <v>111</v>
      </c>
      <c r="AM518" s="1"/>
      <c r="AN518" s="1" t="s">
        <v>111</v>
      </c>
      <c r="AO518" s="1"/>
      <c r="AP518" s="1" t="s">
        <v>111</v>
      </c>
      <c r="AQ518" s="1" t="s">
        <v>111</v>
      </c>
    </row>
    <row r="519" spans="1:43" x14ac:dyDescent="0.25">
      <c r="A519" s="1">
        <v>179</v>
      </c>
      <c r="B519" s="1" t="s">
        <v>262</v>
      </c>
      <c r="C519" s="1" t="s">
        <v>103</v>
      </c>
      <c r="D519" s="1" t="s">
        <v>421</v>
      </c>
      <c r="E519" s="1" t="s">
        <v>234</v>
      </c>
      <c r="F519" s="1" t="s">
        <v>106</v>
      </c>
      <c r="G519" s="1" t="s">
        <v>107</v>
      </c>
      <c r="H519" s="1" t="s">
        <v>108</v>
      </c>
      <c r="I519" s="1">
        <v>31.654</v>
      </c>
      <c r="J519" s="1">
        <v>31.696999999999999</v>
      </c>
      <c r="K519" s="1">
        <v>7.8E-2</v>
      </c>
      <c r="L519" s="1"/>
      <c r="M519" s="1"/>
      <c r="N519" s="1"/>
      <c r="O519" s="1"/>
      <c r="P519" s="1"/>
      <c r="Q519" s="1"/>
      <c r="R519" s="1"/>
      <c r="S519" s="1" t="s">
        <v>109</v>
      </c>
      <c r="T519" s="1">
        <v>0.36299999999999999</v>
      </c>
      <c r="U519" s="1" t="s">
        <v>109</v>
      </c>
      <c r="V519" s="1">
        <v>3</v>
      </c>
      <c r="W519" s="1">
        <v>25</v>
      </c>
      <c r="X519" s="1" t="s">
        <v>110</v>
      </c>
      <c r="Y519" s="1"/>
      <c r="Z519" s="1">
        <v>0.98599999999999999</v>
      </c>
      <c r="AA519" s="1" t="s">
        <v>111</v>
      </c>
      <c r="AB519" s="1" t="s">
        <v>111</v>
      </c>
      <c r="AC519" s="1" t="s">
        <v>111</v>
      </c>
      <c r="AD519" s="1" t="s">
        <v>111</v>
      </c>
      <c r="AE519" s="1" t="s">
        <v>111</v>
      </c>
      <c r="AF519" s="1" t="s">
        <v>111</v>
      </c>
      <c r="AG519" s="1" t="s">
        <v>111</v>
      </c>
      <c r="AH519" s="1" t="s">
        <v>205</v>
      </c>
      <c r="AI519" s="1">
        <v>88.564999999999998</v>
      </c>
      <c r="AJ519" s="1" t="s">
        <v>111</v>
      </c>
      <c r="AK519" s="1">
        <v>84.501000000000005</v>
      </c>
      <c r="AL519" s="1" t="s">
        <v>111</v>
      </c>
      <c r="AM519" s="1"/>
      <c r="AN519" s="1" t="s">
        <v>111</v>
      </c>
      <c r="AO519" s="1"/>
      <c r="AP519" s="1" t="s">
        <v>111</v>
      </c>
      <c r="AQ519" s="1" t="s">
        <v>111</v>
      </c>
    </row>
    <row r="520" spans="1:43" x14ac:dyDescent="0.25">
      <c r="A520" s="1">
        <v>180</v>
      </c>
      <c r="B520" s="1" t="s">
        <v>263</v>
      </c>
      <c r="C520" s="1" t="s">
        <v>103</v>
      </c>
      <c r="D520" s="1" t="s">
        <v>421</v>
      </c>
      <c r="E520" s="1" t="s">
        <v>234</v>
      </c>
      <c r="F520" s="1" t="s">
        <v>106</v>
      </c>
      <c r="G520" s="1" t="s">
        <v>107</v>
      </c>
      <c r="H520" s="1" t="s">
        <v>108</v>
      </c>
      <c r="I520" s="1">
        <v>31.686</v>
      </c>
      <c r="J520" s="1">
        <v>31.696999999999999</v>
      </c>
      <c r="K520" s="1">
        <v>7.8E-2</v>
      </c>
      <c r="L520" s="1"/>
      <c r="M520" s="1"/>
      <c r="N520" s="1"/>
      <c r="O520" s="1"/>
      <c r="P520" s="1"/>
      <c r="Q520" s="1"/>
      <c r="R520" s="1"/>
      <c r="S520" s="1" t="s">
        <v>109</v>
      </c>
      <c r="T520" s="1">
        <v>0.36299999999999999</v>
      </c>
      <c r="U520" s="1" t="s">
        <v>109</v>
      </c>
      <c r="V520" s="1">
        <v>3</v>
      </c>
      <c r="W520" s="1">
        <v>26</v>
      </c>
      <c r="X520" s="1" t="s">
        <v>110</v>
      </c>
      <c r="Y520" s="1"/>
      <c r="Z520" s="1">
        <v>0.98599999999999999</v>
      </c>
      <c r="AA520" s="1" t="s">
        <v>111</v>
      </c>
      <c r="AB520" s="1" t="s">
        <v>111</v>
      </c>
      <c r="AC520" s="1" t="s">
        <v>111</v>
      </c>
      <c r="AD520" s="1" t="s">
        <v>111</v>
      </c>
      <c r="AE520" s="1" t="s">
        <v>111</v>
      </c>
      <c r="AF520" s="1" t="s">
        <v>111</v>
      </c>
      <c r="AG520" s="1" t="s">
        <v>111</v>
      </c>
      <c r="AH520" s="1" t="s">
        <v>205</v>
      </c>
      <c r="AI520" s="1">
        <v>88.564999999999998</v>
      </c>
      <c r="AJ520" s="1" t="s">
        <v>111</v>
      </c>
      <c r="AK520" s="1">
        <v>84.388000000000005</v>
      </c>
      <c r="AL520" s="1" t="s">
        <v>111</v>
      </c>
      <c r="AM520" s="1"/>
      <c r="AN520" s="1" t="s">
        <v>111</v>
      </c>
      <c r="AO520" s="1"/>
      <c r="AP520" s="1" t="s">
        <v>111</v>
      </c>
      <c r="AQ520" s="1" t="s">
        <v>111</v>
      </c>
    </row>
    <row r="521" spans="1:43" x14ac:dyDescent="0.25">
      <c r="A521" s="1">
        <v>185</v>
      </c>
      <c r="B521" s="1" t="s">
        <v>264</v>
      </c>
      <c r="C521" s="1" t="s">
        <v>103</v>
      </c>
      <c r="D521" s="1" t="s">
        <v>420</v>
      </c>
      <c r="E521" s="1" t="s">
        <v>204</v>
      </c>
      <c r="F521" s="1" t="s">
        <v>106</v>
      </c>
      <c r="G521" s="1" t="s">
        <v>107</v>
      </c>
      <c r="H521" s="1" t="s">
        <v>108</v>
      </c>
      <c r="I521" s="1">
        <v>28.282</v>
      </c>
      <c r="J521" s="1">
        <v>28.295000000000002</v>
      </c>
      <c r="K521" s="1">
        <v>0.115</v>
      </c>
      <c r="L521" s="1"/>
      <c r="M521" s="1"/>
      <c r="N521" s="1"/>
      <c r="O521" s="1"/>
      <c r="P521" s="1"/>
      <c r="Q521" s="1"/>
      <c r="R521" s="1"/>
      <c r="S521" s="1" t="s">
        <v>109</v>
      </c>
      <c r="T521" s="1">
        <v>0.29399999999999998</v>
      </c>
      <c r="U521" s="1" t="s">
        <v>109</v>
      </c>
      <c r="V521" s="1">
        <v>3</v>
      </c>
      <c r="W521" s="1">
        <v>22</v>
      </c>
      <c r="X521" s="1" t="s">
        <v>110</v>
      </c>
      <c r="Y521" s="1"/>
      <c r="Z521" s="1">
        <v>0.98599999999999999</v>
      </c>
      <c r="AA521" s="1" t="s">
        <v>111</v>
      </c>
      <c r="AB521" s="1" t="s">
        <v>111</v>
      </c>
      <c r="AC521" s="1" t="s">
        <v>111</v>
      </c>
      <c r="AD521" s="1" t="s">
        <v>111</v>
      </c>
      <c r="AE521" s="1" t="s">
        <v>111</v>
      </c>
      <c r="AF521" s="1" t="s">
        <v>111</v>
      </c>
      <c r="AG521" s="1" t="s">
        <v>111</v>
      </c>
      <c r="AH521" s="1" t="s">
        <v>111</v>
      </c>
      <c r="AI521" s="1">
        <v>80.427999999999997</v>
      </c>
      <c r="AJ521" s="1" t="s">
        <v>111</v>
      </c>
      <c r="AK521" s="1"/>
      <c r="AL521" s="1" t="s">
        <v>111</v>
      </c>
      <c r="AM521" s="1"/>
      <c r="AN521" s="1" t="s">
        <v>111</v>
      </c>
      <c r="AO521" s="1"/>
      <c r="AP521" s="1" t="s">
        <v>111</v>
      </c>
      <c r="AQ521" s="1" t="s">
        <v>111</v>
      </c>
    </row>
    <row r="522" spans="1:43" x14ac:dyDescent="0.25">
      <c r="A522" s="1">
        <v>186</v>
      </c>
      <c r="B522" s="1" t="s">
        <v>265</v>
      </c>
      <c r="C522" s="1" t="s">
        <v>103</v>
      </c>
      <c r="D522" s="1" t="s">
        <v>420</v>
      </c>
      <c r="E522" s="1" t="s">
        <v>204</v>
      </c>
      <c r="F522" s="1" t="s">
        <v>106</v>
      </c>
      <c r="G522" s="1" t="s">
        <v>107</v>
      </c>
      <c r="H522" s="1" t="s">
        <v>108</v>
      </c>
      <c r="I522" s="1">
        <v>28.245999999999999</v>
      </c>
      <c r="J522" s="1">
        <v>28.295000000000002</v>
      </c>
      <c r="K522" s="1">
        <v>0.115</v>
      </c>
      <c r="L522" s="1"/>
      <c r="M522" s="1"/>
      <c r="N522" s="1"/>
      <c r="O522" s="1"/>
      <c r="P522" s="1"/>
      <c r="Q522" s="1"/>
      <c r="R522" s="1"/>
      <c r="S522" s="1" t="s">
        <v>109</v>
      </c>
      <c r="T522" s="1">
        <v>0.29399999999999998</v>
      </c>
      <c r="U522" s="1" t="s">
        <v>109</v>
      </c>
      <c r="V522" s="1">
        <v>3</v>
      </c>
      <c r="W522" s="1">
        <v>23</v>
      </c>
      <c r="X522" s="1" t="s">
        <v>110</v>
      </c>
      <c r="Y522" s="1"/>
      <c r="Z522" s="1">
        <v>0.98399999999999999</v>
      </c>
      <c r="AA522" s="1" t="s">
        <v>111</v>
      </c>
      <c r="AB522" s="1" t="s">
        <v>111</v>
      </c>
      <c r="AC522" s="1" t="s">
        <v>111</v>
      </c>
      <c r="AD522" s="1" t="s">
        <v>111</v>
      </c>
      <c r="AE522" s="1" t="s">
        <v>111</v>
      </c>
      <c r="AF522" s="1" t="s">
        <v>111</v>
      </c>
      <c r="AG522" s="1" t="s">
        <v>111</v>
      </c>
      <c r="AH522" s="1" t="s">
        <v>111</v>
      </c>
      <c r="AI522" s="1">
        <v>80.427999999999997</v>
      </c>
      <c r="AJ522" s="1" t="s">
        <v>111</v>
      </c>
      <c r="AK522" s="1"/>
      <c r="AL522" s="1" t="s">
        <v>111</v>
      </c>
      <c r="AM522" s="1"/>
      <c r="AN522" s="1" t="s">
        <v>111</v>
      </c>
      <c r="AO522" s="1"/>
      <c r="AP522" s="1" t="s">
        <v>111</v>
      </c>
      <c r="AQ522" s="1" t="s">
        <v>111</v>
      </c>
    </row>
    <row r="523" spans="1:43" x14ac:dyDescent="0.25">
      <c r="A523" s="1">
        <v>187</v>
      </c>
      <c r="B523" s="1" t="s">
        <v>266</v>
      </c>
      <c r="C523" s="1" t="s">
        <v>103</v>
      </c>
      <c r="D523" s="1" t="s">
        <v>421</v>
      </c>
      <c r="E523" s="1" t="s">
        <v>204</v>
      </c>
      <c r="F523" s="1" t="s">
        <v>106</v>
      </c>
      <c r="G523" s="1" t="s">
        <v>107</v>
      </c>
      <c r="H523" s="1" t="s">
        <v>108</v>
      </c>
      <c r="I523" s="1">
        <v>27.725000000000001</v>
      </c>
      <c r="J523" s="1">
        <v>27.603999999999999</v>
      </c>
      <c r="K523" s="1">
        <v>0.223</v>
      </c>
      <c r="L523" s="1"/>
      <c r="M523" s="1"/>
      <c r="N523" s="1"/>
      <c r="O523" s="1"/>
      <c r="P523" s="1"/>
      <c r="Q523" s="1"/>
      <c r="R523" s="1"/>
      <c r="S523" s="1" t="s">
        <v>109</v>
      </c>
      <c r="T523" s="1">
        <v>0.29399999999999998</v>
      </c>
      <c r="U523" s="1" t="s">
        <v>109</v>
      </c>
      <c r="V523" s="1">
        <v>3</v>
      </c>
      <c r="W523" s="1">
        <v>22</v>
      </c>
      <c r="X523" s="1" t="s">
        <v>110</v>
      </c>
      <c r="Y523" s="1"/>
      <c r="Z523" s="1">
        <v>0.98399999999999999</v>
      </c>
      <c r="AA523" s="1" t="s">
        <v>111</v>
      </c>
      <c r="AB523" s="1" t="s">
        <v>111</v>
      </c>
      <c r="AC523" s="1" t="s">
        <v>111</v>
      </c>
      <c r="AD523" s="1" t="s">
        <v>111</v>
      </c>
      <c r="AE523" s="1" t="s">
        <v>111</v>
      </c>
      <c r="AF523" s="1" t="s">
        <v>111</v>
      </c>
      <c r="AG523" s="1" t="s">
        <v>111</v>
      </c>
      <c r="AH523" s="1" t="s">
        <v>111</v>
      </c>
      <c r="AI523" s="1">
        <v>80.427999999999997</v>
      </c>
      <c r="AJ523" s="1" t="s">
        <v>111</v>
      </c>
      <c r="AK523" s="1"/>
      <c r="AL523" s="1" t="s">
        <v>111</v>
      </c>
      <c r="AM523" s="1"/>
      <c r="AN523" s="1" t="s">
        <v>111</v>
      </c>
      <c r="AO523" s="1"/>
      <c r="AP523" s="1" t="s">
        <v>111</v>
      </c>
      <c r="AQ523" s="1" t="s">
        <v>111</v>
      </c>
    </row>
    <row r="524" spans="1:43" x14ac:dyDescent="0.25">
      <c r="A524" s="1">
        <v>188</v>
      </c>
      <c r="B524" s="1" t="s">
        <v>267</v>
      </c>
      <c r="C524" s="1" t="s">
        <v>103</v>
      </c>
      <c r="D524" s="1" t="s">
        <v>421</v>
      </c>
      <c r="E524" s="1" t="s">
        <v>204</v>
      </c>
      <c r="F524" s="1" t="s">
        <v>106</v>
      </c>
      <c r="G524" s="1" t="s">
        <v>107</v>
      </c>
      <c r="H524" s="1" t="s">
        <v>108</v>
      </c>
      <c r="I524" s="1">
        <v>27.303999999999998</v>
      </c>
      <c r="J524" s="1">
        <v>27.603999999999999</v>
      </c>
      <c r="K524" s="1">
        <v>0.223</v>
      </c>
      <c r="L524" s="1"/>
      <c r="M524" s="1"/>
      <c r="N524" s="1"/>
      <c r="O524" s="1"/>
      <c r="P524" s="1"/>
      <c r="Q524" s="1"/>
      <c r="R524" s="1"/>
      <c r="S524" s="1" t="s">
        <v>109</v>
      </c>
      <c r="T524" s="1">
        <v>0.29399999999999998</v>
      </c>
      <c r="U524" s="1" t="s">
        <v>109</v>
      </c>
      <c r="V524" s="1">
        <v>3</v>
      </c>
      <c r="W524" s="1">
        <v>21</v>
      </c>
      <c r="X524" s="1" t="s">
        <v>110</v>
      </c>
      <c r="Y524" s="1"/>
      <c r="Z524" s="1">
        <v>0.99199999999999999</v>
      </c>
      <c r="AA524" s="1" t="s">
        <v>111</v>
      </c>
      <c r="AB524" s="1" t="s">
        <v>111</v>
      </c>
      <c r="AC524" s="1" t="s">
        <v>111</v>
      </c>
      <c r="AD524" s="1" t="s">
        <v>111</v>
      </c>
      <c r="AE524" s="1" t="s">
        <v>111</v>
      </c>
      <c r="AF524" s="1" t="s">
        <v>111</v>
      </c>
      <c r="AG524" s="1" t="s">
        <v>111</v>
      </c>
      <c r="AH524" s="1" t="s">
        <v>111</v>
      </c>
      <c r="AI524" s="1">
        <v>80.427999999999997</v>
      </c>
      <c r="AJ524" s="1" t="s">
        <v>111</v>
      </c>
      <c r="AK524" s="1"/>
      <c r="AL524" s="1" t="s">
        <v>111</v>
      </c>
      <c r="AM524" s="1"/>
      <c r="AN524" s="1" t="s">
        <v>111</v>
      </c>
      <c r="AO524" s="1"/>
      <c r="AP524" s="1" t="s">
        <v>111</v>
      </c>
      <c r="AQ524" s="1" t="s">
        <v>111</v>
      </c>
    </row>
    <row r="525" spans="1:43" x14ac:dyDescent="0.25">
      <c r="A525" s="1">
        <v>193</v>
      </c>
      <c r="B525" s="1" t="s">
        <v>268</v>
      </c>
      <c r="C525" s="1" t="s">
        <v>103</v>
      </c>
      <c r="D525" s="1" t="s">
        <v>416</v>
      </c>
      <c r="E525" s="1" t="s">
        <v>269</v>
      </c>
      <c r="F525" s="1" t="s">
        <v>106</v>
      </c>
      <c r="G525" s="1" t="s">
        <v>107</v>
      </c>
      <c r="H525" s="1" t="s">
        <v>108</v>
      </c>
      <c r="I525" s="1">
        <v>32.683999999999997</v>
      </c>
      <c r="J525" s="1">
        <v>32.097999999999999</v>
      </c>
      <c r="K525" s="1">
        <v>0.54</v>
      </c>
      <c r="L525" s="1"/>
      <c r="M525" s="1"/>
      <c r="N525" s="1"/>
      <c r="O525" s="1"/>
      <c r="P525" s="1"/>
      <c r="Q525" s="1"/>
      <c r="R525" s="1"/>
      <c r="S525" s="1" t="s">
        <v>109</v>
      </c>
      <c r="T525" s="1">
        <v>0.187</v>
      </c>
      <c r="U525" s="1" t="s">
        <v>109</v>
      </c>
      <c r="V525" s="1">
        <v>3</v>
      </c>
      <c r="W525" s="1">
        <v>27</v>
      </c>
      <c r="X525" s="1" t="s">
        <v>110</v>
      </c>
      <c r="Y525" s="1"/>
      <c r="Z525" s="1">
        <v>0.99199999999999999</v>
      </c>
      <c r="AA525" s="1" t="s">
        <v>111</v>
      </c>
      <c r="AB525" s="1" t="s">
        <v>111</v>
      </c>
      <c r="AC525" s="1" t="s">
        <v>111</v>
      </c>
      <c r="AD525" s="1" t="s">
        <v>111</v>
      </c>
      <c r="AE525" s="1" t="s">
        <v>111</v>
      </c>
      <c r="AF525" s="1" t="s">
        <v>111</v>
      </c>
      <c r="AG525" s="1" t="s">
        <v>205</v>
      </c>
      <c r="AH525" s="1" t="s">
        <v>111</v>
      </c>
      <c r="AI525" s="1">
        <v>82.468999999999994</v>
      </c>
      <c r="AJ525" s="1" t="s">
        <v>111</v>
      </c>
      <c r="AK525" s="1"/>
      <c r="AL525" s="1" t="s">
        <v>111</v>
      </c>
      <c r="AM525" s="1"/>
      <c r="AN525" s="1" t="s">
        <v>111</v>
      </c>
      <c r="AO525" s="1"/>
      <c r="AP525" s="1" t="s">
        <v>111</v>
      </c>
      <c r="AQ525" s="1" t="s">
        <v>111</v>
      </c>
    </row>
    <row r="526" spans="1:43" x14ac:dyDescent="0.25">
      <c r="A526" s="1">
        <v>194</v>
      </c>
      <c r="B526" s="1" t="s">
        <v>270</v>
      </c>
      <c r="C526" s="1" t="s">
        <v>103</v>
      </c>
      <c r="D526" s="1" t="s">
        <v>416</v>
      </c>
      <c r="E526" s="1" t="s">
        <v>269</v>
      </c>
      <c r="F526" s="1" t="s">
        <v>106</v>
      </c>
      <c r="G526" s="1" t="s">
        <v>107</v>
      </c>
      <c r="H526" s="1" t="s">
        <v>108</v>
      </c>
      <c r="I526" s="1">
        <v>31.948</v>
      </c>
      <c r="J526" s="1">
        <v>32.097999999999999</v>
      </c>
      <c r="K526" s="1">
        <v>0.54</v>
      </c>
      <c r="L526" s="1"/>
      <c r="M526" s="1"/>
      <c r="N526" s="1"/>
      <c r="O526" s="1"/>
      <c r="P526" s="1"/>
      <c r="Q526" s="1"/>
      <c r="R526" s="1"/>
      <c r="S526" s="1" t="s">
        <v>109</v>
      </c>
      <c r="T526" s="1">
        <v>0.187</v>
      </c>
      <c r="U526" s="1" t="s">
        <v>109</v>
      </c>
      <c r="V526" s="1">
        <v>3</v>
      </c>
      <c r="W526" s="1">
        <v>27</v>
      </c>
      <c r="X526" s="1" t="s">
        <v>110</v>
      </c>
      <c r="Y526" s="1"/>
      <c r="Z526" s="1">
        <v>0.99299999999999999</v>
      </c>
      <c r="AA526" s="1" t="s">
        <v>111</v>
      </c>
      <c r="AB526" s="1" t="s">
        <v>111</v>
      </c>
      <c r="AC526" s="1" t="s">
        <v>111</v>
      </c>
      <c r="AD526" s="1" t="s">
        <v>111</v>
      </c>
      <c r="AE526" s="1" t="s">
        <v>111</v>
      </c>
      <c r="AF526" s="1" t="s">
        <v>111</v>
      </c>
      <c r="AG526" s="1" t="s">
        <v>205</v>
      </c>
      <c r="AH526" s="1" t="s">
        <v>111</v>
      </c>
      <c r="AI526" s="1">
        <v>82.468999999999994</v>
      </c>
      <c r="AJ526" s="1" t="s">
        <v>111</v>
      </c>
      <c r="AK526" s="1"/>
      <c r="AL526" s="1" t="s">
        <v>111</v>
      </c>
      <c r="AM526" s="1"/>
      <c r="AN526" s="1" t="s">
        <v>111</v>
      </c>
      <c r="AO526" s="1"/>
      <c r="AP526" s="1" t="s">
        <v>111</v>
      </c>
      <c r="AQ526" s="1" t="s">
        <v>111</v>
      </c>
    </row>
    <row r="527" spans="1:43" x14ac:dyDescent="0.25">
      <c r="A527" s="1">
        <v>195</v>
      </c>
      <c r="B527" s="1" t="s">
        <v>271</v>
      </c>
      <c r="C527" s="1" t="s">
        <v>103</v>
      </c>
      <c r="D527" s="1" t="s">
        <v>417</v>
      </c>
      <c r="E527" s="1" t="s">
        <v>269</v>
      </c>
      <c r="F527" s="1" t="s">
        <v>106</v>
      </c>
      <c r="G527" s="1" t="s">
        <v>107</v>
      </c>
      <c r="H527" s="1" t="s">
        <v>108</v>
      </c>
      <c r="I527" s="1">
        <v>31.626999999999999</v>
      </c>
      <c r="J527" s="1">
        <v>31.463999999999999</v>
      </c>
      <c r="K527" s="1">
        <v>0.502</v>
      </c>
      <c r="L527" s="1"/>
      <c r="M527" s="1"/>
      <c r="N527" s="1"/>
      <c r="O527" s="1"/>
      <c r="P527" s="1"/>
      <c r="Q527" s="1"/>
      <c r="R527" s="1"/>
      <c r="S527" s="1" t="s">
        <v>109</v>
      </c>
      <c r="T527" s="1">
        <v>0.187</v>
      </c>
      <c r="U527" s="1" t="s">
        <v>109</v>
      </c>
      <c r="V527" s="1">
        <v>3</v>
      </c>
      <c r="W527" s="1">
        <v>26</v>
      </c>
      <c r="X527" s="1" t="s">
        <v>110</v>
      </c>
      <c r="Y527" s="1"/>
      <c r="Z527" s="1">
        <v>0.99</v>
      </c>
      <c r="AA527" s="1" t="s">
        <v>111</v>
      </c>
      <c r="AB527" s="1" t="s">
        <v>111</v>
      </c>
      <c r="AC527" s="1" t="s">
        <v>111</v>
      </c>
      <c r="AD527" s="1" t="s">
        <v>111</v>
      </c>
      <c r="AE527" s="1" t="s">
        <v>111</v>
      </c>
      <c r="AF527" s="1" t="s">
        <v>111</v>
      </c>
      <c r="AG527" s="1" t="s">
        <v>205</v>
      </c>
      <c r="AH527" s="1" t="s">
        <v>111</v>
      </c>
      <c r="AI527" s="1">
        <v>82.468999999999994</v>
      </c>
      <c r="AJ527" s="1" t="s">
        <v>111</v>
      </c>
      <c r="AK527" s="1"/>
      <c r="AL527" s="1" t="s">
        <v>111</v>
      </c>
      <c r="AM527" s="1"/>
      <c r="AN527" s="1" t="s">
        <v>111</v>
      </c>
      <c r="AO527" s="1"/>
      <c r="AP527" s="1" t="s">
        <v>111</v>
      </c>
      <c r="AQ527" s="1" t="s">
        <v>111</v>
      </c>
    </row>
    <row r="528" spans="1:43" x14ac:dyDescent="0.25">
      <c r="A528" s="1">
        <v>196</v>
      </c>
      <c r="B528" s="1" t="s">
        <v>272</v>
      </c>
      <c r="C528" s="1" t="s">
        <v>103</v>
      </c>
      <c r="D528" s="1" t="s">
        <v>417</v>
      </c>
      <c r="E528" s="1" t="s">
        <v>269</v>
      </c>
      <c r="F528" s="1" t="s">
        <v>106</v>
      </c>
      <c r="G528" s="1" t="s">
        <v>107</v>
      </c>
      <c r="H528" s="1" t="s">
        <v>108</v>
      </c>
      <c r="I528" s="1">
        <v>32.036000000000001</v>
      </c>
      <c r="J528" s="1">
        <v>31.463999999999999</v>
      </c>
      <c r="K528" s="1">
        <v>0.502</v>
      </c>
      <c r="L528" s="1"/>
      <c r="M528" s="1"/>
      <c r="N528" s="1"/>
      <c r="O528" s="1"/>
      <c r="P528" s="1"/>
      <c r="Q528" s="1"/>
      <c r="R528" s="1"/>
      <c r="S528" s="1" t="s">
        <v>109</v>
      </c>
      <c r="T528" s="1">
        <v>0.187</v>
      </c>
      <c r="U528" s="1" t="s">
        <v>109</v>
      </c>
      <c r="V528" s="1">
        <v>3</v>
      </c>
      <c r="W528" s="1">
        <v>27</v>
      </c>
      <c r="X528" s="1" t="s">
        <v>110</v>
      </c>
      <c r="Y528" s="1"/>
      <c r="Z528" s="1">
        <v>0.98699999999999999</v>
      </c>
      <c r="AA528" s="1" t="s">
        <v>111</v>
      </c>
      <c r="AB528" s="1" t="s">
        <v>111</v>
      </c>
      <c r="AC528" s="1" t="s">
        <v>111</v>
      </c>
      <c r="AD528" s="1" t="s">
        <v>111</v>
      </c>
      <c r="AE528" s="1" t="s">
        <v>111</v>
      </c>
      <c r="AF528" s="1" t="s">
        <v>111</v>
      </c>
      <c r="AG528" s="1" t="s">
        <v>205</v>
      </c>
      <c r="AH528" s="1" t="s">
        <v>111</v>
      </c>
      <c r="AI528" s="1">
        <v>82.468999999999994</v>
      </c>
      <c r="AJ528" s="1" t="s">
        <v>111</v>
      </c>
      <c r="AK528" s="1"/>
      <c r="AL528" s="1" t="s">
        <v>111</v>
      </c>
      <c r="AM528" s="1"/>
      <c r="AN528" s="1" t="s">
        <v>111</v>
      </c>
      <c r="AO528" s="1"/>
      <c r="AP528" s="1" t="s">
        <v>111</v>
      </c>
      <c r="AQ528" s="1" t="s">
        <v>111</v>
      </c>
    </row>
    <row r="529" spans="1:43" x14ac:dyDescent="0.25">
      <c r="A529" s="1">
        <v>197</v>
      </c>
      <c r="B529" s="1" t="s">
        <v>273</v>
      </c>
      <c r="C529" s="1" t="s">
        <v>103</v>
      </c>
      <c r="D529" s="1" t="s">
        <v>418</v>
      </c>
      <c r="E529" s="1" t="s">
        <v>269</v>
      </c>
      <c r="F529" s="1" t="s">
        <v>106</v>
      </c>
      <c r="G529" s="1" t="s">
        <v>107</v>
      </c>
      <c r="H529" s="1" t="s">
        <v>108</v>
      </c>
      <c r="I529" s="1">
        <v>24.849</v>
      </c>
      <c r="J529" s="1">
        <v>24.885999999999999</v>
      </c>
      <c r="K529" s="1">
        <v>4.7E-2</v>
      </c>
      <c r="L529" s="1"/>
      <c r="M529" s="1"/>
      <c r="N529" s="1"/>
      <c r="O529" s="1"/>
      <c r="P529" s="1"/>
      <c r="Q529" s="1"/>
      <c r="R529" s="1"/>
      <c r="S529" s="1" t="s">
        <v>109</v>
      </c>
      <c r="T529" s="1">
        <v>0.187</v>
      </c>
      <c r="U529" s="1" t="s">
        <v>109</v>
      </c>
      <c r="V529" s="1">
        <v>3</v>
      </c>
      <c r="W529" s="1">
        <v>19</v>
      </c>
      <c r="X529" s="1" t="s">
        <v>110</v>
      </c>
      <c r="Y529" s="1"/>
      <c r="Z529" s="1">
        <v>0.99099999999999999</v>
      </c>
      <c r="AA529" s="1" t="s">
        <v>111</v>
      </c>
      <c r="AB529" s="1" t="s">
        <v>111</v>
      </c>
      <c r="AC529" s="1" t="s">
        <v>111</v>
      </c>
      <c r="AD529" s="1" t="s">
        <v>111</v>
      </c>
      <c r="AE529" s="1" t="s">
        <v>111</v>
      </c>
      <c r="AF529" s="1" t="s">
        <v>111</v>
      </c>
      <c r="AG529" s="1" t="s">
        <v>111</v>
      </c>
      <c r="AH529" s="1" t="s">
        <v>111</v>
      </c>
      <c r="AI529" s="1">
        <v>82.57</v>
      </c>
      <c r="AJ529" s="1" t="s">
        <v>111</v>
      </c>
      <c r="AK529" s="1"/>
      <c r="AL529" s="1" t="s">
        <v>111</v>
      </c>
      <c r="AM529" s="1"/>
      <c r="AN529" s="1" t="s">
        <v>111</v>
      </c>
      <c r="AO529" s="1"/>
      <c r="AP529" s="1" t="s">
        <v>111</v>
      </c>
      <c r="AQ529" s="1" t="s">
        <v>111</v>
      </c>
    </row>
    <row r="530" spans="1:43" x14ac:dyDescent="0.25">
      <c r="A530" s="1">
        <v>198</v>
      </c>
      <c r="B530" s="1" t="s">
        <v>274</v>
      </c>
      <c r="C530" s="1" t="s">
        <v>103</v>
      </c>
      <c r="D530" s="1" t="s">
        <v>418</v>
      </c>
      <c r="E530" s="1" t="s">
        <v>269</v>
      </c>
      <c r="F530" s="1" t="s">
        <v>106</v>
      </c>
      <c r="G530" s="1" t="s">
        <v>107</v>
      </c>
      <c r="H530" s="1" t="s">
        <v>108</v>
      </c>
      <c r="I530" s="1">
        <v>24.954999999999998</v>
      </c>
      <c r="J530" s="1">
        <v>24.885999999999999</v>
      </c>
      <c r="K530" s="1">
        <v>4.7E-2</v>
      </c>
      <c r="L530" s="1"/>
      <c r="M530" s="1"/>
      <c r="N530" s="1"/>
      <c r="O530" s="1"/>
      <c r="P530" s="1"/>
      <c r="Q530" s="1"/>
      <c r="R530" s="1"/>
      <c r="S530" s="1" t="s">
        <v>109</v>
      </c>
      <c r="T530" s="1">
        <v>0.187</v>
      </c>
      <c r="U530" s="1" t="s">
        <v>109</v>
      </c>
      <c r="V530" s="1">
        <v>3</v>
      </c>
      <c r="W530" s="1">
        <v>20</v>
      </c>
      <c r="X530" s="1" t="s">
        <v>110</v>
      </c>
      <c r="Y530" s="1"/>
      <c r="Z530" s="1">
        <v>0.99399999999999999</v>
      </c>
      <c r="AA530" s="1" t="s">
        <v>111</v>
      </c>
      <c r="AB530" s="1" t="s">
        <v>111</v>
      </c>
      <c r="AC530" s="1" t="s">
        <v>111</v>
      </c>
      <c r="AD530" s="1" t="s">
        <v>111</v>
      </c>
      <c r="AE530" s="1" t="s">
        <v>111</v>
      </c>
      <c r="AF530" s="1" t="s">
        <v>111</v>
      </c>
      <c r="AG530" s="1" t="s">
        <v>111</v>
      </c>
      <c r="AH530" s="1" t="s">
        <v>111</v>
      </c>
      <c r="AI530" s="1">
        <v>82.57</v>
      </c>
      <c r="AJ530" s="1" t="s">
        <v>111</v>
      </c>
      <c r="AK530" s="1"/>
      <c r="AL530" s="1" t="s">
        <v>111</v>
      </c>
      <c r="AM530" s="1"/>
      <c r="AN530" s="1" t="s">
        <v>111</v>
      </c>
      <c r="AO530" s="1"/>
      <c r="AP530" s="1" t="s">
        <v>111</v>
      </c>
      <c r="AQ530" s="1" t="s">
        <v>111</v>
      </c>
    </row>
    <row r="531" spans="1:43" x14ac:dyDescent="0.25">
      <c r="A531" s="1">
        <v>199</v>
      </c>
      <c r="B531" s="1" t="s">
        <v>275</v>
      </c>
      <c r="C531" s="1" t="s">
        <v>103</v>
      </c>
      <c r="D531" s="1" t="s">
        <v>419</v>
      </c>
      <c r="E531" s="1" t="s">
        <v>269</v>
      </c>
      <c r="F531" s="1" t="s">
        <v>106</v>
      </c>
      <c r="G531" s="1" t="s">
        <v>107</v>
      </c>
      <c r="H531" s="1" t="s">
        <v>108</v>
      </c>
      <c r="I531" s="1">
        <v>25.077000000000002</v>
      </c>
      <c r="J531" s="1">
        <v>24.882999999999999</v>
      </c>
      <c r="K531" s="1">
        <v>0.16</v>
      </c>
      <c r="L531" s="1"/>
      <c r="M531" s="1"/>
      <c r="N531" s="1"/>
      <c r="O531" s="1"/>
      <c r="P531" s="1"/>
      <c r="Q531" s="1"/>
      <c r="R531" s="1"/>
      <c r="S531" s="1" t="s">
        <v>109</v>
      </c>
      <c r="T531" s="1">
        <v>0.187</v>
      </c>
      <c r="U531" s="1" t="s">
        <v>109</v>
      </c>
      <c r="V531" s="1">
        <v>3</v>
      </c>
      <c r="W531" s="1">
        <v>20</v>
      </c>
      <c r="X531" s="1" t="s">
        <v>110</v>
      </c>
      <c r="Y531" s="1"/>
      <c r="Z531" s="1">
        <v>0.99199999999999999</v>
      </c>
      <c r="AA531" s="1" t="s">
        <v>111</v>
      </c>
      <c r="AB531" s="1" t="s">
        <v>111</v>
      </c>
      <c r="AC531" s="1" t="s">
        <v>111</v>
      </c>
      <c r="AD531" s="1" t="s">
        <v>111</v>
      </c>
      <c r="AE531" s="1" t="s">
        <v>111</v>
      </c>
      <c r="AF531" s="1" t="s">
        <v>111</v>
      </c>
      <c r="AG531" s="1" t="s">
        <v>111</v>
      </c>
      <c r="AH531" s="1" t="s">
        <v>111</v>
      </c>
      <c r="AI531" s="1">
        <v>82.57</v>
      </c>
      <c r="AJ531" s="1" t="s">
        <v>111</v>
      </c>
      <c r="AK531" s="1"/>
      <c r="AL531" s="1" t="s">
        <v>111</v>
      </c>
      <c r="AM531" s="1"/>
      <c r="AN531" s="1" t="s">
        <v>111</v>
      </c>
      <c r="AO531" s="1"/>
      <c r="AP531" s="1" t="s">
        <v>111</v>
      </c>
      <c r="AQ531" s="1" t="s">
        <v>111</v>
      </c>
    </row>
    <row r="532" spans="1:43" x14ac:dyDescent="0.25">
      <c r="A532" s="1">
        <v>200</v>
      </c>
      <c r="B532" s="1" t="s">
        <v>276</v>
      </c>
      <c r="C532" s="1" t="s">
        <v>103</v>
      </c>
      <c r="D532" s="1" t="s">
        <v>419</v>
      </c>
      <c r="E532" s="1" t="s">
        <v>269</v>
      </c>
      <c r="F532" s="1" t="s">
        <v>106</v>
      </c>
      <c r="G532" s="1" t="s">
        <v>107</v>
      </c>
      <c r="H532" s="1" t="s">
        <v>108</v>
      </c>
      <c r="I532" s="1">
        <v>24.949000000000002</v>
      </c>
      <c r="J532" s="1">
        <v>24.882999999999999</v>
      </c>
      <c r="K532" s="1">
        <v>0.16</v>
      </c>
      <c r="L532" s="1"/>
      <c r="M532" s="1"/>
      <c r="N532" s="1"/>
      <c r="O532" s="1"/>
      <c r="P532" s="1"/>
      <c r="Q532" s="1"/>
      <c r="R532" s="1"/>
      <c r="S532" s="1" t="s">
        <v>109</v>
      </c>
      <c r="T532" s="1">
        <v>0.187</v>
      </c>
      <c r="U532" s="1" t="s">
        <v>109</v>
      </c>
      <c r="V532" s="1">
        <v>3</v>
      </c>
      <c r="W532" s="1">
        <v>19</v>
      </c>
      <c r="X532" s="1" t="s">
        <v>110</v>
      </c>
      <c r="Y532" s="1"/>
      <c r="Z532" s="1">
        <v>0.99199999999999999</v>
      </c>
      <c r="AA532" s="1" t="s">
        <v>111</v>
      </c>
      <c r="AB532" s="1" t="s">
        <v>111</v>
      </c>
      <c r="AC532" s="1" t="s">
        <v>111</v>
      </c>
      <c r="AD532" s="1" t="s">
        <v>111</v>
      </c>
      <c r="AE532" s="1" t="s">
        <v>111</v>
      </c>
      <c r="AF532" s="1" t="s">
        <v>111</v>
      </c>
      <c r="AG532" s="1" t="s">
        <v>111</v>
      </c>
      <c r="AH532" s="1" t="s">
        <v>111</v>
      </c>
      <c r="AI532" s="1">
        <v>82.57</v>
      </c>
      <c r="AJ532" s="1" t="s">
        <v>111</v>
      </c>
      <c r="AK532" s="1"/>
      <c r="AL532" s="1" t="s">
        <v>111</v>
      </c>
      <c r="AM532" s="1"/>
      <c r="AN532" s="1" t="s">
        <v>111</v>
      </c>
      <c r="AO532" s="1"/>
      <c r="AP532" s="1" t="s">
        <v>111</v>
      </c>
      <c r="AQ532" s="1" t="s">
        <v>111</v>
      </c>
    </row>
    <row r="533" spans="1:43" x14ac:dyDescent="0.25">
      <c r="A533" s="1">
        <v>201</v>
      </c>
      <c r="B533" s="1" t="s">
        <v>277</v>
      </c>
      <c r="C533" s="1" t="s">
        <v>103</v>
      </c>
      <c r="D533" s="1" t="s">
        <v>420</v>
      </c>
      <c r="E533" s="1" t="s">
        <v>269</v>
      </c>
      <c r="F533" s="1" t="s">
        <v>106</v>
      </c>
      <c r="G533" s="1" t="s">
        <v>107</v>
      </c>
      <c r="H533" s="1" t="s">
        <v>108</v>
      </c>
      <c r="I533" s="1">
        <v>25.562999999999999</v>
      </c>
      <c r="J533" s="1">
        <v>25.38</v>
      </c>
      <c r="K533" s="1">
        <v>0.20899999999999999</v>
      </c>
      <c r="L533" s="1"/>
      <c r="M533" s="1"/>
      <c r="N533" s="1"/>
      <c r="O533" s="1"/>
      <c r="P533" s="1"/>
      <c r="Q533" s="1"/>
      <c r="R533" s="1"/>
      <c r="S533" s="1" t="s">
        <v>109</v>
      </c>
      <c r="T533" s="1">
        <v>0.187</v>
      </c>
      <c r="U533" s="1" t="s">
        <v>109</v>
      </c>
      <c r="V533" s="1">
        <v>3</v>
      </c>
      <c r="W533" s="1">
        <v>20</v>
      </c>
      <c r="X533" s="1" t="s">
        <v>110</v>
      </c>
      <c r="Y533" s="1"/>
      <c r="Z533" s="1">
        <v>0.995</v>
      </c>
      <c r="AA533" s="1" t="s">
        <v>111</v>
      </c>
      <c r="AB533" s="1" t="s">
        <v>111</v>
      </c>
      <c r="AC533" s="1" t="s">
        <v>111</v>
      </c>
      <c r="AD533" s="1" t="s">
        <v>111</v>
      </c>
      <c r="AE533" s="1" t="s">
        <v>111</v>
      </c>
      <c r="AF533" s="1" t="s">
        <v>111</v>
      </c>
      <c r="AG533" s="1" t="s">
        <v>111</v>
      </c>
      <c r="AH533" s="1" t="s">
        <v>111</v>
      </c>
      <c r="AI533" s="1">
        <v>82.581000000000003</v>
      </c>
      <c r="AJ533" s="1" t="s">
        <v>111</v>
      </c>
      <c r="AK533" s="1"/>
      <c r="AL533" s="1" t="s">
        <v>111</v>
      </c>
      <c r="AM533" s="1"/>
      <c r="AN533" s="1" t="s">
        <v>111</v>
      </c>
      <c r="AO533" s="1"/>
      <c r="AP533" s="1" t="s">
        <v>111</v>
      </c>
      <c r="AQ533" s="1" t="s">
        <v>111</v>
      </c>
    </row>
    <row r="534" spans="1:43" x14ac:dyDescent="0.25">
      <c r="A534" s="1">
        <v>202</v>
      </c>
      <c r="B534" s="1" t="s">
        <v>278</v>
      </c>
      <c r="C534" s="1" t="s">
        <v>103</v>
      </c>
      <c r="D534" s="1" t="s">
        <v>420</v>
      </c>
      <c r="E534" s="1" t="s">
        <v>269</v>
      </c>
      <c r="F534" s="1" t="s">
        <v>106</v>
      </c>
      <c r="G534" s="1" t="s">
        <v>107</v>
      </c>
      <c r="H534" s="1" t="s">
        <v>108</v>
      </c>
      <c r="I534" s="1">
        <v>25.536999999999999</v>
      </c>
      <c r="J534" s="1">
        <v>25.38</v>
      </c>
      <c r="K534" s="1">
        <v>0.20899999999999999</v>
      </c>
      <c r="L534" s="1"/>
      <c r="M534" s="1"/>
      <c r="N534" s="1"/>
      <c r="O534" s="1"/>
      <c r="P534" s="1"/>
      <c r="Q534" s="1"/>
      <c r="R534" s="1"/>
      <c r="S534" s="1" t="s">
        <v>109</v>
      </c>
      <c r="T534" s="1">
        <v>0.187</v>
      </c>
      <c r="U534" s="1" t="s">
        <v>109</v>
      </c>
      <c r="V534" s="1">
        <v>3</v>
      </c>
      <c r="W534" s="1">
        <v>20</v>
      </c>
      <c r="X534" s="1" t="s">
        <v>110</v>
      </c>
      <c r="Y534" s="1"/>
      <c r="Z534" s="1">
        <v>0.99299999999999999</v>
      </c>
      <c r="AA534" s="1" t="s">
        <v>111</v>
      </c>
      <c r="AB534" s="1" t="s">
        <v>111</v>
      </c>
      <c r="AC534" s="1" t="s">
        <v>111</v>
      </c>
      <c r="AD534" s="1" t="s">
        <v>111</v>
      </c>
      <c r="AE534" s="1" t="s">
        <v>111</v>
      </c>
      <c r="AF534" s="1" t="s">
        <v>111</v>
      </c>
      <c r="AG534" s="1" t="s">
        <v>111</v>
      </c>
      <c r="AH534" s="1" t="s">
        <v>111</v>
      </c>
      <c r="AI534" s="1">
        <v>82.581000000000003</v>
      </c>
      <c r="AJ534" s="1" t="s">
        <v>111</v>
      </c>
      <c r="AK534" s="1"/>
      <c r="AL534" s="1" t="s">
        <v>111</v>
      </c>
      <c r="AM534" s="1"/>
      <c r="AN534" s="1" t="s">
        <v>111</v>
      </c>
      <c r="AO534" s="1"/>
      <c r="AP534" s="1" t="s">
        <v>111</v>
      </c>
      <c r="AQ534" s="1" t="s">
        <v>111</v>
      </c>
    </row>
    <row r="535" spans="1:43" x14ac:dyDescent="0.25">
      <c r="A535" s="1">
        <v>203</v>
      </c>
      <c r="B535" s="1" t="s">
        <v>279</v>
      </c>
      <c r="C535" s="1" t="s">
        <v>103</v>
      </c>
      <c r="D535" s="1" t="s">
        <v>421</v>
      </c>
      <c r="E535" s="1" t="s">
        <v>269</v>
      </c>
      <c r="F535" s="1" t="s">
        <v>106</v>
      </c>
      <c r="G535" s="1" t="s">
        <v>107</v>
      </c>
      <c r="H535" s="1" t="s">
        <v>108</v>
      </c>
      <c r="I535" s="1">
        <v>24.869</v>
      </c>
      <c r="J535" s="1">
        <v>25.001999999999999</v>
      </c>
      <c r="K535" s="1">
        <v>0.107</v>
      </c>
      <c r="L535" s="1"/>
      <c r="M535" s="1"/>
      <c r="N535" s="1"/>
      <c r="O535" s="1"/>
      <c r="P535" s="1"/>
      <c r="Q535" s="1"/>
      <c r="R535" s="1"/>
      <c r="S535" s="1" t="s">
        <v>109</v>
      </c>
      <c r="T535" s="1">
        <v>0.187</v>
      </c>
      <c r="U535" s="1" t="s">
        <v>109</v>
      </c>
      <c r="V535" s="1">
        <v>3</v>
      </c>
      <c r="W535" s="1">
        <v>19</v>
      </c>
      <c r="X535" s="1" t="s">
        <v>110</v>
      </c>
      <c r="Y535" s="1"/>
      <c r="Z535" s="1">
        <v>0.99099999999999999</v>
      </c>
      <c r="AA535" s="1" t="s">
        <v>111</v>
      </c>
      <c r="AB535" s="1" t="s">
        <v>111</v>
      </c>
      <c r="AC535" s="1" t="s">
        <v>111</v>
      </c>
      <c r="AD535" s="1" t="s">
        <v>111</v>
      </c>
      <c r="AE535" s="1" t="s">
        <v>111</v>
      </c>
      <c r="AF535" s="1" t="s">
        <v>111</v>
      </c>
      <c r="AG535" s="1" t="s">
        <v>111</v>
      </c>
      <c r="AH535" s="1" t="s">
        <v>111</v>
      </c>
      <c r="AI535" s="1">
        <v>82.581000000000003</v>
      </c>
      <c r="AJ535" s="1" t="s">
        <v>111</v>
      </c>
      <c r="AK535" s="1"/>
      <c r="AL535" s="1" t="s">
        <v>111</v>
      </c>
      <c r="AM535" s="1"/>
      <c r="AN535" s="1" t="s">
        <v>111</v>
      </c>
      <c r="AO535" s="1"/>
      <c r="AP535" s="1" t="s">
        <v>111</v>
      </c>
      <c r="AQ535" s="1" t="s">
        <v>111</v>
      </c>
    </row>
    <row r="536" spans="1:43" x14ac:dyDescent="0.25">
      <c r="A536" s="1">
        <v>204</v>
      </c>
      <c r="B536" s="1" t="s">
        <v>280</v>
      </c>
      <c r="C536" s="1" t="s">
        <v>103</v>
      </c>
      <c r="D536" s="1" t="s">
        <v>421</v>
      </c>
      <c r="E536" s="1" t="s">
        <v>269</v>
      </c>
      <c r="F536" s="1" t="s">
        <v>106</v>
      </c>
      <c r="G536" s="1" t="s">
        <v>107</v>
      </c>
      <c r="H536" s="1" t="s">
        <v>108</v>
      </c>
      <c r="I536" s="1">
        <v>25.09</v>
      </c>
      <c r="J536" s="1">
        <v>25.001999999999999</v>
      </c>
      <c r="K536" s="1">
        <v>0.107</v>
      </c>
      <c r="L536" s="1"/>
      <c r="M536" s="1"/>
      <c r="N536" s="1"/>
      <c r="O536" s="1"/>
      <c r="P536" s="1"/>
      <c r="Q536" s="1"/>
      <c r="R536" s="1"/>
      <c r="S536" s="1" t="s">
        <v>109</v>
      </c>
      <c r="T536" s="1">
        <v>0.187</v>
      </c>
      <c r="U536" s="1" t="s">
        <v>109</v>
      </c>
      <c r="V536" s="1">
        <v>3</v>
      </c>
      <c r="W536" s="1">
        <v>20</v>
      </c>
      <c r="X536" s="1" t="s">
        <v>110</v>
      </c>
      <c r="Y536" s="1"/>
      <c r="Z536" s="1">
        <v>0.99199999999999999</v>
      </c>
      <c r="AA536" s="1" t="s">
        <v>111</v>
      </c>
      <c r="AB536" s="1" t="s">
        <v>111</v>
      </c>
      <c r="AC536" s="1" t="s">
        <v>111</v>
      </c>
      <c r="AD536" s="1" t="s">
        <v>111</v>
      </c>
      <c r="AE536" s="1" t="s">
        <v>111</v>
      </c>
      <c r="AF536" s="1" t="s">
        <v>111</v>
      </c>
      <c r="AG536" s="1" t="s">
        <v>111</v>
      </c>
      <c r="AH536" s="1" t="s">
        <v>111</v>
      </c>
      <c r="AI536" s="1">
        <v>82.581000000000003</v>
      </c>
      <c r="AJ536" s="1" t="s">
        <v>111</v>
      </c>
      <c r="AK536" s="1"/>
      <c r="AL536" s="1" t="s">
        <v>111</v>
      </c>
      <c r="AM536" s="1"/>
      <c r="AN536" s="1" t="s">
        <v>111</v>
      </c>
      <c r="AO536" s="1"/>
      <c r="AP536" s="1" t="s">
        <v>111</v>
      </c>
      <c r="AQ536" s="1" t="s">
        <v>111</v>
      </c>
    </row>
    <row r="537" spans="1:43" x14ac:dyDescent="0.25">
      <c r="A537" s="1">
        <v>209</v>
      </c>
      <c r="B537" s="1" t="s">
        <v>281</v>
      </c>
      <c r="C537" s="1" t="s">
        <v>103</v>
      </c>
      <c r="D537" s="1" t="s">
        <v>282</v>
      </c>
      <c r="E537" s="1" t="s">
        <v>105</v>
      </c>
      <c r="F537" s="1" t="s">
        <v>106</v>
      </c>
      <c r="G537" s="1" t="s">
        <v>107</v>
      </c>
      <c r="H537" s="1" t="s">
        <v>108</v>
      </c>
      <c r="I537" s="1" t="s">
        <v>235</v>
      </c>
      <c r="J537" s="1">
        <v>5.5309999999999997</v>
      </c>
      <c r="K537" s="1"/>
      <c r="L537" s="1"/>
      <c r="M537" s="1"/>
      <c r="N537" s="1"/>
      <c r="O537" s="1"/>
      <c r="P537" s="1"/>
      <c r="Q537" s="1"/>
      <c r="R537" s="1"/>
      <c r="S537" s="1" t="s">
        <v>109</v>
      </c>
      <c r="T537" s="1">
        <v>0.44700000000000001</v>
      </c>
      <c r="U537" s="1" t="s">
        <v>109</v>
      </c>
      <c r="V537" s="1">
        <v>3</v>
      </c>
      <c r="W537" s="1">
        <v>39</v>
      </c>
      <c r="X537" s="1" t="s">
        <v>236</v>
      </c>
      <c r="Y537" s="1"/>
      <c r="Z537" s="1">
        <v>0</v>
      </c>
      <c r="AA537" s="1" t="s">
        <v>205</v>
      </c>
      <c r="AB537" s="1" t="s">
        <v>205</v>
      </c>
      <c r="AC537" s="1" t="s">
        <v>111</v>
      </c>
      <c r="AD537" s="1" t="s">
        <v>111</v>
      </c>
      <c r="AE537" s="1" t="s">
        <v>111</v>
      </c>
      <c r="AF537" s="1" t="s">
        <v>111</v>
      </c>
      <c r="AG537" s="1" t="s">
        <v>111</v>
      </c>
      <c r="AH537" s="1" t="s">
        <v>111</v>
      </c>
      <c r="AI537" s="1">
        <v>60</v>
      </c>
      <c r="AJ537" s="1" t="s">
        <v>111</v>
      </c>
      <c r="AK537" s="1"/>
      <c r="AL537" s="1" t="s">
        <v>111</v>
      </c>
      <c r="AM537" s="1"/>
      <c r="AN537" s="1" t="s">
        <v>111</v>
      </c>
      <c r="AO537" s="1"/>
      <c r="AP537" s="1" t="s">
        <v>205</v>
      </c>
      <c r="AQ537" s="1" t="s">
        <v>111</v>
      </c>
    </row>
    <row r="538" spans="1:43" x14ac:dyDescent="0.25">
      <c r="A538" s="1">
        <v>210</v>
      </c>
      <c r="B538" s="1" t="s">
        <v>283</v>
      </c>
      <c r="C538" s="1" t="s">
        <v>103</v>
      </c>
      <c r="D538" s="1" t="s">
        <v>282</v>
      </c>
      <c r="E538" s="1" t="s">
        <v>105</v>
      </c>
      <c r="F538" s="1" t="s">
        <v>106</v>
      </c>
      <c r="G538" s="1" t="s">
        <v>107</v>
      </c>
      <c r="H538" s="1" t="s">
        <v>108</v>
      </c>
      <c r="I538" s="1" t="s">
        <v>235</v>
      </c>
      <c r="J538" s="1">
        <v>5.5309999999999997</v>
      </c>
      <c r="K538" s="1"/>
      <c r="L538" s="1"/>
      <c r="M538" s="1"/>
      <c r="N538" s="1"/>
      <c r="O538" s="1"/>
      <c r="P538" s="1"/>
      <c r="Q538" s="1"/>
      <c r="R538" s="1"/>
      <c r="S538" s="1" t="s">
        <v>109</v>
      </c>
      <c r="T538" s="1">
        <v>0.44700000000000001</v>
      </c>
      <c r="U538" s="1" t="s">
        <v>109</v>
      </c>
      <c r="V538" s="1">
        <v>3</v>
      </c>
      <c r="W538" s="1">
        <v>39</v>
      </c>
      <c r="X538" s="1" t="s">
        <v>236</v>
      </c>
      <c r="Y538" s="1"/>
      <c r="Z538" s="1">
        <v>0</v>
      </c>
      <c r="AA538" s="1" t="s">
        <v>205</v>
      </c>
      <c r="AB538" s="1" t="s">
        <v>205</v>
      </c>
      <c r="AC538" s="1" t="s">
        <v>111</v>
      </c>
      <c r="AD538" s="1" t="s">
        <v>111</v>
      </c>
      <c r="AE538" s="1" t="s">
        <v>111</v>
      </c>
      <c r="AF538" s="1" t="s">
        <v>111</v>
      </c>
      <c r="AG538" s="1" t="s">
        <v>111</v>
      </c>
      <c r="AH538" s="1" t="s">
        <v>111</v>
      </c>
      <c r="AI538" s="1">
        <v>60</v>
      </c>
      <c r="AJ538" s="1" t="s">
        <v>111</v>
      </c>
      <c r="AK538" s="1"/>
      <c r="AL538" s="1" t="s">
        <v>111</v>
      </c>
      <c r="AM538" s="1"/>
      <c r="AN538" s="1" t="s">
        <v>111</v>
      </c>
      <c r="AO538" s="1"/>
      <c r="AP538" s="1" t="s">
        <v>205</v>
      </c>
      <c r="AQ538" s="1" t="s">
        <v>111</v>
      </c>
    </row>
    <row r="539" spans="1:43" x14ac:dyDescent="0.25">
      <c r="A539" s="1">
        <v>211</v>
      </c>
      <c r="B539" s="1" t="s">
        <v>284</v>
      </c>
      <c r="C539" s="1" t="s">
        <v>103</v>
      </c>
      <c r="D539" s="1" t="s">
        <v>282</v>
      </c>
      <c r="E539" s="1" t="s">
        <v>158</v>
      </c>
      <c r="F539" s="1" t="s">
        <v>106</v>
      </c>
      <c r="G539" s="1" t="s">
        <v>107</v>
      </c>
      <c r="H539" s="1" t="s">
        <v>108</v>
      </c>
      <c r="I539" s="1">
        <v>34.965000000000003</v>
      </c>
      <c r="J539" s="1">
        <v>27.305</v>
      </c>
      <c r="K539" s="1">
        <v>10.834</v>
      </c>
      <c r="L539" s="1"/>
      <c r="M539" s="1"/>
      <c r="N539" s="1"/>
      <c r="O539" s="1"/>
      <c r="P539" s="1"/>
      <c r="Q539" s="1"/>
      <c r="R539" s="1"/>
      <c r="S539" s="1" t="s">
        <v>109</v>
      </c>
      <c r="T539" s="1">
        <v>0.36599999999999999</v>
      </c>
      <c r="U539" s="1" t="s">
        <v>109</v>
      </c>
      <c r="V539" s="1">
        <v>3</v>
      </c>
      <c r="W539" s="1">
        <v>29</v>
      </c>
      <c r="X539" s="1" t="s">
        <v>110</v>
      </c>
      <c r="Y539" s="1"/>
      <c r="Z539" s="1">
        <v>0.97799999999999998</v>
      </c>
      <c r="AA539" s="1" t="s">
        <v>111</v>
      </c>
      <c r="AB539" s="1" t="s">
        <v>111</v>
      </c>
      <c r="AC539" s="1" t="s">
        <v>111</v>
      </c>
      <c r="AD539" s="1" t="s">
        <v>111</v>
      </c>
      <c r="AE539" s="1" t="s">
        <v>111</v>
      </c>
      <c r="AF539" s="1" t="s">
        <v>111</v>
      </c>
      <c r="AG539" s="1" t="s">
        <v>205</v>
      </c>
      <c r="AH539" s="1" t="s">
        <v>111</v>
      </c>
      <c r="AI539" s="1">
        <v>88.102000000000004</v>
      </c>
      <c r="AJ539" s="1" t="s">
        <v>111</v>
      </c>
      <c r="AK539" s="1"/>
      <c r="AL539" s="1" t="s">
        <v>111</v>
      </c>
      <c r="AM539" s="1"/>
      <c r="AN539" s="1" t="s">
        <v>111</v>
      </c>
      <c r="AO539" s="1"/>
      <c r="AP539" s="1" t="s">
        <v>111</v>
      </c>
      <c r="AQ539" s="1" t="s">
        <v>111</v>
      </c>
    </row>
    <row r="540" spans="1:43" x14ac:dyDescent="0.25">
      <c r="A540" s="1">
        <v>212</v>
      </c>
      <c r="B540" s="1" t="s">
        <v>285</v>
      </c>
      <c r="C540" s="1" t="s">
        <v>103</v>
      </c>
      <c r="D540" s="1" t="s">
        <v>282</v>
      </c>
      <c r="E540" s="1" t="s">
        <v>158</v>
      </c>
      <c r="F540" s="1" t="s">
        <v>106</v>
      </c>
      <c r="G540" s="1" t="s">
        <v>107</v>
      </c>
      <c r="H540" s="1" t="s">
        <v>108</v>
      </c>
      <c r="I540" s="1" t="s">
        <v>235</v>
      </c>
      <c r="J540" s="1">
        <v>27.305</v>
      </c>
      <c r="K540" s="1">
        <v>10.834</v>
      </c>
      <c r="L540" s="1"/>
      <c r="M540" s="1"/>
      <c r="N540" s="1"/>
      <c r="O540" s="1"/>
      <c r="P540" s="1"/>
      <c r="Q540" s="1"/>
      <c r="R540" s="1"/>
      <c r="S540" s="1" t="s">
        <v>109</v>
      </c>
      <c r="T540" s="1">
        <v>0.36599999999999999</v>
      </c>
      <c r="U540" s="1" t="s">
        <v>109</v>
      </c>
      <c r="V540" s="1">
        <v>3</v>
      </c>
      <c r="W540" s="1">
        <v>39</v>
      </c>
      <c r="X540" s="1" t="s">
        <v>236</v>
      </c>
      <c r="Y540" s="1"/>
      <c r="Z540" s="1">
        <v>0</v>
      </c>
      <c r="AA540" s="1" t="s">
        <v>205</v>
      </c>
      <c r="AB540" s="1" t="s">
        <v>205</v>
      </c>
      <c r="AC540" s="1" t="s">
        <v>111</v>
      </c>
      <c r="AD540" s="1" t="s">
        <v>111</v>
      </c>
      <c r="AE540" s="1" t="s">
        <v>111</v>
      </c>
      <c r="AF540" s="1" t="s">
        <v>111</v>
      </c>
      <c r="AG540" s="1" t="s">
        <v>111</v>
      </c>
      <c r="AH540" s="1" t="s">
        <v>111</v>
      </c>
      <c r="AI540" s="1">
        <v>60</v>
      </c>
      <c r="AJ540" s="1" t="s">
        <v>111</v>
      </c>
      <c r="AK540" s="1"/>
      <c r="AL540" s="1" t="s">
        <v>111</v>
      </c>
      <c r="AM540" s="1"/>
      <c r="AN540" s="1" t="s">
        <v>111</v>
      </c>
      <c r="AO540" s="1"/>
      <c r="AP540" s="1" t="s">
        <v>205</v>
      </c>
      <c r="AQ540" s="1" t="s">
        <v>111</v>
      </c>
    </row>
    <row r="541" spans="1:43" x14ac:dyDescent="0.25">
      <c r="A541" s="1">
        <v>213</v>
      </c>
      <c r="B541" s="1" t="s">
        <v>286</v>
      </c>
      <c r="C541" s="1" t="s">
        <v>103</v>
      </c>
      <c r="D541" s="1" t="s">
        <v>282</v>
      </c>
      <c r="E541" s="1" t="s">
        <v>191</v>
      </c>
      <c r="F541" s="1" t="s">
        <v>106</v>
      </c>
      <c r="G541" s="1" t="s">
        <v>107</v>
      </c>
      <c r="H541" s="1" t="s">
        <v>108</v>
      </c>
      <c r="I541" s="1" t="s">
        <v>235</v>
      </c>
      <c r="J541" s="1">
        <v>36.485999999999997</v>
      </c>
      <c r="K541" s="1"/>
      <c r="L541" s="1"/>
      <c r="M541" s="1"/>
      <c r="N541" s="1"/>
      <c r="O541" s="1"/>
      <c r="P541" s="1"/>
      <c r="Q541" s="1"/>
      <c r="R541" s="1"/>
      <c r="S541" s="1" t="s">
        <v>109</v>
      </c>
      <c r="T541" s="1">
        <v>0.51400000000000001</v>
      </c>
      <c r="U541" s="1" t="s">
        <v>109</v>
      </c>
      <c r="V541" s="1">
        <v>3</v>
      </c>
      <c r="W541" s="1">
        <v>39</v>
      </c>
      <c r="X541" s="1" t="s">
        <v>236</v>
      </c>
      <c r="Y541" s="1"/>
      <c r="Z541" s="1">
        <v>0</v>
      </c>
      <c r="AA541" s="1" t="s">
        <v>205</v>
      </c>
      <c r="AB541" s="1" t="s">
        <v>205</v>
      </c>
      <c r="AC541" s="1" t="s">
        <v>111</v>
      </c>
      <c r="AD541" s="1" t="s">
        <v>111</v>
      </c>
      <c r="AE541" s="1" t="s">
        <v>111</v>
      </c>
      <c r="AF541" s="1" t="s">
        <v>111</v>
      </c>
      <c r="AG541" s="1" t="s">
        <v>111</v>
      </c>
      <c r="AH541" s="1" t="s">
        <v>111</v>
      </c>
      <c r="AI541" s="1">
        <v>60.000999999999998</v>
      </c>
      <c r="AJ541" s="1" t="s">
        <v>111</v>
      </c>
      <c r="AK541" s="1"/>
      <c r="AL541" s="1" t="s">
        <v>111</v>
      </c>
      <c r="AM541" s="1"/>
      <c r="AN541" s="1" t="s">
        <v>111</v>
      </c>
      <c r="AO541" s="1"/>
      <c r="AP541" s="1" t="s">
        <v>205</v>
      </c>
      <c r="AQ541" s="1" t="s">
        <v>111</v>
      </c>
    </row>
    <row r="542" spans="1:43" x14ac:dyDescent="0.25">
      <c r="A542" s="1">
        <v>214</v>
      </c>
      <c r="B542" s="1" t="s">
        <v>287</v>
      </c>
      <c r="C542" s="1" t="s">
        <v>103</v>
      </c>
      <c r="D542" s="1" t="s">
        <v>282</v>
      </c>
      <c r="E542" s="1" t="s">
        <v>191</v>
      </c>
      <c r="F542" s="1" t="s">
        <v>106</v>
      </c>
      <c r="G542" s="1" t="s">
        <v>107</v>
      </c>
      <c r="H542" s="1" t="s">
        <v>108</v>
      </c>
      <c r="I542" s="1" t="s">
        <v>235</v>
      </c>
      <c r="J542" s="1">
        <v>36.485999999999997</v>
      </c>
      <c r="K542" s="1"/>
      <c r="L542" s="1"/>
      <c r="M542" s="1"/>
      <c r="N542" s="1"/>
      <c r="O542" s="1"/>
      <c r="P542" s="1"/>
      <c r="Q542" s="1"/>
      <c r="R542" s="1"/>
      <c r="S542" s="1" t="s">
        <v>109</v>
      </c>
      <c r="T542" s="1">
        <v>0.51400000000000001</v>
      </c>
      <c r="U542" s="1" t="s">
        <v>109</v>
      </c>
      <c r="V542" s="1">
        <v>3</v>
      </c>
      <c r="W542" s="1">
        <v>39</v>
      </c>
      <c r="X542" s="1" t="s">
        <v>236</v>
      </c>
      <c r="Y542" s="1"/>
      <c r="Z542" s="1">
        <v>0</v>
      </c>
      <c r="AA542" s="1" t="s">
        <v>205</v>
      </c>
      <c r="AB542" s="1" t="s">
        <v>205</v>
      </c>
      <c r="AC542" s="1" t="s">
        <v>111</v>
      </c>
      <c r="AD542" s="1" t="s">
        <v>111</v>
      </c>
      <c r="AE542" s="1" t="s">
        <v>111</v>
      </c>
      <c r="AF542" s="1" t="s">
        <v>111</v>
      </c>
      <c r="AG542" s="1" t="s">
        <v>111</v>
      </c>
      <c r="AH542" s="1" t="s">
        <v>111</v>
      </c>
      <c r="AI542" s="1">
        <v>60.000999999999998</v>
      </c>
      <c r="AJ542" s="1" t="s">
        <v>111</v>
      </c>
      <c r="AK542" s="1"/>
      <c r="AL542" s="1" t="s">
        <v>111</v>
      </c>
      <c r="AM542" s="1"/>
      <c r="AN542" s="1" t="s">
        <v>111</v>
      </c>
      <c r="AO542" s="1"/>
      <c r="AP542" s="1" t="s">
        <v>205</v>
      </c>
      <c r="AQ542" s="1" t="s">
        <v>111</v>
      </c>
    </row>
    <row r="543" spans="1:43" x14ac:dyDescent="0.25">
      <c r="A543" s="1">
        <v>215</v>
      </c>
      <c r="B543" s="1" t="s">
        <v>288</v>
      </c>
      <c r="C543" s="1" t="s">
        <v>103</v>
      </c>
      <c r="D543" s="1" t="s">
        <v>282</v>
      </c>
      <c r="E543" s="1" t="s">
        <v>234</v>
      </c>
      <c r="F543" s="1" t="s">
        <v>106</v>
      </c>
      <c r="G543" s="1" t="s">
        <v>107</v>
      </c>
      <c r="H543" s="1" t="s">
        <v>108</v>
      </c>
      <c r="I543" s="1" t="s">
        <v>235</v>
      </c>
      <c r="J543" s="1">
        <v>25.510999999999999</v>
      </c>
      <c r="K543" s="1">
        <v>5.3570000000000002</v>
      </c>
      <c r="L543" s="1"/>
      <c r="M543" s="1"/>
      <c r="N543" s="1"/>
      <c r="O543" s="1"/>
      <c r="P543" s="1"/>
      <c r="Q543" s="1"/>
      <c r="R543" s="1"/>
      <c r="S543" s="1" t="s">
        <v>109</v>
      </c>
      <c r="T543" s="1">
        <v>0.36299999999999999</v>
      </c>
      <c r="U543" s="1" t="s">
        <v>109</v>
      </c>
      <c r="V543" s="1">
        <v>3</v>
      </c>
      <c r="W543" s="1">
        <v>39</v>
      </c>
      <c r="X543" s="1" t="s">
        <v>236</v>
      </c>
      <c r="Y543" s="1"/>
      <c r="Z543" s="1">
        <v>0</v>
      </c>
      <c r="AA543" s="1" t="s">
        <v>205</v>
      </c>
      <c r="AB543" s="1" t="s">
        <v>205</v>
      </c>
      <c r="AC543" s="1" t="s">
        <v>111</v>
      </c>
      <c r="AD543" s="1" t="s">
        <v>111</v>
      </c>
      <c r="AE543" s="1" t="s">
        <v>111</v>
      </c>
      <c r="AF543" s="1" t="s">
        <v>111</v>
      </c>
      <c r="AG543" s="1" t="s">
        <v>111</v>
      </c>
      <c r="AH543" s="1" t="s">
        <v>111</v>
      </c>
      <c r="AI543" s="1">
        <v>60.000999999999998</v>
      </c>
      <c r="AJ543" s="1" t="s">
        <v>111</v>
      </c>
      <c r="AK543" s="1"/>
      <c r="AL543" s="1" t="s">
        <v>111</v>
      </c>
      <c r="AM543" s="1"/>
      <c r="AN543" s="1" t="s">
        <v>111</v>
      </c>
      <c r="AO543" s="1"/>
      <c r="AP543" s="1" t="s">
        <v>205</v>
      </c>
      <c r="AQ543" s="1" t="s">
        <v>111</v>
      </c>
    </row>
    <row r="544" spans="1:43" x14ac:dyDescent="0.25">
      <c r="A544" s="1">
        <v>216</v>
      </c>
      <c r="B544" s="1" t="s">
        <v>289</v>
      </c>
      <c r="C544" s="1" t="s">
        <v>103</v>
      </c>
      <c r="D544" s="1" t="s">
        <v>282</v>
      </c>
      <c r="E544" s="1" t="s">
        <v>234</v>
      </c>
      <c r="F544" s="1" t="s">
        <v>106</v>
      </c>
      <c r="G544" s="1" t="s">
        <v>107</v>
      </c>
      <c r="H544" s="1" t="s">
        <v>108</v>
      </c>
      <c r="I544" s="1" t="s">
        <v>235</v>
      </c>
      <c r="J544" s="1">
        <v>25.510999999999999</v>
      </c>
      <c r="K544" s="1">
        <v>5.3570000000000002</v>
      </c>
      <c r="L544" s="1"/>
      <c r="M544" s="1"/>
      <c r="N544" s="1"/>
      <c r="O544" s="1"/>
      <c r="P544" s="1"/>
      <c r="Q544" s="1"/>
      <c r="R544" s="1"/>
      <c r="S544" s="1" t="s">
        <v>109</v>
      </c>
      <c r="T544" s="1">
        <v>0.36299999999999999</v>
      </c>
      <c r="U544" s="1" t="s">
        <v>109</v>
      </c>
      <c r="V544" s="1">
        <v>3</v>
      </c>
      <c r="W544" s="1">
        <v>39</v>
      </c>
      <c r="X544" s="1" t="s">
        <v>236</v>
      </c>
      <c r="Y544" s="1"/>
      <c r="Z544" s="1">
        <v>0</v>
      </c>
      <c r="AA544" s="1" t="s">
        <v>205</v>
      </c>
      <c r="AB544" s="1" t="s">
        <v>205</v>
      </c>
      <c r="AC544" s="1" t="s">
        <v>111</v>
      </c>
      <c r="AD544" s="1" t="s">
        <v>111</v>
      </c>
      <c r="AE544" s="1" t="s">
        <v>111</v>
      </c>
      <c r="AF544" s="1" t="s">
        <v>111</v>
      </c>
      <c r="AG544" s="1" t="s">
        <v>111</v>
      </c>
      <c r="AH544" s="1" t="s">
        <v>111</v>
      </c>
      <c r="AI544" s="1">
        <v>60.000999999999998</v>
      </c>
      <c r="AJ544" s="1" t="s">
        <v>111</v>
      </c>
      <c r="AK544" s="1"/>
      <c r="AL544" s="1" t="s">
        <v>111</v>
      </c>
      <c r="AM544" s="1"/>
      <c r="AN544" s="1" t="s">
        <v>111</v>
      </c>
      <c r="AO544" s="1"/>
      <c r="AP544" s="1" t="s">
        <v>205</v>
      </c>
      <c r="AQ544" s="1" t="s">
        <v>111</v>
      </c>
    </row>
    <row r="545" spans="1:43" x14ac:dyDescent="0.25">
      <c r="A545" s="1">
        <v>217</v>
      </c>
      <c r="B545" s="1" t="s">
        <v>290</v>
      </c>
      <c r="C545" s="1" t="s">
        <v>103</v>
      </c>
      <c r="D545" s="1" t="s">
        <v>416</v>
      </c>
      <c r="E545" s="1" t="s">
        <v>269</v>
      </c>
      <c r="F545" s="1" t="s">
        <v>106</v>
      </c>
      <c r="G545" s="1" t="s">
        <v>107</v>
      </c>
      <c r="H545" s="1" t="s">
        <v>108</v>
      </c>
      <c r="I545" s="1">
        <v>32.335999999999999</v>
      </c>
      <c r="J545" s="1">
        <v>32.097999999999999</v>
      </c>
      <c r="K545" s="1">
        <v>0.54</v>
      </c>
      <c r="L545" s="1"/>
      <c r="M545" s="1"/>
      <c r="N545" s="1"/>
      <c r="O545" s="1"/>
      <c r="P545" s="1"/>
      <c r="Q545" s="1"/>
      <c r="R545" s="1"/>
      <c r="S545" s="1" t="s">
        <v>109</v>
      </c>
      <c r="T545" s="1">
        <v>0.187</v>
      </c>
      <c r="U545" s="1" t="s">
        <v>109</v>
      </c>
      <c r="V545" s="1">
        <v>3</v>
      </c>
      <c r="W545" s="1">
        <v>28</v>
      </c>
      <c r="X545" s="1" t="s">
        <v>110</v>
      </c>
      <c r="Y545" s="1"/>
      <c r="Z545" s="1">
        <v>0.99199999999999999</v>
      </c>
      <c r="AA545" s="1" t="s">
        <v>111</v>
      </c>
      <c r="AB545" s="1" t="s">
        <v>111</v>
      </c>
      <c r="AC545" s="1" t="s">
        <v>111</v>
      </c>
      <c r="AD545" s="1" t="s">
        <v>111</v>
      </c>
      <c r="AE545" s="1" t="s">
        <v>111</v>
      </c>
      <c r="AF545" s="1" t="s">
        <v>111</v>
      </c>
      <c r="AG545" s="1" t="s">
        <v>205</v>
      </c>
      <c r="AH545" s="1" t="s">
        <v>111</v>
      </c>
      <c r="AI545" s="1">
        <v>82.468999999999994</v>
      </c>
      <c r="AJ545" s="1" t="s">
        <v>111</v>
      </c>
      <c r="AK545" s="1"/>
      <c r="AL545" s="1" t="s">
        <v>111</v>
      </c>
      <c r="AM545" s="1"/>
      <c r="AN545" s="1" t="s">
        <v>111</v>
      </c>
      <c r="AO545" s="1"/>
      <c r="AP545" s="1" t="s">
        <v>111</v>
      </c>
      <c r="AQ545" s="1" t="s">
        <v>111</v>
      </c>
    </row>
    <row r="546" spans="1:43" x14ac:dyDescent="0.25">
      <c r="A546" s="1">
        <v>218</v>
      </c>
      <c r="B546" s="1" t="s">
        <v>291</v>
      </c>
      <c r="C546" s="1" t="s">
        <v>103</v>
      </c>
      <c r="D546" s="1" t="s">
        <v>416</v>
      </c>
      <c r="E546" s="1" t="s">
        <v>269</v>
      </c>
      <c r="F546" s="1" t="s">
        <v>106</v>
      </c>
      <c r="G546" s="1" t="s">
        <v>107</v>
      </c>
      <c r="H546" s="1" t="s">
        <v>108</v>
      </c>
      <c r="I546" s="1">
        <v>31.425000000000001</v>
      </c>
      <c r="J546" s="1">
        <v>32.097999999999999</v>
      </c>
      <c r="K546" s="1">
        <v>0.54</v>
      </c>
      <c r="L546" s="1"/>
      <c r="M546" s="1"/>
      <c r="N546" s="1"/>
      <c r="O546" s="1"/>
      <c r="P546" s="1"/>
      <c r="Q546" s="1"/>
      <c r="R546" s="1"/>
      <c r="S546" s="1" t="s">
        <v>109</v>
      </c>
      <c r="T546" s="1">
        <v>0.187</v>
      </c>
      <c r="U546" s="1" t="s">
        <v>109</v>
      </c>
      <c r="V546" s="1">
        <v>3</v>
      </c>
      <c r="W546" s="1">
        <v>25</v>
      </c>
      <c r="X546" s="1" t="s">
        <v>110</v>
      </c>
      <c r="Y546" s="1"/>
      <c r="Z546" s="1">
        <v>0.98799999999999999</v>
      </c>
      <c r="AA546" s="1" t="s">
        <v>111</v>
      </c>
      <c r="AB546" s="1" t="s">
        <v>111</v>
      </c>
      <c r="AC546" s="1" t="s">
        <v>111</v>
      </c>
      <c r="AD546" s="1" t="s">
        <v>111</v>
      </c>
      <c r="AE546" s="1" t="s">
        <v>111</v>
      </c>
      <c r="AF546" s="1" t="s">
        <v>111</v>
      </c>
      <c r="AG546" s="1" t="s">
        <v>205</v>
      </c>
      <c r="AH546" s="1" t="s">
        <v>111</v>
      </c>
      <c r="AI546" s="1">
        <v>82.468999999999994</v>
      </c>
      <c r="AJ546" s="1" t="s">
        <v>111</v>
      </c>
      <c r="AK546" s="1"/>
      <c r="AL546" s="1" t="s">
        <v>111</v>
      </c>
      <c r="AM546" s="1"/>
      <c r="AN546" s="1" t="s">
        <v>111</v>
      </c>
      <c r="AO546" s="1"/>
      <c r="AP546" s="1" t="s">
        <v>111</v>
      </c>
      <c r="AQ546" s="1" t="s">
        <v>111</v>
      </c>
    </row>
    <row r="547" spans="1:43" x14ac:dyDescent="0.25">
      <c r="A547" s="1">
        <v>219</v>
      </c>
      <c r="B547" s="1" t="s">
        <v>292</v>
      </c>
      <c r="C547" s="1" t="s">
        <v>103</v>
      </c>
      <c r="D547" s="1" t="s">
        <v>417</v>
      </c>
      <c r="E547" s="1" t="s">
        <v>269</v>
      </c>
      <c r="F547" s="1" t="s">
        <v>106</v>
      </c>
      <c r="G547" s="1" t="s">
        <v>107</v>
      </c>
      <c r="H547" s="1" t="s">
        <v>108</v>
      </c>
      <c r="I547" s="1">
        <v>30.841000000000001</v>
      </c>
      <c r="J547" s="1">
        <v>31.463999999999999</v>
      </c>
      <c r="K547" s="1">
        <v>0.502</v>
      </c>
      <c r="L547" s="1"/>
      <c r="M547" s="1"/>
      <c r="N547" s="1"/>
      <c r="O547" s="1"/>
      <c r="P547" s="1"/>
      <c r="Q547" s="1"/>
      <c r="R547" s="1"/>
      <c r="S547" s="1" t="s">
        <v>109</v>
      </c>
      <c r="T547" s="1">
        <v>0.187</v>
      </c>
      <c r="U547" s="1" t="s">
        <v>109</v>
      </c>
      <c r="V547" s="1">
        <v>3</v>
      </c>
      <c r="W547" s="1">
        <v>25</v>
      </c>
      <c r="X547" s="1" t="s">
        <v>110</v>
      </c>
      <c r="Y547" s="1"/>
      <c r="Z547" s="1">
        <v>0.99299999999999999</v>
      </c>
      <c r="AA547" s="1" t="s">
        <v>111</v>
      </c>
      <c r="AB547" s="1" t="s">
        <v>111</v>
      </c>
      <c r="AC547" s="1" t="s">
        <v>111</v>
      </c>
      <c r="AD547" s="1" t="s">
        <v>111</v>
      </c>
      <c r="AE547" s="1" t="s">
        <v>111</v>
      </c>
      <c r="AF547" s="1" t="s">
        <v>111</v>
      </c>
      <c r="AG547" s="1" t="s">
        <v>205</v>
      </c>
      <c r="AH547" s="1" t="s">
        <v>111</v>
      </c>
      <c r="AI547" s="1">
        <v>82.468999999999994</v>
      </c>
      <c r="AJ547" s="1" t="s">
        <v>111</v>
      </c>
      <c r="AK547" s="1"/>
      <c r="AL547" s="1" t="s">
        <v>111</v>
      </c>
      <c r="AM547" s="1"/>
      <c r="AN547" s="1" t="s">
        <v>111</v>
      </c>
      <c r="AO547" s="1"/>
      <c r="AP547" s="1" t="s">
        <v>111</v>
      </c>
      <c r="AQ547" s="1" t="s">
        <v>111</v>
      </c>
    </row>
    <row r="548" spans="1:43" x14ac:dyDescent="0.25">
      <c r="A548" s="1">
        <v>220</v>
      </c>
      <c r="B548" s="1" t="s">
        <v>293</v>
      </c>
      <c r="C548" s="1" t="s">
        <v>103</v>
      </c>
      <c r="D548" s="1" t="s">
        <v>417</v>
      </c>
      <c r="E548" s="1" t="s">
        <v>269</v>
      </c>
      <c r="F548" s="1" t="s">
        <v>106</v>
      </c>
      <c r="G548" s="1" t="s">
        <v>107</v>
      </c>
      <c r="H548" s="1" t="s">
        <v>108</v>
      </c>
      <c r="I548" s="1">
        <v>31.352</v>
      </c>
      <c r="J548" s="1">
        <v>31.463999999999999</v>
      </c>
      <c r="K548" s="1">
        <v>0.502</v>
      </c>
      <c r="L548" s="1"/>
      <c r="M548" s="1"/>
      <c r="N548" s="1"/>
      <c r="O548" s="1"/>
      <c r="P548" s="1"/>
      <c r="Q548" s="1"/>
      <c r="R548" s="1"/>
      <c r="S548" s="1" t="s">
        <v>109</v>
      </c>
      <c r="T548" s="1">
        <v>0.187</v>
      </c>
      <c r="U548" s="1" t="s">
        <v>109</v>
      </c>
      <c r="V548" s="1">
        <v>3</v>
      </c>
      <c r="W548" s="1">
        <v>26</v>
      </c>
      <c r="X548" s="1" t="s">
        <v>110</v>
      </c>
      <c r="Y548" s="1"/>
      <c r="Z548" s="1">
        <v>0.99199999999999999</v>
      </c>
      <c r="AA548" s="1" t="s">
        <v>111</v>
      </c>
      <c r="AB548" s="1" t="s">
        <v>111</v>
      </c>
      <c r="AC548" s="1" t="s">
        <v>111</v>
      </c>
      <c r="AD548" s="1" t="s">
        <v>111</v>
      </c>
      <c r="AE548" s="1" t="s">
        <v>111</v>
      </c>
      <c r="AF548" s="1" t="s">
        <v>111</v>
      </c>
      <c r="AG548" s="1" t="s">
        <v>205</v>
      </c>
      <c r="AH548" s="1" t="s">
        <v>111</v>
      </c>
      <c r="AI548" s="1">
        <v>82.468999999999994</v>
      </c>
      <c r="AJ548" s="1" t="s">
        <v>111</v>
      </c>
      <c r="AK548" s="1"/>
      <c r="AL548" s="1" t="s">
        <v>111</v>
      </c>
      <c r="AM548" s="1"/>
      <c r="AN548" s="1" t="s">
        <v>111</v>
      </c>
      <c r="AO548" s="1"/>
      <c r="AP548" s="1" t="s">
        <v>111</v>
      </c>
      <c r="AQ548" s="1" t="s">
        <v>111</v>
      </c>
    </row>
    <row r="549" spans="1:43" x14ac:dyDescent="0.25">
      <c r="A549" s="1">
        <v>221</v>
      </c>
      <c r="B549" s="1" t="s">
        <v>294</v>
      </c>
      <c r="C549" s="1" t="s">
        <v>103</v>
      </c>
      <c r="D549" s="1" t="s">
        <v>418</v>
      </c>
      <c r="E549" s="1" t="s">
        <v>269</v>
      </c>
      <c r="F549" s="1" t="s">
        <v>106</v>
      </c>
      <c r="G549" s="1" t="s">
        <v>107</v>
      </c>
      <c r="H549" s="1" t="s">
        <v>108</v>
      </c>
      <c r="I549" s="1">
        <v>24.863</v>
      </c>
      <c r="J549" s="1">
        <v>24.885999999999999</v>
      </c>
      <c r="K549" s="1">
        <v>4.7E-2</v>
      </c>
      <c r="L549" s="1"/>
      <c r="M549" s="1"/>
      <c r="N549" s="1"/>
      <c r="O549" s="1"/>
      <c r="P549" s="1"/>
      <c r="Q549" s="1"/>
      <c r="R549" s="1"/>
      <c r="S549" s="1" t="s">
        <v>109</v>
      </c>
      <c r="T549" s="1">
        <v>0.187</v>
      </c>
      <c r="U549" s="1" t="s">
        <v>109</v>
      </c>
      <c r="V549" s="1">
        <v>3</v>
      </c>
      <c r="W549" s="1">
        <v>19</v>
      </c>
      <c r="X549" s="1" t="s">
        <v>110</v>
      </c>
      <c r="Y549" s="1"/>
      <c r="Z549" s="1">
        <v>0.995</v>
      </c>
      <c r="AA549" s="1" t="s">
        <v>111</v>
      </c>
      <c r="AB549" s="1" t="s">
        <v>111</v>
      </c>
      <c r="AC549" s="1" t="s">
        <v>111</v>
      </c>
      <c r="AD549" s="1" t="s">
        <v>111</v>
      </c>
      <c r="AE549" s="1" t="s">
        <v>111</v>
      </c>
      <c r="AF549" s="1" t="s">
        <v>111</v>
      </c>
      <c r="AG549" s="1" t="s">
        <v>111</v>
      </c>
      <c r="AH549" s="1" t="s">
        <v>111</v>
      </c>
      <c r="AI549" s="1">
        <v>82.57</v>
      </c>
      <c r="AJ549" s="1" t="s">
        <v>111</v>
      </c>
      <c r="AK549" s="1"/>
      <c r="AL549" s="1" t="s">
        <v>111</v>
      </c>
      <c r="AM549" s="1"/>
      <c r="AN549" s="1" t="s">
        <v>111</v>
      </c>
      <c r="AO549" s="1"/>
      <c r="AP549" s="1" t="s">
        <v>111</v>
      </c>
      <c r="AQ549" s="1" t="s">
        <v>111</v>
      </c>
    </row>
    <row r="550" spans="1:43" x14ac:dyDescent="0.25">
      <c r="A550" s="1">
        <v>222</v>
      </c>
      <c r="B550" s="1" t="s">
        <v>295</v>
      </c>
      <c r="C550" s="1" t="s">
        <v>103</v>
      </c>
      <c r="D550" s="1" t="s">
        <v>418</v>
      </c>
      <c r="E550" s="1" t="s">
        <v>269</v>
      </c>
      <c r="F550" s="1" t="s">
        <v>106</v>
      </c>
      <c r="G550" s="1" t="s">
        <v>107</v>
      </c>
      <c r="H550" s="1" t="s">
        <v>108</v>
      </c>
      <c r="I550" s="1">
        <v>24.879000000000001</v>
      </c>
      <c r="J550" s="1">
        <v>24.885999999999999</v>
      </c>
      <c r="K550" s="1">
        <v>4.7E-2</v>
      </c>
      <c r="L550" s="1"/>
      <c r="M550" s="1"/>
      <c r="N550" s="1"/>
      <c r="O550" s="1"/>
      <c r="P550" s="1"/>
      <c r="Q550" s="1"/>
      <c r="R550" s="1"/>
      <c r="S550" s="1" t="s">
        <v>109</v>
      </c>
      <c r="T550" s="1">
        <v>0.187</v>
      </c>
      <c r="U550" s="1" t="s">
        <v>109</v>
      </c>
      <c r="V550" s="1">
        <v>3</v>
      </c>
      <c r="W550" s="1">
        <v>19</v>
      </c>
      <c r="X550" s="1" t="s">
        <v>110</v>
      </c>
      <c r="Y550" s="1"/>
      <c r="Z550" s="1">
        <v>0.99099999999999999</v>
      </c>
      <c r="AA550" s="1" t="s">
        <v>111</v>
      </c>
      <c r="AB550" s="1" t="s">
        <v>111</v>
      </c>
      <c r="AC550" s="1" t="s">
        <v>111</v>
      </c>
      <c r="AD550" s="1" t="s">
        <v>111</v>
      </c>
      <c r="AE550" s="1" t="s">
        <v>111</v>
      </c>
      <c r="AF550" s="1" t="s">
        <v>111</v>
      </c>
      <c r="AG550" s="1" t="s">
        <v>111</v>
      </c>
      <c r="AH550" s="1" t="s">
        <v>111</v>
      </c>
      <c r="AI550" s="1">
        <v>82.57</v>
      </c>
      <c r="AJ550" s="1" t="s">
        <v>111</v>
      </c>
      <c r="AK550" s="1"/>
      <c r="AL550" s="1" t="s">
        <v>111</v>
      </c>
      <c r="AM550" s="1"/>
      <c r="AN550" s="1" t="s">
        <v>111</v>
      </c>
      <c r="AO550" s="1"/>
      <c r="AP550" s="1" t="s">
        <v>111</v>
      </c>
      <c r="AQ550" s="1" t="s">
        <v>111</v>
      </c>
    </row>
    <row r="551" spans="1:43" x14ac:dyDescent="0.25">
      <c r="A551" s="1">
        <v>223</v>
      </c>
      <c r="B551" s="1" t="s">
        <v>296</v>
      </c>
      <c r="C551" s="1" t="s">
        <v>103</v>
      </c>
      <c r="D551" s="1" t="s">
        <v>419</v>
      </c>
      <c r="E551" s="1" t="s">
        <v>269</v>
      </c>
      <c r="F551" s="1" t="s">
        <v>106</v>
      </c>
      <c r="G551" s="1" t="s">
        <v>107</v>
      </c>
      <c r="H551" s="1" t="s">
        <v>108</v>
      </c>
      <c r="I551" s="1">
        <v>24.777000000000001</v>
      </c>
      <c r="J551" s="1">
        <v>24.882999999999999</v>
      </c>
      <c r="K551" s="1">
        <v>0.16</v>
      </c>
      <c r="L551" s="1"/>
      <c r="M551" s="1"/>
      <c r="N551" s="1"/>
      <c r="O551" s="1"/>
      <c r="P551" s="1"/>
      <c r="Q551" s="1"/>
      <c r="R551" s="1"/>
      <c r="S551" s="1" t="s">
        <v>109</v>
      </c>
      <c r="T551" s="1">
        <v>0.187</v>
      </c>
      <c r="U551" s="1" t="s">
        <v>109</v>
      </c>
      <c r="V551" s="1">
        <v>3</v>
      </c>
      <c r="W551" s="1">
        <v>20</v>
      </c>
      <c r="X551" s="1" t="s">
        <v>110</v>
      </c>
      <c r="Y551" s="1"/>
      <c r="Z551" s="1">
        <v>0.99099999999999999</v>
      </c>
      <c r="AA551" s="1" t="s">
        <v>111</v>
      </c>
      <c r="AB551" s="1" t="s">
        <v>111</v>
      </c>
      <c r="AC551" s="1" t="s">
        <v>111</v>
      </c>
      <c r="AD551" s="1" t="s">
        <v>111</v>
      </c>
      <c r="AE551" s="1" t="s">
        <v>111</v>
      </c>
      <c r="AF551" s="1" t="s">
        <v>111</v>
      </c>
      <c r="AG551" s="1" t="s">
        <v>111</v>
      </c>
      <c r="AH551" s="1" t="s">
        <v>111</v>
      </c>
      <c r="AI551" s="1">
        <v>82.57</v>
      </c>
      <c r="AJ551" s="1" t="s">
        <v>111</v>
      </c>
      <c r="AK551" s="1"/>
      <c r="AL551" s="1" t="s">
        <v>111</v>
      </c>
      <c r="AM551" s="1"/>
      <c r="AN551" s="1" t="s">
        <v>111</v>
      </c>
      <c r="AO551" s="1"/>
      <c r="AP551" s="1" t="s">
        <v>111</v>
      </c>
      <c r="AQ551" s="1" t="s">
        <v>111</v>
      </c>
    </row>
    <row r="552" spans="1:43" x14ac:dyDescent="0.25">
      <c r="A552" s="1">
        <v>224</v>
      </c>
      <c r="B552" s="1" t="s">
        <v>297</v>
      </c>
      <c r="C552" s="1" t="s">
        <v>103</v>
      </c>
      <c r="D552" s="1" t="s">
        <v>419</v>
      </c>
      <c r="E552" s="1" t="s">
        <v>269</v>
      </c>
      <c r="F552" s="1" t="s">
        <v>106</v>
      </c>
      <c r="G552" s="1" t="s">
        <v>107</v>
      </c>
      <c r="H552" s="1" t="s">
        <v>108</v>
      </c>
      <c r="I552" s="1">
        <v>24.73</v>
      </c>
      <c r="J552" s="1">
        <v>24.882999999999999</v>
      </c>
      <c r="K552" s="1">
        <v>0.16</v>
      </c>
      <c r="L552" s="1"/>
      <c r="M552" s="1"/>
      <c r="N552" s="1"/>
      <c r="O552" s="1"/>
      <c r="P552" s="1"/>
      <c r="Q552" s="1"/>
      <c r="R552" s="1"/>
      <c r="S552" s="1" t="s">
        <v>109</v>
      </c>
      <c r="T552" s="1">
        <v>0.187</v>
      </c>
      <c r="U552" s="1" t="s">
        <v>109</v>
      </c>
      <c r="V552" s="1">
        <v>3</v>
      </c>
      <c r="W552" s="1">
        <v>19</v>
      </c>
      <c r="X552" s="1" t="s">
        <v>110</v>
      </c>
      <c r="Y552" s="1"/>
      <c r="Z552" s="1">
        <v>0.99399999999999999</v>
      </c>
      <c r="AA552" s="1" t="s">
        <v>111</v>
      </c>
      <c r="AB552" s="1" t="s">
        <v>111</v>
      </c>
      <c r="AC552" s="1" t="s">
        <v>111</v>
      </c>
      <c r="AD552" s="1" t="s">
        <v>111</v>
      </c>
      <c r="AE552" s="1" t="s">
        <v>111</v>
      </c>
      <c r="AF552" s="1" t="s">
        <v>111</v>
      </c>
      <c r="AG552" s="1" t="s">
        <v>111</v>
      </c>
      <c r="AH552" s="1" t="s">
        <v>111</v>
      </c>
      <c r="AI552" s="1">
        <v>82.57</v>
      </c>
      <c r="AJ552" s="1" t="s">
        <v>111</v>
      </c>
      <c r="AK552" s="1"/>
      <c r="AL552" s="1" t="s">
        <v>111</v>
      </c>
      <c r="AM552" s="1"/>
      <c r="AN552" s="1" t="s">
        <v>111</v>
      </c>
      <c r="AO552" s="1"/>
      <c r="AP552" s="1" t="s">
        <v>111</v>
      </c>
      <c r="AQ552" s="1" t="s">
        <v>111</v>
      </c>
    </row>
    <row r="553" spans="1:43" x14ac:dyDescent="0.25">
      <c r="A553" s="1">
        <v>225</v>
      </c>
      <c r="B553" s="1" t="s">
        <v>298</v>
      </c>
      <c r="C553" s="1" t="s">
        <v>103</v>
      </c>
      <c r="D553" s="1" t="s">
        <v>420</v>
      </c>
      <c r="E553" s="1" t="s">
        <v>269</v>
      </c>
      <c r="F553" s="1" t="s">
        <v>106</v>
      </c>
      <c r="G553" s="1" t="s">
        <v>107</v>
      </c>
      <c r="H553" s="1" t="s">
        <v>108</v>
      </c>
      <c r="I553" s="1">
        <v>25.298999999999999</v>
      </c>
      <c r="J553" s="1">
        <v>25.38</v>
      </c>
      <c r="K553" s="1">
        <v>0.20899999999999999</v>
      </c>
      <c r="L553" s="1"/>
      <c r="M553" s="1"/>
      <c r="N553" s="1"/>
      <c r="O553" s="1"/>
      <c r="P553" s="1"/>
      <c r="Q553" s="1"/>
      <c r="R553" s="1"/>
      <c r="S553" s="1" t="s">
        <v>109</v>
      </c>
      <c r="T553" s="1">
        <v>0.187</v>
      </c>
      <c r="U553" s="1" t="s">
        <v>109</v>
      </c>
      <c r="V553" s="1">
        <v>3</v>
      </c>
      <c r="W553" s="1">
        <v>20</v>
      </c>
      <c r="X553" s="1" t="s">
        <v>110</v>
      </c>
      <c r="Y553" s="1"/>
      <c r="Z553" s="1">
        <v>0.99199999999999999</v>
      </c>
      <c r="AA553" s="1" t="s">
        <v>111</v>
      </c>
      <c r="AB553" s="1" t="s">
        <v>111</v>
      </c>
      <c r="AC553" s="1" t="s">
        <v>111</v>
      </c>
      <c r="AD553" s="1" t="s">
        <v>111</v>
      </c>
      <c r="AE553" s="1" t="s">
        <v>111</v>
      </c>
      <c r="AF553" s="1" t="s">
        <v>111</v>
      </c>
      <c r="AG553" s="1" t="s">
        <v>111</v>
      </c>
      <c r="AH553" s="1" t="s">
        <v>111</v>
      </c>
      <c r="AI553" s="1">
        <v>82.581000000000003</v>
      </c>
      <c r="AJ553" s="1" t="s">
        <v>111</v>
      </c>
      <c r="AK553" s="1"/>
      <c r="AL553" s="1" t="s">
        <v>111</v>
      </c>
      <c r="AM553" s="1"/>
      <c r="AN553" s="1" t="s">
        <v>111</v>
      </c>
      <c r="AO553" s="1"/>
      <c r="AP553" s="1" t="s">
        <v>111</v>
      </c>
      <c r="AQ553" s="1" t="s">
        <v>111</v>
      </c>
    </row>
    <row r="554" spans="1:43" x14ac:dyDescent="0.25">
      <c r="A554" s="1">
        <v>226</v>
      </c>
      <c r="B554" s="1" t="s">
        <v>299</v>
      </c>
      <c r="C554" s="1" t="s">
        <v>103</v>
      </c>
      <c r="D554" s="1" t="s">
        <v>420</v>
      </c>
      <c r="E554" s="1" t="s">
        <v>269</v>
      </c>
      <c r="F554" s="1" t="s">
        <v>106</v>
      </c>
      <c r="G554" s="1" t="s">
        <v>107</v>
      </c>
      <c r="H554" s="1" t="s">
        <v>108</v>
      </c>
      <c r="I554" s="1">
        <v>25.123000000000001</v>
      </c>
      <c r="J554" s="1">
        <v>25.38</v>
      </c>
      <c r="K554" s="1">
        <v>0.20899999999999999</v>
      </c>
      <c r="L554" s="1"/>
      <c r="M554" s="1"/>
      <c r="N554" s="1"/>
      <c r="O554" s="1"/>
      <c r="P554" s="1"/>
      <c r="Q554" s="1"/>
      <c r="R554" s="1"/>
      <c r="S554" s="1" t="s">
        <v>109</v>
      </c>
      <c r="T554" s="1">
        <v>0.187</v>
      </c>
      <c r="U554" s="1" t="s">
        <v>109</v>
      </c>
      <c r="V554" s="1">
        <v>3</v>
      </c>
      <c r="W554" s="1">
        <v>20</v>
      </c>
      <c r="X554" s="1" t="s">
        <v>110</v>
      </c>
      <c r="Y554" s="1"/>
      <c r="Z554" s="1">
        <v>0.99299999999999999</v>
      </c>
      <c r="AA554" s="1" t="s">
        <v>111</v>
      </c>
      <c r="AB554" s="1" t="s">
        <v>111</v>
      </c>
      <c r="AC554" s="1" t="s">
        <v>111</v>
      </c>
      <c r="AD554" s="1" t="s">
        <v>111</v>
      </c>
      <c r="AE554" s="1" t="s">
        <v>111</v>
      </c>
      <c r="AF554" s="1" t="s">
        <v>111</v>
      </c>
      <c r="AG554" s="1" t="s">
        <v>111</v>
      </c>
      <c r="AH554" s="1" t="s">
        <v>111</v>
      </c>
      <c r="AI554" s="1">
        <v>82.581000000000003</v>
      </c>
      <c r="AJ554" s="1" t="s">
        <v>111</v>
      </c>
      <c r="AK554" s="1"/>
      <c r="AL554" s="1" t="s">
        <v>111</v>
      </c>
      <c r="AM554" s="1"/>
      <c r="AN554" s="1" t="s">
        <v>111</v>
      </c>
      <c r="AO554" s="1"/>
      <c r="AP554" s="1" t="s">
        <v>111</v>
      </c>
      <c r="AQ554" s="1" t="s">
        <v>111</v>
      </c>
    </row>
    <row r="555" spans="1:43" x14ac:dyDescent="0.25">
      <c r="A555" s="1">
        <v>227</v>
      </c>
      <c r="B555" s="1" t="s">
        <v>300</v>
      </c>
      <c r="C555" s="1" t="s">
        <v>103</v>
      </c>
      <c r="D555" s="1" t="s">
        <v>421</v>
      </c>
      <c r="E555" s="1" t="s">
        <v>269</v>
      </c>
      <c r="F555" s="1" t="s">
        <v>106</v>
      </c>
      <c r="G555" s="1" t="s">
        <v>107</v>
      </c>
      <c r="H555" s="1" t="s">
        <v>108</v>
      </c>
      <c r="I555" s="1">
        <v>25.088000000000001</v>
      </c>
      <c r="J555" s="1">
        <v>25.001999999999999</v>
      </c>
      <c r="K555" s="1">
        <v>0.107</v>
      </c>
      <c r="L555" s="1"/>
      <c r="M555" s="1"/>
      <c r="N555" s="1"/>
      <c r="O555" s="1"/>
      <c r="P555" s="1"/>
      <c r="Q555" s="1"/>
      <c r="R555" s="1"/>
      <c r="S555" s="1" t="s">
        <v>109</v>
      </c>
      <c r="T555" s="1">
        <v>0.187</v>
      </c>
      <c r="U555" s="1" t="s">
        <v>109</v>
      </c>
      <c r="V555" s="1">
        <v>3</v>
      </c>
      <c r="W555" s="1">
        <v>20</v>
      </c>
      <c r="X555" s="1" t="s">
        <v>110</v>
      </c>
      <c r="Y555" s="1"/>
      <c r="Z555" s="1">
        <v>0.99299999999999999</v>
      </c>
      <c r="AA555" s="1" t="s">
        <v>111</v>
      </c>
      <c r="AB555" s="1" t="s">
        <v>111</v>
      </c>
      <c r="AC555" s="1" t="s">
        <v>111</v>
      </c>
      <c r="AD555" s="1" t="s">
        <v>111</v>
      </c>
      <c r="AE555" s="1" t="s">
        <v>111</v>
      </c>
      <c r="AF555" s="1" t="s">
        <v>111</v>
      </c>
      <c r="AG555" s="1" t="s">
        <v>111</v>
      </c>
      <c r="AH555" s="1" t="s">
        <v>111</v>
      </c>
      <c r="AI555" s="1">
        <v>82.581000000000003</v>
      </c>
      <c r="AJ555" s="1" t="s">
        <v>111</v>
      </c>
      <c r="AK555" s="1"/>
      <c r="AL555" s="1" t="s">
        <v>111</v>
      </c>
      <c r="AM555" s="1"/>
      <c r="AN555" s="1" t="s">
        <v>111</v>
      </c>
      <c r="AO555" s="1"/>
      <c r="AP555" s="1" t="s">
        <v>111</v>
      </c>
      <c r="AQ555" s="1" t="s">
        <v>111</v>
      </c>
    </row>
    <row r="556" spans="1:43" x14ac:dyDescent="0.25">
      <c r="A556" s="1">
        <v>228</v>
      </c>
      <c r="B556" s="1" t="s">
        <v>301</v>
      </c>
      <c r="C556" s="1" t="s">
        <v>103</v>
      </c>
      <c r="D556" s="1" t="s">
        <v>421</v>
      </c>
      <c r="E556" s="1" t="s">
        <v>269</v>
      </c>
      <c r="F556" s="1" t="s">
        <v>106</v>
      </c>
      <c r="G556" s="1" t="s">
        <v>107</v>
      </c>
      <c r="H556" s="1" t="s">
        <v>108</v>
      </c>
      <c r="I556" s="1">
        <v>24.963000000000001</v>
      </c>
      <c r="J556" s="1">
        <v>25.001999999999999</v>
      </c>
      <c r="K556" s="1">
        <v>0.107</v>
      </c>
      <c r="L556" s="1"/>
      <c r="M556" s="1"/>
      <c r="N556" s="1"/>
      <c r="O556" s="1"/>
      <c r="P556" s="1"/>
      <c r="Q556" s="1"/>
      <c r="R556" s="1"/>
      <c r="S556" s="1" t="s">
        <v>109</v>
      </c>
      <c r="T556" s="1">
        <v>0.187</v>
      </c>
      <c r="U556" s="1" t="s">
        <v>109</v>
      </c>
      <c r="V556" s="1">
        <v>3</v>
      </c>
      <c r="W556" s="1">
        <v>19</v>
      </c>
      <c r="X556" s="1" t="s">
        <v>110</v>
      </c>
      <c r="Y556" s="1"/>
      <c r="Z556" s="1">
        <v>0.99299999999999999</v>
      </c>
      <c r="AA556" s="1" t="s">
        <v>111</v>
      </c>
      <c r="AB556" s="1" t="s">
        <v>111</v>
      </c>
      <c r="AC556" s="1" t="s">
        <v>111</v>
      </c>
      <c r="AD556" s="1" t="s">
        <v>111</v>
      </c>
      <c r="AE556" s="1" t="s">
        <v>111</v>
      </c>
      <c r="AF556" s="1" t="s">
        <v>111</v>
      </c>
      <c r="AG556" s="1" t="s">
        <v>111</v>
      </c>
      <c r="AH556" s="1" t="s">
        <v>111</v>
      </c>
      <c r="AI556" s="1">
        <v>82.581000000000003</v>
      </c>
      <c r="AJ556" s="1" t="s">
        <v>111</v>
      </c>
      <c r="AK556" s="1"/>
      <c r="AL556" s="1" t="s">
        <v>111</v>
      </c>
      <c r="AM556" s="1"/>
      <c r="AN556" s="1" t="s">
        <v>111</v>
      </c>
      <c r="AO556" s="1"/>
      <c r="AP556" s="1" t="s">
        <v>111</v>
      </c>
      <c r="AQ556" s="1" t="s">
        <v>111</v>
      </c>
    </row>
    <row r="557" spans="1:43" x14ac:dyDescent="0.25">
      <c r="A557" s="1">
        <v>233</v>
      </c>
      <c r="B557" s="1" t="s">
        <v>302</v>
      </c>
      <c r="C557" s="1" t="s">
        <v>103</v>
      </c>
      <c r="D557" s="1" t="s">
        <v>282</v>
      </c>
      <c r="E557" s="1" t="s">
        <v>105</v>
      </c>
      <c r="F557" s="1" t="s">
        <v>106</v>
      </c>
      <c r="G557" s="1" t="s">
        <v>107</v>
      </c>
      <c r="H557" s="1" t="s">
        <v>108</v>
      </c>
      <c r="I557" s="1" t="s">
        <v>235</v>
      </c>
      <c r="J557" s="1">
        <v>5.5309999999999997</v>
      </c>
      <c r="K557" s="1"/>
      <c r="L557" s="1"/>
      <c r="M557" s="1"/>
      <c r="N557" s="1"/>
      <c r="O557" s="1"/>
      <c r="P557" s="1"/>
      <c r="Q557" s="1"/>
      <c r="R557" s="1"/>
      <c r="S557" s="1" t="s">
        <v>109</v>
      </c>
      <c r="T557" s="1">
        <v>0.44700000000000001</v>
      </c>
      <c r="U557" s="1" t="s">
        <v>109</v>
      </c>
      <c r="V557" s="1">
        <v>3</v>
      </c>
      <c r="W557" s="1">
        <v>15</v>
      </c>
      <c r="X557" s="1" t="s">
        <v>236</v>
      </c>
      <c r="Y557" s="1"/>
      <c r="Z557" s="1">
        <v>0</v>
      </c>
      <c r="AA557" s="1" t="s">
        <v>205</v>
      </c>
      <c r="AB557" s="1" t="s">
        <v>111</v>
      </c>
      <c r="AC557" s="1" t="s">
        <v>111</v>
      </c>
      <c r="AD557" s="1" t="s">
        <v>111</v>
      </c>
      <c r="AE557" s="1" t="s">
        <v>111</v>
      </c>
      <c r="AF557" s="1" t="s">
        <v>111</v>
      </c>
      <c r="AG557" s="1" t="s">
        <v>111</v>
      </c>
      <c r="AH557" s="1" t="s">
        <v>111</v>
      </c>
      <c r="AI557" s="1">
        <v>60</v>
      </c>
      <c r="AJ557" s="1" t="s">
        <v>111</v>
      </c>
      <c r="AK557" s="1"/>
      <c r="AL557" s="1" t="s">
        <v>111</v>
      </c>
      <c r="AM557" s="1"/>
      <c r="AN557" s="1" t="s">
        <v>205</v>
      </c>
      <c r="AO557" s="1"/>
      <c r="AP557" s="1" t="s">
        <v>111</v>
      </c>
      <c r="AQ557" s="1" t="s">
        <v>205</v>
      </c>
    </row>
    <row r="558" spans="1:43" x14ac:dyDescent="0.25">
      <c r="A558" s="1">
        <v>234</v>
      </c>
      <c r="B558" s="1" t="s">
        <v>303</v>
      </c>
      <c r="C558" s="1" t="s">
        <v>103</v>
      </c>
      <c r="D558" s="1" t="s">
        <v>282</v>
      </c>
      <c r="E558" s="1" t="s">
        <v>105</v>
      </c>
      <c r="F558" s="1" t="s">
        <v>106</v>
      </c>
      <c r="G558" s="1" t="s">
        <v>107</v>
      </c>
      <c r="H558" s="1" t="s">
        <v>108</v>
      </c>
      <c r="I558" s="1">
        <v>5.5309999999999997</v>
      </c>
      <c r="J558" s="1">
        <v>5.5309999999999997</v>
      </c>
      <c r="K558" s="1"/>
      <c r="L558" s="1"/>
      <c r="M558" s="1"/>
      <c r="N558" s="1"/>
      <c r="O558" s="1"/>
      <c r="P558" s="1"/>
      <c r="Q558" s="1"/>
      <c r="R558" s="1"/>
      <c r="S558" s="1" t="s">
        <v>109</v>
      </c>
      <c r="T558" s="1">
        <v>0.44700000000000001</v>
      </c>
      <c r="U558" s="1" t="s">
        <v>109</v>
      </c>
      <c r="V558" s="1">
        <v>3</v>
      </c>
      <c r="W558" s="1">
        <v>3</v>
      </c>
      <c r="X558" s="1" t="s">
        <v>236</v>
      </c>
      <c r="Y558" s="1"/>
      <c r="Z558" s="1">
        <v>0.42399999999999999</v>
      </c>
      <c r="AA558" s="1" t="s">
        <v>205</v>
      </c>
      <c r="AB558" s="1" t="s">
        <v>111</v>
      </c>
      <c r="AC558" s="1" t="s">
        <v>205</v>
      </c>
      <c r="AD558" s="1" t="s">
        <v>111</v>
      </c>
      <c r="AE558" s="1" t="s">
        <v>111</v>
      </c>
      <c r="AF558" s="1" t="s">
        <v>111</v>
      </c>
      <c r="AG558" s="1" t="s">
        <v>111</v>
      </c>
      <c r="AH558" s="1" t="s">
        <v>111</v>
      </c>
      <c r="AI558" s="1">
        <v>60</v>
      </c>
      <c r="AJ558" s="1" t="s">
        <v>111</v>
      </c>
      <c r="AK558" s="1"/>
      <c r="AL558" s="1" t="s">
        <v>111</v>
      </c>
      <c r="AM558" s="1"/>
      <c r="AN558" s="1" t="s">
        <v>205</v>
      </c>
      <c r="AO558" s="1"/>
      <c r="AP558" s="1" t="s">
        <v>111</v>
      </c>
      <c r="AQ558" s="1" t="s">
        <v>205</v>
      </c>
    </row>
    <row r="559" spans="1:43" x14ac:dyDescent="0.25">
      <c r="A559" s="1">
        <v>235</v>
      </c>
      <c r="B559" s="1" t="s">
        <v>304</v>
      </c>
      <c r="C559" s="1" t="s">
        <v>103</v>
      </c>
      <c r="D559" s="1" t="s">
        <v>282</v>
      </c>
      <c r="E559" s="1" t="s">
        <v>158</v>
      </c>
      <c r="F559" s="1" t="s">
        <v>106</v>
      </c>
      <c r="G559" s="1" t="s">
        <v>107</v>
      </c>
      <c r="H559" s="1" t="s">
        <v>108</v>
      </c>
      <c r="I559" s="1" t="s">
        <v>235</v>
      </c>
      <c r="J559" s="1">
        <v>27.305</v>
      </c>
      <c r="K559" s="1">
        <v>10.834</v>
      </c>
      <c r="L559" s="1"/>
      <c r="M559" s="1"/>
      <c r="N559" s="1"/>
      <c r="O559" s="1"/>
      <c r="P559" s="1"/>
      <c r="Q559" s="1"/>
      <c r="R559" s="1"/>
      <c r="S559" s="1" t="s">
        <v>109</v>
      </c>
      <c r="T559" s="1">
        <v>0.36599999999999999</v>
      </c>
      <c r="U559" s="1" t="s">
        <v>109</v>
      </c>
      <c r="V559" s="1">
        <v>3</v>
      </c>
      <c r="W559" s="1">
        <v>24</v>
      </c>
      <c r="X559" s="1" t="s">
        <v>236</v>
      </c>
      <c r="Y559" s="1"/>
      <c r="Z559" s="1">
        <v>0</v>
      </c>
      <c r="AA559" s="1" t="s">
        <v>205</v>
      </c>
      <c r="AB559" s="1" t="s">
        <v>111</v>
      </c>
      <c r="AC559" s="1" t="s">
        <v>111</v>
      </c>
      <c r="AD559" s="1" t="s">
        <v>111</v>
      </c>
      <c r="AE559" s="1" t="s">
        <v>111</v>
      </c>
      <c r="AF559" s="1" t="s">
        <v>205</v>
      </c>
      <c r="AG559" s="1" t="s">
        <v>111</v>
      </c>
      <c r="AH559" s="1" t="s">
        <v>111</v>
      </c>
      <c r="AI559" s="1">
        <v>60</v>
      </c>
      <c r="AJ559" s="1" t="s">
        <v>111</v>
      </c>
      <c r="AK559" s="1"/>
      <c r="AL559" s="1" t="s">
        <v>111</v>
      </c>
      <c r="AM559" s="1"/>
      <c r="AN559" s="1" t="s">
        <v>205</v>
      </c>
      <c r="AO559" s="1"/>
      <c r="AP559" s="1" t="s">
        <v>111</v>
      </c>
      <c r="AQ559" s="1" t="s">
        <v>205</v>
      </c>
    </row>
    <row r="560" spans="1:43" x14ac:dyDescent="0.25">
      <c r="A560" s="1">
        <v>236</v>
      </c>
      <c r="B560" s="1" t="s">
        <v>305</v>
      </c>
      <c r="C560" s="1" t="s">
        <v>103</v>
      </c>
      <c r="D560" s="1" t="s">
        <v>282</v>
      </c>
      <c r="E560" s="1" t="s">
        <v>158</v>
      </c>
      <c r="F560" s="1" t="s">
        <v>106</v>
      </c>
      <c r="G560" s="1" t="s">
        <v>107</v>
      </c>
      <c r="H560" s="1" t="s">
        <v>108</v>
      </c>
      <c r="I560" s="1">
        <v>19.643999999999998</v>
      </c>
      <c r="J560" s="1">
        <v>27.305</v>
      </c>
      <c r="K560" s="1">
        <v>10.834</v>
      </c>
      <c r="L560" s="1"/>
      <c r="M560" s="1"/>
      <c r="N560" s="1"/>
      <c r="O560" s="1"/>
      <c r="P560" s="1"/>
      <c r="Q560" s="1"/>
      <c r="R560" s="1"/>
      <c r="S560" s="1" t="s">
        <v>109</v>
      </c>
      <c r="T560" s="1">
        <v>0.36599999999999999</v>
      </c>
      <c r="U560" s="1" t="s">
        <v>109</v>
      </c>
      <c r="V560" s="1">
        <v>3</v>
      </c>
      <c r="W560" s="1">
        <v>14</v>
      </c>
      <c r="X560" s="1" t="s">
        <v>236</v>
      </c>
      <c r="Y560" s="1"/>
      <c r="Z560" s="1">
        <v>0</v>
      </c>
      <c r="AA560" s="1" t="s">
        <v>205</v>
      </c>
      <c r="AB560" s="1" t="s">
        <v>111</v>
      </c>
      <c r="AC560" s="1" t="s">
        <v>205</v>
      </c>
      <c r="AD560" s="1" t="s">
        <v>205</v>
      </c>
      <c r="AE560" s="1" t="s">
        <v>111</v>
      </c>
      <c r="AF560" s="1" t="s">
        <v>111</v>
      </c>
      <c r="AG560" s="1" t="s">
        <v>205</v>
      </c>
      <c r="AH560" s="1" t="s">
        <v>111</v>
      </c>
      <c r="AI560" s="1">
        <v>60</v>
      </c>
      <c r="AJ560" s="1" t="s">
        <v>111</v>
      </c>
      <c r="AK560" s="1"/>
      <c r="AL560" s="1" t="s">
        <v>111</v>
      </c>
      <c r="AM560" s="1"/>
      <c r="AN560" s="1" t="s">
        <v>205</v>
      </c>
      <c r="AO560" s="1"/>
      <c r="AP560" s="1" t="s">
        <v>111</v>
      </c>
      <c r="AQ560" s="1" t="s">
        <v>205</v>
      </c>
    </row>
    <row r="561" spans="1:43" x14ac:dyDescent="0.25">
      <c r="A561" s="1">
        <v>237</v>
      </c>
      <c r="B561" s="1" t="s">
        <v>306</v>
      </c>
      <c r="C561" s="1" t="s">
        <v>103</v>
      </c>
      <c r="D561" s="1" t="s">
        <v>282</v>
      </c>
      <c r="E561" s="1" t="s">
        <v>191</v>
      </c>
      <c r="F561" s="1" t="s">
        <v>106</v>
      </c>
      <c r="G561" s="1" t="s">
        <v>107</v>
      </c>
      <c r="H561" s="1" t="s">
        <v>108</v>
      </c>
      <c r="I561" s="1" t="s">
        <v>235</v>
      </c>
      <c r="J561" s="1">
        <v>36.485999999999997</v>
      </c>
      <c r="K561" s="1"/>
      <c r="L561" s="1"/>
      <c r="M561" s="1"/>
      <c r="N561" s="1"/>
      <c r="O561" s="1"/>
      <c r="P561" s="1"/>
      <c r="Q561" s="1"/>
      <c r="R561" s="1"/>
      <c r="S561" s="1" t="s">
        <v>109</v>
      </c>
      <c r="T561" s="1">
        <v>0.51400000000000001</v>
      </c>
      <c r="U561" s="1" t="s">
        <v>109</v>
      </c>
      <c r="V561" s="1">
        <v>3</v>
      </c>
      <c r="W561" s="1">
        <v>39</v>
      </c>
      <c r="X561" s="1" t="s">
        <v>236</v>
      </c>
      <c r="Y561" s="1"/>
      <c r="Z561" s="1">
        <v>0</v>
      </c>
      <c r="AA561" s="1" t="s">
        <v>205</v>
      </c>
      <c r="AB561" s="1" t="s">
        <v>205</v>
      </c>
      <c r="AC561" s="1" t="s">
        <v>111</v>
      </c>
      <c r="AD561" s="1" t="s">
        <v>111</v>
      </c>
      <c r="AE561" s="1" t="s">
        <v>111</v>
      </c>
      <c r="AF561" s="1" t="s">
        <v>111</v>
      </c>
      <c r="AG561" s="1" t="s">
        <v>111</v>
      </c>
      <c r="AH561" s="1" t="s">
        <v>111</v>
      </c>
      <c r="AI561" s="1">
        <v>60.000999999999998</v>
      </c>
      <c r="AJ561" s="1" t="s">
        <v>111</v>
      </c>
      <c r="AK561" s="1"/>
      <c r="AL561" s="1" t="s">
        <v>111</v>
      </c>
      <c r="AM561" s="1"/>
      <c r="AN561" s="1" t="s">
        <v>205</v>
      </c>
      <c r="AO561" s="1"/>
      <c r="AP561" s="1" t="s">
        <v>111</v>
      </c>
      <c r="AQ561" s="1" t="s">
        <v>205</v>
      </c>
    </row>
    <row r="562" spans="1:43" x14ac:dyDescent="0.25">
      <c r="A562" s="1">
        <v>238</v>
      </c>
      <c r="B562" s="1" t="s">
        <v>307</v>
      </c>
      <c r="C562" s="1" t="s">
        <v>103</v>
      </c>
      <c r="D562" s="1" t="s">
        <v>282</v>
      </c>
      <c r="E562" s="1" t="s">
        <v>191</v>
      </c>
      <c r="F562" s="1" t="s">
        <v>106</v>
      </c>
      <c r="G562" s="1" t="s">
        <v>107</v>
      </c>
      <c r="H562" s="1" t="s">
        <v>108</v>
      </c>
      <c r="I562" s="1">
        <v>36.485999999999997</v>
      </c>
      <c r="J562" s="1">
        <v>36.485999999999997</v>
      </c>
      <c r="K562" s="1"/>
      <c r="L562" s="1"/>
      <c r="M562" s="1"/>
      <c r="N562" s="1"/>
      <c r="O562" s="1"/>
      <c r="P562" s="1"/>
      <c r="Q562" s="1"/>
      <c r="R562" s="1"/>
      <c r="S562" s="1" t="s">
        <v>109</v>
      </c>
      <c r="T562" s="1">
        <v>0.51400000000000001</v>
      </c>
      <c r="U562" s="1" t="s">
        <v>109</v>
      </c>
      <c r="V562" s="1">
        <v>3</v>
      </c>
      <c r="W562" s="1">
        <v>35</v>
      </c>
      <c r="X562" s="1" t="s">
        <v>236</v>
      </c>
      <c r="Y562" s="1"/>
      <c r="Z562" s="1">
        <v>0.28999999999999998</v>
      </c>
      <c r="AA562" s="1" t="s">
        <v>205</v>
      </c>
      <c r="AB562" s="1" t="s">
        <v>111</v>
      </c>
      <c r="AC562" s="1" t="s">
        <v>205</v>
      </c>
      <c r="AD562" s="1" t="s">
        <v>111</v>
      </c>
      <c r="AE562" s="1" t="s">
        <v>111</v>
      </c>
      <c r="AF562" s="1" t="s">
        <v>111</v>
      </c>
      <c r="AG562" s="1" t="s">
        <v>111</v>
      </c>
      <c r="AH562" s="1" t="s">
        <v>111</v>
      </c>
      <c r="AI562" s="1">
        <v>61.694000000000003</v>
      </c>
      <c r="AJ562" s="1" t="s">
        <v>205</v>
      </c>
      <c r="AK562" s="1"/>
      <c r="AL562" s="1" t="s">
        <v>205</v>
      </c>
      <c r="AM562" s="1"/>
      <c r="AN562" s="1" t="s">
        <v>205</v>
      </c>
      <c r="AO562" s="1"/>
      <c r="AP562" s="1" t="s">
        <v>111</v>
      </c>
      <c r="AQ562" s="1" t="s">
        <v>205</v>
      </c>
    </row>
    <row r="563" spans="1:43" x14ac:dyDescent="0.25">
      <c r="A563" s="1">
        <v>239</v>
      </c>
      <c r="B563" s="1" t="s">
        <v>308</v>
      </c>
      <c r="C563" s="1" t="s">
        <v>103</v>
      </c>
      <c r="D563" s="1" t="s">
        <v>282</v>
      </c>
      <c r="E563" s="1" t="s">
        <v>234</v>
      </c>
      <c r="F563" s="1" t="s">
        <v>106</v>
      </c>
      <c r="G563" s="1" t="s">
        <v>107</v>
      </c>
      <c r="H563" s="1" t="s">
        <v>108</v>
      </c>
      <c r="I563" s="1">
        <v>21.722999999999999</v>
      </c>
      <c r="J563" s="1">
        <v>25.510999999999999</v>
      </c>
      <c r="K563" s="1">
        <v>5.3570000000000002</v>
      </c>
      <c r="L563" s="1"/>
      <c r="M563" s="1"/>
      <c r="N563" s="1"/>
      <c r="O563" s="1"/>
      <c r="P563" s="1"/>
      <c r="Q563" s="1"/>
      <c r="R563" s="1"/>
      <c r="S563" s="1" t="s">
        <v>109</v>
      </c>
      <c r="T563" s="1">
        <v>0.36299999999999999</v>
      </c>
      <c r="U563" s="1" t="s">
        <v>109</v>
      </c>
      <c r="V563" s="1">
        <v>3</v>
      </c>
      <c r="W563" s="1">
        <v>16</v>
      </c>
      <c r="X563" s="1" t="s">
        <v>236</v>
      </c>
      <c r="Y563" s="1"/>
      <c r="Z563" s="1">
        <v>0</v>
      </c>
      <c r="AA563" s="1" t="s">
        <v>205</v>
      </c>
      <c r="AB563" s="1" t="s">
        <v>111</v>
      </c>
      <c r="AC563" s="1" t="s">
        <v>205</v>
      </c>
      <c r="AD563" s="1" t="s">
        <v>205</v>
      </c>
      <c r="AE563" s="1" t="s">
        <v>111</v>
      </c>
      <c r="AF563" s="1" t="s">
        <v>111</v>
      </c>
      <c r="AG563" s="1" t="s">
        <v>205</v>
      </c>
      <c r="AH563" s="1" t="s">
        <v>111</v>
      </c>
      <c r="AI563" s="1">
        <v>60.000999999999998</v>
      </c>
      <c r="AJ563" s="1" t="s">
        <v>111</v>
      </c>
      <c r="AK563" s="1"/>
      <c r="AL563" s="1" t="s">
        <v>111</v>
      </c>
      <c r="AM563" s="1"/>
      <c r="AN563" s="1" t="s">
        <v>205</v>
      </c>
      <c r="AO563" s="1"/>
      <c r="AP563" s="1" t="s">
        <v>111</v>
      </c>
      <c r="AQ563" s="1" t="s">
        <v>205</v>
      </c>
    </row>
    <row r="564" spans="1:43" x14ac:dyDescent="0.25">
      <c r="A564" s="1">
        <v>240</v>
      </c>
      <c r="B564" s="1" t="s">
        <v>309</v>
      </c>
      <c r="C564" s="1" t="s">
        <v>103</v>
      </c>
      <c r="D564" s="1" t="s">
        <v>282</v>
      </c>
      <c r="E564" s="1" t="s">
        <v>234</v>
      </c>
      <c r="F564" s="1" t="s">
        <v>106</v>
      </c>
      <c r="G564" s="1" t="s">
        <v>107</v>
      </c>
      <c r="H564" s="1" t="s">
        <v>108</v>
      </c>
      <c r="I564" s="1">
        <v>29.298999999999999</v>
      </c>
      <c r="J564" s="1">
        <v>25.510999999999999</v>
      </c>
      <c r="K564" s="1">
        <v>5.3570000000000002</v>
      </c>
      <c r="L564" s="1"/>
      <c r="M564" s="1"/>
      <c r="N564" s="1"/>
      <c r="O564" s="1"/>
      <c r="P564" s="1"/>
      <c r="Q564" s="1"/>
      <c r="R564" s="1"/>
      <c r="S564" s="1" t="s">
        <v>109</v>
      </c>
      <c r="T564" s="1">
        <v>0.36299999999999999</v>
      </c>
      <c r="U564" s="1" t="s">
        <v>109</v>
      </c>
      <c r="V564" s="1">
        <v>3</v>
      </c>
      <c r="W564" s="1">
        <v>26</v>
      </c>
      <c r="X564" s="1" t="s">
        <v>236</v>
      </c>
      <c r="Y564" s="1"/>
      <c r="Z564" s="1">
        <v>0</v>
      </c>
      <c r="AA564" s="1" t="s">
        <v>205</v>
      </c>
      <c r="AB564" s="1" t="s">
        <v>111</v>
      </c>
      <c r="AC564" s="1" t="s">
        <v>205</v>
      </c>
      <c r="AD564" s="1" t="s">
        <v>205</v>
      </c>
      <c r="AE564" s="1" t="s">
        <v>111</v>
      </c>
      <c r="AF564" s="1" t="s">
        <v>111</v>
      </c>
      <c r="AG564" s="1" t="s">
        <v>205</v>
      </c>
      <c r="AH564" s="1" t="s">
        <v>111</v>
      </c>
      <c r="AI564" s="1">
        <v>60.000999999999998</v>
      </c>
      <c r="AJ564" s="1" t="s">
        <v>111</v>
      </c>
      <c r="AK564" s="1"/>
      <c r="AL564" s="1" t="s">
        <v>111</v>
      </c>
      <c r="AM564" s="1"/>
      <c r="AN564" s="1" t="s">
        <v>205</v>
      </c>
      <c r="AO564" s="1"/>
      <c r="AP564" s="1" t="s">
        <v>111</v>
      </c>
      <c r="AQ564" s="1" t="s">
        <v>205</v>
      </c>
    </row>
    <row r="565" spans="1:43" x14ac:dyDescent="0.25">
      <c r="A565" s="1">
        <v>241</v>
      </c>
      <c r="B565" s="1" t="s">
        <v>310</v>
      </c>
      <c r="C565" s="1" t="s">
        <v>103</v>
      </c>
      <c r="D565" s="1" t="s">
        <v>416</v>
      </c>
      <c r="E565" s="1" t="s">
        <v>311</v>
      </c>
      <c r="F565" s="1" t="s">
        <v>106</v>
      </c>
      <c r="G565" s="1" t="s">
        <v>107</v>
      </c>
      <c r="H565" s="1" t="s">
        <v>108</v>
      </c>
      <c r="I565" s="1" t="s">
        <v>235</v>
      </c>
      <c r="J565" s="1">
        <v>32.341999999999999</v>
      </c>
      <c r="K565" s="1">
        <v>0.64200000000000002</v>
      </c>
      <c r="L565" s="1"/>
      <c r="M565" s="1"/>
      <c r="N565" s="1"/>
      <c r="O565" s="1"/>
      <c r="P565" s="1"/>
      <c r="Q565" s="1"/>
      <c r="R565" s="1"/>
      <c r="S565" s="1" t="s">
        <v>109</v>
      </c>
      <c r="T565" s="1">
        <v>0.13500000000000001</v>
      </c>
      <c r="U565" s="1" t="s">
        <v>109</v>
      </c>
      <c r="V565" s="1">
        <v>3</v>
      </c>
      <c r="W565" s="1">
        <v>39</v>
      </c>
      <c r="X565" s="1" t="s">
        <v>236</v>
      </c>
      <c r="Y565" s="1"/>
      <c r="Z565" s="1">
        <v>0</v>
      </c>
      <c r="AA565" s="1" t="s">
        <v>205</v>
      </c>
      <c r="AB565" s="1" t="s">
        <v>205</v>
      </c>
      <c r="AC565" s="1" t="s">
        <v>111</v>
      </c>
      <c r="AD565" s="1" t="s">
        <v>111</v>
      </c>
      <c r="AE565" s="1" t="s">
        <v>111</v>
      </c>
      <c r="AF565" s="1" t="s">
        <v>111</v>
      </c>
      <c r="AG565" s="1" t="s">
        <v>111</v>
      </c>
      <c r="AH565" s="1" t="s">
        <v>111</v>
      </c>
      <c r="AI565" s="1">
        <v>60</v>
      </c>
      <c r="AJ565" s="1" t="s">
        <v>111</v>
      </c>
      <c r="AK565" s="1"/>
      <c r="AL565" s="1" t="s">
        <v>111</v>
      </c>
      <c r="AM565" s="1"/>
      <c r="AN565" s="1" t="s">
        <v>111</v>
      </c>
      <c r="AO565" s="1"/>
      <c r="AP565" s="1" t="s">
        <v>205</v>
      </c>
      <c r="AQ565" s="1" t="s">
        <v>111</v>
      </c>
    </row>
    <row r="566" spans="1:43" x14ac:dyDescent="0.25">
      <c r="A566" s="1">
        <v>242</v>
      </c>
      <c r="B566" s="1" t="s">
        <v>312</v>
      </c>
      <c r="C566" s="1" t="s">
        <v>103</v>
      </c>
      <c r="D566" s="1" t="s">
        <v>416</v>
      </c>
      <c r="E566" s="1" t="s">
        <v>311</v>
      </c>
      <c r="F566" s="1" t="s">
        <v>106</v>
      </c>
      <c r="G566" s="1" t="s">
        <v>107</v>
      </c>
      <c r="H566" s="1" t="s">
        <v>108</v>
      </c>
      <c r="I566" s="1">
        <v>32.776000000000003</v>
      </c>
      <c r="J566" s="1">
        <v>32.341999999999999</v>
      </c>
      <c r="K566" s="1">
        <v>0.64200000000000002</v>
      </c>
      <c r="L566" s="1"/>
      <c r="M566" s="1"/>
      <c r="N566" s="1"/>
      <c r="O566" s="1"/>
      <c r="P566" s="1"/>
      <c r="Q566" s="1"/>
      <c r="R566" s="1"/>
      <c r="S566" s="1" t="s">
        <v>109</v>
      </c>
      <c r="T566" s="1">
        <v>0.13500000000000001</v>
      </c>
      <c r="U566" s="1" t="s">
        <v>109</v>
      </c>
      <c r="V566" s="1">
        <v>3</v>
      </c>
      <c r="W566" s="1">
        <v>28</v>
      </c>
      <c r="X566" s="1" t="s">
        <v>110</v>
      </c>
      <c r="Y566" s="1"/>
      <c r="Z566" s="1">
        <v>0.98799999999999999</v>
      </c>
      <c r="AA566" s="1" t="s">
        <v>111</v>
      </c>
      <c r="AB566" s="1" t="s">
        <v>111</v>
      </c>
      <c r="AC566" s="1" t="s">
        <v>111</v>
      </c>
      <c r="AD566" s="1" t="s">
        <v>111</v>
      </c>
      <c r="AE566" s="1" t="s">
        <v>111</v>
      </c>
      <c r="AF566" s="1" t="s">
        <v>111</v>
      </c>
      <c r="AG566" s="1" t="s">
        <v>205</v>
      </c>
      <c r="AH566" s="1" t="s">
        <v>111</v>
      </c>
      <c r="AI566" s="1">
        <v>80.662000000000006</v>
      </c>
      <c r="AJ566" s="1" t="s">
        <v>111</v>
      </c>
      <c r="AK566" s="1"/>
      <c r="AL566" s="1" t="s">
        <v>111</v>
      </c>
      <c r="AM566" s="1"/>
      <c r="AN566" s="1" t="s">
        <v>111</v>
      </c>
      <c r="AO566" s="1"/>
      <c r="AP566" s="1" t="s">
        <v>111</v>
      </c>
      <c r="AQ566" s="1" t="s">
        <v>111</v>
      </c>
    </row>
    <row r="567" spans="1:43" x14ac:dyDescent="0.25">
      <c r="A567" s="1">
        <v>243</v>
      </c>
      <c r="B567" s="1" t="s">
        <v>313</v>
      </c>
      <c r="C567" s="1" t="s">
        <v>103</v>
      </c>
      <c r="D567" s="1" t="s">
        <v>417</v>
      </c>
      <c r="E567" s="1" t="s">
        <v>311</v>
      </c>
      <c r="F567" s="1" t="s">
        <v>106</v>
      </c>
      <c r="G567" s="1" t="s">
        <v>107</v>
      </c>
      <c r="H567" s="1" t="s">
        <v>108</v>
      </c>
      <c r="I567" s="1" t="s">
        <v>235</v>
      </c>
      <c r="J567" s="1">
        <v>32.546999999999997</v>
      </c>
      <c r="K567" s="1">
        <v>0.84299999999999997</v>
      </c>
      <c r="L567" s="1"/>
      <c r="M567" s="1"/>
      <c r="N567" s="1"/>
      <c r="O567" s="1"/>
      <c r="P567" s="1"/>
      <c r="Q567" s="1"/>
      <c r="R567" s="1"/>
      <c r="S567" s="1" t="s">
        <v>109</v>
      </c>
      <c r="T567" s="1">
        <v>0.13500000000000001</v>
      </c>
      <c r="U567" s="1" t="s">
        <v>109</v>
      </c>
      <c r="V567" s="1">
        <v>3</v>
      </c>
      <c r="W567" s="1">
        <v>39</v>
      </c>
      <c r="X567" s="1" t="s">
        <v>236</v>
      </c>
      <c r="Y567" s="1"/>
      <c r="Z567" s="1">
        <v>0</v>
      </c>
      <c r="AA567" s="1" t="s">
        <v>205</v>
      </c>
      <c r="AB567" s="1" t="s">
        <v>205</v>
      </c>
      <c r="AC567" s="1" t="s">
        <v>111</v>
      </c>
      <c r="AD567" s="1" t="s">
        <v>111</v>
      </c>
      <c r="AE567" s="1" t="s">
        <v>111</v>
      </c>
      <c r="AF567" s="1" t="s">
        <v>111</v>
      </c>
      <c r="AG567" s="1" t="s">
        <v>111</v>
      </c>
      <c r="AH567" s="1" t="s">
        <v>111</v>
      </c>
      <c r="AI567" s="1">
        <v>60</v>
      </c>
      <c r="AJ567" s="1" t="s">
        <v>111</v>
      </c>
      <c r="AK567" s="1"/>
      <c r="AL567" s="1" t="s">
        <v>111</v>
      </c>
      <c r="AM567" s="1"/>
      <c r="AN567" s="1" t="s">
        <v>111</v>
      </c>
      <c r="AO567" s="1"/>
      <c r="AP567" s="1" t="s">
        <v>205</v>
      </c>
      <c r="AQ567" s="1" t="s">
        <v>111</v>
      </c>
    </row>
    <row r="568" spans="1:43" x14ac:dyDescent="0.25">
      <c r="A568" s="1">
        <v>244</v>
      </c>
      <c r="B568" s="1" t="s">
        <v>314</v>
      </c>
      <c r="C568" s="1" t="s">
        <v>103</v>
      </c>
      <c r="D568" s="1" t="s">
        <v>417</v>
      </c>
      <c r="E568" s="1" t="s">
        <v>311</v>
      </c>
      <c r="F568" s="1" t="s">
        <v>106</v>
      </c>
      <c r="G568" s="1" t="s">
        <v>107</v>
      </c>
      <c r="H568" s="1" t="s">
        <v>108</v>
      </c>
      <c r="I568" s="1">
        <v>31.658000000000001</v>
      </c>
      <c r="J568" s="1">
        <v>32.546999999999997</v>
      </c>
      <c r="K568" s="1">
        <v>0.84299999999999997</v>
      </c>
      <c r="L568" s="1"/>
      <c r="M568" s="1"/>
      <c r="N568" s="1"/>
      <c r="O568" s="1"/>
      <c r="P568" s="1"/>
      <c r="Q568" s="1"/>
      <c r="R568" s="1"/>
      <c r="S568" s="1" t="s">
        <v>109</v>
      </c>
      <c r="T568" s="1">
        <v>0.13500000000000001</v>
      </c>
      <c r="U568" s="1" t="s">
        <v>109</v>
      </c>
      <c r="V568" s="1">
        <v>3</v>
      </c>
      <c r="W568" s="1">
        <v>27</v>
      </c>
      <c r="X568" s="1" t="s">
        <v>110</v>
      </c>
      <c r="Y568" s="1"/>
      <c r="Z568" s="1">
        <v>0.98499999999999999</v>
      </c>
      <c r="AA568" s="1" t="s">
        <v>111</v>
      </c>
      <c r="AB568" s="1" t="s">
        <v>111</v>
      </c>
      <c r="AC568" s="1" t="s">
        <v>111</v>
      </c>
      <c r="AD568" s="1" t="s">
        <v>111</v>
      </c>
      <c r="AE568" s="1" t="s">
        <v>111</v>
      </c>
      <c r="AF568" s="1" t="s">
        <v>111</v>
      </c>
      <c r="AG568" s="1" t="s">
        <v>205</v>
      </c>
      <c r="AH568" s="1" t="s">
        <v>111</v>
      </c>
      <c r="AI568" s="1">
        <v>80.662000000000006</v>
      </c>
      <c r="AJ568" s="1" t="s">
        <v>111</v>
      </c>
      <c r="AK568" s="1"/>
      <c r="AL568" s="1" t="s">
        <v>111</v>
      </c>
      <c r="AM568" s="1"/>
      <c r="AN568" s="1" t="s">
        <v>111</v>
      </c>
      <c r="AO568" s="1"/>
      <c r="AP568" s="1" t="s">
        <v>111</v>
      </c>
      <c r="AQ568" s="1" t="s">
        <v>111</v>
      </c>
    </row>
    <row r="569" spans="1:43" x14ac:dyDescent="0.25">
      <c r="A569" s="1">
        <v>245</v>
      </c>
      <c r="B569" s="1" t="s">
        <v>315</v>
      </c>
      <c r="C569" s="1" t="s">
        <v>103</v>
      </c>
      <c r="D569" s="1" t="s">
        <v>418</v>
      </c>
      <c r="E569" s="1" t="s">
        <v>311</v>
      </c>
      <c r="F569" s="1" t="s">
        <v>106</v>
      </c>
      <c r="G569" s="1" t="s">
        <v>107</v>
      </c>
      <c r="H569" s="1" t="s">
        <v>108</v>
      </c>
      <c r="I569" s="1">
        <v>33.579000000000001</v>
      </c>
      <c r="J569" s="1">
        <v>32.106000000000002</v>
      </c>
      <c r="K569" s="1">
        <v>1.054</v>
      </c>
      <c r="L569" s="1"/>
      <c r="M569" s="1"/>
      <c r="N569" s="1"/>
      <c r="O569" s="1"/>
      <c r="P569" s="1"/>
      <c r="Q569" s="1"/>
      <c r="R569" s="1"/>
      <c r="S569" s="1" t="s">
        <v>109</v>
      </c>
      <c r="T569" s="1">
        <v>0.13500000000000001</v>
      </c>
      <c r="U569" s="1" t="s">
        <v>109</v>
      </c>
      <c r="V569" s="1">
        <v>3</v>
      </c>
      <c r="W569" s="1">
        <v>29</v>
      </c>
      <c r="X569" s="1" t="s">
        <v>110</v>
      </c>
      <c r="Y569" s="1"/>
      <c r="Z569" s="1">
        <v>0.98799999999999999</v>
      </c>
      <c r="AA569" s="1" t="s">
        <v>111</v>
      </c>
      <c r="AB569" s="1" t="s">
        <v>111</v>
      </c>
      <c r="AC569" s="1" t="s">
        <v>111</v>
      </c>
      <c r="AD569" s="1" t="s">
        <v>111</v>
      </c>
      <c r="AE569" s="1" t="s">
        <v>111</v>
      </c>
      <c r="AF569" s="1" t="s">
        <v>111</v>
      </c>
      <c r="AG569" s="1" t="s">
        <v>205</v>
      </c>
      <c r="AH569" s="1" t="s">
        <v>111</v>
      </c>
      <c r="AI569" s="1">
        <v>80.765000000000001</v>
      </c>
      <c r="AJ569" s="1" t="s">
        <v>111</v>
      </c>
      <c r="AK569" s="1"/>
      <c r="AL569" s="1" t="s">
        <v>111</v>
      </c>
      <c r="AM569" s="1"/>
      <c r="AN569" s="1" t="s">
        <v>111</v>
      </c>
      <c r="AO569" s="1"/>
      <c r="AP569" s="1" t="s">
        <v>111</v>
      </c>
      <c r="AQ569" s="1" t="s">
        <v>111</v>
      </c>
    </row>
    <row r="570" spans="1:43" x14ac:dyDescent="0.25">
      <c r="A570" s="1">
        <v>246</v>
      </c>
      <c r="B570" s="1" t="s">
        <v>316</v>
      </c>
      <c r="C570" s="1" t="s">
        <v>103</v>
      </c>
      <c r="D570" s="1" t="s">
        <v>418</v>
      </c>
      <c r="E570" s="1" t="s">
        <v>311</v>
      </c>
      <c r="F570" s="1" t="s">
        <v>106</v>
      </c>
      <c r="G570" s="1" t="s">
        <v>107</v>
      </c>
      <c r="H570" s="1" t="s">
        <v>108</v>
      </c>
      <c r="I570" s="1">
        <v>31.15</v>
      </c>
      <c r="J570" s="1">
        <v>32.106000000000002</v>
      </c>
      <c r="K570" s="1">
        <v>1.054</v>
      </c>
      <c r="L570" s="1"/>
      <c r="M570" s="1"/>
      <c r="N570" s="1"/>
      <c r="O570" s="1"/>
      <c r="P570" s="1"/>
      <c r="Q570" s="1"/>
      <c r="R570" s="1"/>
      <c r="S570" s="1" t="s">
        <v>109</v>
      </c>
      <c r="T570" s="1">
        <v>0.13500000000000001</v>
      </c>
      <c r="U570" s="1" t="s">
        <v>109</v>
      </c>
      <c r="V570" s="1">
        <v>3</v>
      </c>
      <c r="W570" s="1">
        <v>26</v>
      </c>
      <c r="X570" s="1" t="s">
        <v>110</v>
      </c>
      <c r="Y570" s="1"/>
      <c r="Z570" s="1">
        <v>0.98399999999999999</v>
      </c>
      <c r="AA570" s="1" t="s">
        <v>111</v>
      </c>
      <c r="AB570" s="1" t="s">
        <v>111</v>
      </c>
      <c r="AC570" s="1" t="s">
        <v>111</v>
      </c>
      <c r="AD570" s="1" t="s">
        <v>111</v>
      </c>
      <c r="AE570" s="1" t="s">
        <v>111</v>
      </c>
      <c r="AF570" s="1" t="s">
        <v>111</v>
      </c>
      <c r="AG570" s="1" t="s">
        <v>205</v>
      </c>
      <c r="AH570" s="1" t="s">
        <v>111</v>
      </c>
      <c r="AI570" s="1">
        <v>80.765000000000001</v>
      </c>
      <c r="AJ570" s="1" t="s">
        <v>111</v>
      </c>
      <c r="AK570" s="1"/>
      <c r="AL570" s="1" t="s">
        <v>111</v>
      </c>
      <c r="AM570" s="1"/>
      <c r="AN570" s="1" t="s">
        <v>111</v>
      </c>
      <c r="AO570" s="1"/>
      <c r="AP570" s="1" t="s">
        <v>111</v>
      </c>
      <c r="AQ570" s="1" t="s">
        <v>111</v>
      </c>
    </row>
    <row r="571" spans="1:43" x14ac:dyDescent="0.25">
      <c r="A571" s="1">
        <v>247</v>
      </c>
      <c r="B571" s="1" t="s">
        <v>317</v>
      </c>
      <c r="C571" s="1" t="s">
        <v>103</v>
      </c>
      <c r="D571" s="1" t="s">
        <v>419</v>
      </c>
      <c r="E571" s="1" t="s">
        <v>311</v>
      </c>
      <c r="F571" s="1" t="s">
        <v>106</v>
      </c>
      <c r="G571" s="1" t="s">
        <v>107</v>
      </c>
      <c r="H571" s="1" t="s">
        <v>108</v>
      </c>
      <c r="I571" s="1" t="s">
        <v>235</v>
      </c>
      <c r="J571" s="1">
        <v>31.555</v>
      </c>
      <c r="K571" s="1">
        <v>1.5720000000000001</v>
      </c>
      <c r="L571" s="1"/>
      <c r="M571" s="1"/>
      <c r="N571" s="1"/>
      <c r="O571" s="1"/>
      <c r="P571" s="1"/>
      <c r="Q571" s="1"/>
      <c r="R571" s="1"/>
      <c r="S571" s="1" t="s">
        <v>109</v>
      </c>
      <c r="T571" s="1">
        <v>0.13500000000000001</v>
      </c>
      <c r="U571" s="1" t="s">
        <v>109</v>
      </c>
      <c r="V571" s="1">
        <v>3</v>
      </c>
      <c r="W571" s="1">
        <v>39</v>
      </c>
      <c r="X571" s="1" t="s">
        <v>236</v>
      </c>
      <c r="Y571" s="1"/>
      <c r="Z571" s="1">
        <v>0</v>
      </c>
      <c r="AA571" s="1" t="s">
        <v>205</v>
      </c>
      <c r="AB571" s="1" t="s">
        <v>205</v>
      </c>
      <c r="AC571" s="1" t="s">
        <v>111</v>
      </c>
      <c r="AD571" s="1" t="s">
        <v>111</v>
      </c>
      <c r="AE571" s="1" t="s">
        <v>111</v>
      </c>
      <c r="AF571" s="1" t="s">
        <v>111</v>
      </c>
      <c r="AG571" s="1" t="s">
        <v>111</v>
      </c>
      <c r="AH571" s="1" t="s">
        <v>111</v>
      </c>
      <c r="AI571" s="1">
        <v>60</v>
      </c>
      <c r="AJ571" s="1" t="s">
        <v>111</v>
      </c>
      <c r="AK571" s="1"/>
      <c r="AL571" s="1" t="s">
        <v>111</v>
      </c>
      <c r="AM571" s="1"/>
      <c r="AN571" s="1" t="s">
        <v>111</v>
      </c>
      <c r="AO571" s="1"/>
      <c r="AP571" s="1" t="s">
        <v>205</v>
      </c>
      <c r="AQ571" s="1" t="s">
        <v>111</v>
      </c>
    </row>
    <row r="572" spans="1:43" x14ac:dyDescent="0.25">
      <c r="A572" s="1">
        <v>248</v>
      </c>
      <c r="B572" s="1" t="s">
        <v>318</v>
      </c>
      <c r="C572" s="1" t="s">
        <v>103</v>
      </c>
      <c r="D572" s="1" t="s">
        <v>419</v>
      </c>
      <c r="E572" s="1" t="s">
        <v>311</v>
      </c>
      <c r="F572" s="1" t="s">
        <v>106</v>
      </c>
      <c r="G572" s="1" t="s">
        <v>107</v>
      </c>
      <c r="H572" s="1" t="s">
        <v>108</v>
      </c>
      <c r="I572" s="1">
        <v>30.443999999999999</v>
      </c>
      <c r="J572" s="1">
        <v>31.555</v>
      </c>
      <c r="K572" s="1">
        <v>1.5720000000000001</v>
      </c>
      <c r="L572" s="1"/>
      <c r="M572" s="1"/>
      <c r="N572" s="1"/>
      <c r="O572" s="1"/>
      <c r="P572" s="1"/>
      <c r="Q572" s="1"/>
      <c r="R572" s="1"/>
      <c r="S572" s="1" t="s">
        <v>109</v>
      </c>
      <c r="T572" s="1">
        <v>0.13500000000000001</v>
      </c>
      <c r="U572" s="1" t="s">
        <v>109</v>
      </c>
      <c r="V572" s="1">
        <v>3</v>
      </c>
      <c r="W572" s="1">
        <v>26</v>
      </c>
      <c r="X572" s="1" t="s">
        <v>110</v>
      </c>
      <c r="Y572" s="1"/>
      <c r="Z572" s="1">
        <v>0.98499999999999999</v>
      </c>
      <c r="AA572" s="1" t="s">
        <v>111</v>
      </c>
      <c r="AB572" s="1" t="s">
        <v>111</v>
      </c>
      <c r="AC572" s="1" t="s">
        <v>111</v>
      </c>
      <c r="AD572" s="1" t="s">
        <v>111</v>
      </c>
      <c r="AE572" s="1" t="s">
        <v>111</v>
      </c>
      <c r="AF572" s="1" t="s">
        <v>111</v>
      </c>
      <c r="AG572" s="1" t="s">
        <v>205</v>
      </c>
      <c r="AH572" s="1" t="s">
        <v>111</v>
      </c>
      <c r="AI572" s="1">
        <v>80.765000000000001</v>
      </c>
      <c r="AJ572" s="1" t="s">
        <v>111</v>
      </c>
      <c r="AK572" s="1"/>
      <c r="AL572" s="1" t="s">
        <v>111</v>
      </c>
      <c r="AM572" s="1"/>
      <c r="AN572" s="1" t="s">
        <v>111</v>
      </c>
      <c r="AO572" s="1"/>
      <c r="AP572" s="1" t="s">
        <v>111</v>
      </c>
      <c r="AQ572" s="1" t="s">
        <v>111</v>
      </c>
    </row>
    <row r="573" spans="1:43" x14ac:dyDescent="0.25">
      <c r="A573" s="1">
        <v>249</v>
      </c>
      <c r="B573" s="1" t="s">
        <v>319</v>
      </c>
      <c r="C573" s="1" t="s">
        <v>103</v>
      </c>
      <c r="D573" s="1" t="s">
        <v>420</v>
      </c>
      <c r="E573" s="1" t="s">
        <v>311</v>
      </c>
      <c r="F573" s="1" t="s">
        <v>106</v>
      </c>
      <c r="G573" s="1" t="s">
        <v>107</v>
      </c>
      <c r="H573" s="1" t="s">
        <v>108</v>
      </c>
      <c r="I573" s="1" t="s">
        <v>235</v>
      </c>
      <c r="J573" s="1">
        <v>32.89</v>
      </c>
      <c r="K573" s="1"/>
      <c r="L573" s="1"/>
      <c r="M573" s="1"/>
      <c r="N573" s="1"/>
      <c r="O573" s="1"/>
      <c r="P573" s="1"/>
      <c r="Q573" s="1"/>
      <c r="R573" s="1"/>
      <c r="S573" s="1" t="s">
        <v>109</v>
      </c>
      <c r="T573" s="1">
        <v>0.13500000000000001</v>
      </c>
      <c r="U573" s="1" t="s">
        <v>109</v>
      </c>
      <c r="V573" s="1">
        <v>3</v>
      </c>
      <c r="W573" s="1">
        <v>39</v>
      </c>
      <c r="X573" s="1" t="s">
        <v>236</v>
      </c>
      <c r="Y573" s="1"/>
      <c r="Z573" s="1">
        <v>0</v>
      </c>
      <c r="AA573" s="1" t="s">
        <v>205</v>
      </c>
      <c r="AB573" s="1" t="s">
        <v>205</v>
      </c>
      <c r="AC573" s="1" t="s">
        <v>111</v>
      </c>
      <c r="AD573" s="1" t="s">
        <v>111</v>
      </c>
      <c r="AE573" s="1" t="s">
        <v>111</v>
      </c>
      <c r="AF573" s="1" t="s">
        <v>111</v>
      </c>
      <c r="AG573" s="1" t="s">
        <v>111</v>
      </c>
      <c r="AH573" s="1" t="s">
        <v>111</v>
      </c>
      <c r="AI573" s="1">
        <v>60.000999999999998</v>
      </c>
      <c r="AJ573" s="1" t="s">
        <v>111</v>
      </c>
      <c r="AK573" s="1"/>
      <c r="AL573" s="1" t="s">
        <v>111</v>
      </c>
      <c r="AM573" s="1"/>
      <c r="AN573" s="1" t="s">
        <v>111</v>
      </c>
      <c r="AO573" s="1"/>
      <c r="AP573" s="1" t="s">
        <v>205</v>
      </c>
      <c r="AQ573" s="1" t="s">
        <v>111</v>
      </c>
    </row>
    <row r="574" spans="1:43" x14ac:dyDescent="0.25">
      <c r="A574" s="1">
        <v>250</v>
      </c>
      <c r="B574" s="1" t="s">
        <v>320</v>
      </c>
      <c r="C574" s="1" t="s">
        <v>103</v>
      </c>
      <c r="D574" s="1" t="s">
        <v>420</v>
      </c>
      <c r="E574" s="1" t="s">
        <v>311</v>
      </c>
      <c r="F574" s="1" t="s">
        <v>106</v>
      </c>
      <c r="G574" s="1" t="s">
        <v>107</v>
      </c>
      <c r="H574" s="1" t="s">
        <v>108</v>
      </c>
      <c r="I574" s="1" t="s">
        <v>235</v>
      </c>
      <c r="J574" s="1">
        <v>32.89</v>
      </c>
      <c r="K574" s="1"/>
      <c r="L574" s="1"/>
      <c r="M574" s="1"/>
      <c r="N574" s="1"/>
      <c r="O574" s="1"/>
      <c r="P574" s="1"/>
      <c r="Q574" s="1"/>
      <c r="R574" s="1"/>
      <c r="S574" s="1" t="s">
        <v>109</v>
      </c>
      <c r="T574" s="1">
        <v>0.13500000000000001</v>
      </c>
      <c r="U574" s="1" t="s">
        <v>109</v>
      </c>
      <c r="V574" s="1">
        <v>3</v>
      </c>
      <c r="W574" s="1">
        <v>39</v>
      </c>
      <c r="X574" s="1" t="s">
        <v>236</v>
      </c>
      <c r="Y574" s="1"/>
      <c r="Z574" s="1">
        <v>0</v>
      </c>
      <c r="AA574" s="1" t="s">
        <v>205</v>
      </c>
      <c r="AB574" s="1" t="s">
        <v>205</v>
      </c>
      <c r="AC574" s="1" t="s">
        <v>111</v>
      </c>
      <c r="AD574" s="1" t="s">
        <v>111</v>
      </c>
      <c r="AE574" s="1" t="s">
        <v>111</v>
      </c>
      <c r="AF574" s="1" t="s">
        <v>111</v>
      </c>
      <c r="AG574" s="1" t="s">
        <v>111</v>
      </c>
      <c r="AH574" s="1" t="s">
        <v>111</v>
      </c>
      <c r="AI574" s="1">
        <v>60.000999999999998</v>
      </c>
      <c r="AJ574" s="1" t="s">
        <v>111</v>
      </c>
      <c r="AK574" s="1"/>
      <c r="AL574" s="1" t="s">
        <v>111</v>
      </c>
      <c r="AM574" s="1"/>
      <c r="AN574" s="1" t="s">
        <v>111</v>
      </c>
      <c r="AO574" s="1"/>
      <c r="AP574" s="1" t="s">
        <v>205</v>
      </c>
      <c r="AQ574" s="1" t="s">
        <v>111</v>
      </c>
    </row>
    <row r="575" spans="1:43" x14ac:dyDescent="0.25">
      <c r="A575" s="1">
        <v>251</v>
      </c>
      <c r="B575" s="1" t="s">
        <v>321</v>
      </c>
      <c r="C575" s="1" t="s">
        <v>103</v>
      </c>
      <c r="D575" s="1" t="s">
        <v>421</v>
      </c>
      <c r="E575" s="1" t="s">
        <v>311</v>
      </c>
      <c r="F575" s="1" t="s">
        <v>106</v>
      </c>
      <c r="G575" s="1" t="s">
        <v>107</v>
      </c>
      <c r="H575" s="1" t="s">
        <v>108</v>
      </c>
      <c r="I575" s="1" t="s">
        <v>235</v>
      </c>
      <c r="J575" s="1">
        <v>31.387</v>
      </c>
      <c r="K575" s="1">
        <v>0.52500000000000002</v>
      </c>
      <c r="L575" s="1"/>
      <c r="M575" s="1"/>
      <c r="N575" s="1"/>
      <c r="O575" s="1"/>
      <c r="P575" s="1"/>
      <c r="Q575" s="1"/>
      <c r="R575" s="1"/>
      <c r="S575" s="1" t="s">
        <v>109</v>
      </c>
      <c r="T575" s="1">
        <v>0.13500000000000001</v>
      </c>
      <c r="U575" s="1" t="s">
        <v>109</v>
      </c>
      <c r="V575" s="1">
        <v>3</v>
      </c>
      <c r="W575" s="1">
        <v>39</v>
      </c>
      <c r="X575" s="1" t="s">
        <v>236</v>
      </c>
      <c r="Y575" s="1"/>
      <c r="Z575" s="1">
        <v>0</v>
      </c>
      <c r="AA575" s="1" t="s">
        <v>205</v>
      </c>
      <c r="AB575" s="1" t="s">
        <v>205</v>
      </c>
      <c r="AC575" s="1" t="s">
        <v>111</v>
      </c>
      <c r="AD575" s="1" t="s">
        <v>111</v>
      </c>
      <c r="AE575" s="1" t="s">
        <v>111</v>
      </c>
      <c r="AF575" s="1" t="s">
        <v>111</v>
      </c>
      <c r="AG575" s="1" t="s">
        <v>111</v>
      </c>
      <c r="AH575" s="1" t="s">
        <v>111</v>
      </c>
      <c r="AI575" s="1">
        <v>60.000999999999998</v>
      </c>
      <c r="AJ575" s="1" t="s">
        <v>111</v>
      </c>
      <c r="AK575" s="1"/>
      <c r="AL575" s="1" t="s">
        <v>111</v>
      </c>
      <c r="AM575" s="1"/>
      <c r="AN575" s="1" t="s">
        <v>111</v>
      </c>
      <c r="AO575" s="1"/>
      <c r="AP575" s="1" t="s">
        <v>205</v>
      </c>
      <c r="AQ575" s="1" t="s">
        <v>111</v>
      </c>
    </row>
    <row r="576" spans="1:43" x14ac:dyDescent="0.25">
      <c r="A576" s="1">
        <v>252</v>
      </c>
      <c r="B576" s="1" t="s">
        <v>322</v>
      </c>
      <c r="C576" s="1" t="s">
        <v>103</v>
      </c>
      <c r="D576" s="1" t="s">
        <v>421</v>
      </c>
      <c r="E576" s="1" t="s">
        <v>311</v>
      </c>
      <c r="F576" s="1" t="s">
        <v>106</v>
      </c>
      <c r="G576" s="1" t="s">
        <v>107</v>
      </c>
      <c r="H576" s="1" t="s">
        <v>108</v>
      </c>
      <c r="I576" s="1">
        <v>31.706</v>
      </c>
      <c r="J576" s="1">
        <v>31.387</v>
      </c>
      <c r="K576" s="1">
        <v>0.52500000000000002</v>
      </c>
      <c r="L576" s="1"/>
      <c r="M576" s="1"/>
      <c r="N576" s="1"/>
      <c r="O576" s="1"/>
      <c r="P576" s="1"/>
      <c r="Q576" s="1"/>
      <c r="R576" s="1"/>
      <c r="S576" s="1" t="s">
        <v>109</v>
      </c>
      <c r="T576" s="1">
        <v>0.13500000000000001</v>
      </c>
      <c r="U576" s="1" t="s">
        <v>109</v>
      </c>
      <c r="V576" s="1">
        <v>3</v>
      </c>
      <c r="W576" s="1">
        <v>27</v>
      </c>
      <c r="X576" s="1" t="s">
        <v>110</v>
      </c>
      <c r="Y576" s="1"/>
      <c r="Z576" s="1">
        <v>0.98699999999999999</v>
      </c>
      <c r="AA576" s="1" t="s">
        <v>111</v>
      </c>
      <c r="AB576" s="1" t="s">
        <v>111</v>
      </c>
      <c r="AC576" s="1" t="s">
        <v>111</v>
      </c>
      <c r="AD576" s="1" t="s">
        <v>111</v>
      </c>
      <c r="AE576" s="1" t="s">
        <v>111</v>
      </c>
      <c r="AF576" s="1" t="s">
        <v>111</v>
      </c>
      <c r="AG576" s="1" t="s">
        <v>205</v>
      </c>
      <c r="AH576" s="1" t="s">
        <v>111</v>
      </c>
      <c r="AI576" s="1">
        <v>80.775000000000006</v>
      </c>
      <c r="AJ576" s="1" t="s">
        <v>111</v>
      </c>
      <c r="AK576" s="1"/>
      <c r="AL576" s="1" t="s">
        <v>111</v>
      </c>
      <c r="AM576" s="1"/>
      <c r="AN576" s="1" t="s">
        <v>111</v>
      </c>
      <c r="AO576" s="1"/>
      <c r="AP576" s="1" t="s">
        <v>111</v>
      </c>
      <c r="AQ576" s="1" t="s">
        <v>111</v>
      </c>
    </row>
    <row r="577" spans="1:43" x14ac:dyDescent="0.25">
      <c r="A577" s="1">
        <v>257</v>
      </c>
      <c r="B577" s="1" t="s">
        <v>323</v>
      </c>
      <c r="C577" s="1" t="s">
        <v>103</v>
      </c>
      <c r="D577" s="1" t="s">
        <v>282</v>
      </c>
      <c r="E577" s="1" t="s">
        <v>269</v>
      </c>
      <c r="F577" s="1" t="s">
        <v>106</v>
      </c>
      <c r="G577" s="1" t="s">
        <v>107</v>
      </c>
      <c r="H577" s="1" t="s">
        <v>108</v>
      </c>
      <c r="I577" s="1" t="s">
        <v>235</v>
      </c>
      <c r="J577" s="1">
        <v>19.571000000000002</v>
      </c>
      <c r="K577" s="1"/>
      <c r="L577" s="1"/>
      <c r="M577" s="1"/>
      <c r="N577" s="1"/>
      <c r="O577" s="1"/>
      <c r="P577" s="1"/>
      <c r="Q577" s="1"/>
      <c r="R577" s="1"/>
      <c r="S577" s="1" t="s">
        <v>109</v>
      </c>
      <c r="T577" s="1">
        <v>0.187</v>
      </c>
      <c r="U577" s="1" t="s">
        <v>109</v>
      </c>
      <c r="V577" s="1">
        <v>3</v>
      </c>
      <c r="W577" s="1">
        <v>39</v>
      </c>
      <c r="X577" s="1" t="s">
        <v>236</v>
      </c>
      <c r="Y577" s="1"/>
      <c r="Z577" s="1">
        <v>0</v>
      </c>
      <c r="AA577" s="1" t="s">
        <v>205</v>
      </c>
      <c r="AB577" s="1" t="s">
        <v>205</v>
      </c>
      <c r="AC577" s="1" t="s">
        <v>111</v>
      </c>
      <c r="AD577" s="1" t="s">
        <v>111</v>
      </c>
      <c r="AE577" s="1" t="s">
        <v>111</v>
      </c>
      <c r="AF577" s="1" t="s">
        <v>111</v>
      </c>
      <c r="AG577" s="1" t="s">
        <v>111</v>
      </c>
      <c r="AH577" s="1" t="s">
        <v>111</v>
      </c>
      <c r="AI577" s="1">
        <v>60</v>
      </c>
      <c r="AJ577" s="1" t="s">
        <v>111</v>
      </c>
      <c r="AK577" s="1"/>
      <c r="AL577" s="1" t="s">
        <v>111</v>
      </c>
      <c r="AM577" s="1"/>
      <c r="AN577" s="1" t="s">
        <v>111</v>
      </c>
      <c r="AO577" s="1"/>
      <c r="AP577" s="1" t="s">
        <v>205</v>
      </c>
      <c r="AQ577" s="1" t="s">
        <v>111</v>
      </c>
    </row>
    <row r="578" spans="1:43" x14ac:dyDescent="0.25">
      <c r="A578" s="1">
        <v>258</v>
      </c>
      <c r="B578" s="1" t="s">
        <v>324</v>
      </c>
      <c r="C578" s="1" t="s">
        <v>103</v>
      </c>
      <c r="D578" s="1" t="s">
        <v>282</v>
      </c>
      <c r="E578" s="1" t="s">
        <v>269</v>
      </c>
      <c r="F578" s="1" t="s">
        <v>106</v>
      </c>
      <c r="G578" s="1" t="s">
        <v>107</v>
      </c>
      <c r="H578" s="1" t="s">
        <v>108</v>
      </c>
      <c r="I578" s="1" t="s">
        <v>235</v>
      </c>
      <c r="J578" s="1">
        <v>19.571000000000002</v>
      </c>
      <c r="K578" s="1"/>
      <c r="L578" s="1"/>
      <c r="M578" s="1"/>
      <c r="N578" s="1"/>
      <c r="O578" s="1"/>
      <c r="P578" s="1"/>
      <c r="Q578" s="1"/>
      <c r="R578" s="1"/>
      <c r="S578" s="1" t="s">
        <v>109</v>
      </c>
      <c r="T578" s="1">
        <v>0.187</v>
      </c>
      <c r="U578" s="1" t="s">
        <v>109</v>
      </c>
      <c r="V578" s="1">
        <v>3</v>
      </c>
      <c r="W578" s="1">
        <v>39</v>
      </c>
      <c r="X578" s="1" t="s">
        <v>236</v>
      </c>
      <c r="Y578" s="1"/>
      <c r="Z578" s="1">
        <v>0</v>
      </c>
      <c r="AA578" s="1" t="s">
        <v>205</v>
      </c>
      <c r="AB578" s="1" t="s">
        <v>205</v>
      </c>
      <c r="AC578" s="1" t="s">
        <v>111</v>
      </c>
      <c r="AD578" s="1" t="s">
        <v>111</v>
      </c>
      <c r="AE578" s="1" t="s">
        <v>111</v>
      </c>
      <c r="AF578" s="1" t="s">
        <v>111</v>
      </c>
      <c r="AG578" s="1" t="s">
        <v>111</v>
      </c>
      <c r="AH578" s="1" t="s">
        <v>111</v>
      </c>
      <c r="AI578" s="1">
        <v>60</v>
      </c>
      <c r="AJ578" s="1" t="s">
        <v>111</v>
      </c>
      <c r="AK578" s="1"/>
      <c r="AL578" s="1" t="s">
        <v>111</v>
      </c>
      <c r="AM578" s="1"/>
      <c r="AN578" s="1" t="s">
        <v>111</v>
      </c>
      <c r="AO578" s="1"/>
      <c r="AP578" s="1" t="s">
        <v>205</v>
      </c>
      <c r="AQ578" s="1" t="s">
        <v>111</v>
      </c>
    </row>
    <row r="579" spans="1:43" x14ac:dyDescent="0.25">
      <c r="A579" s="1">
        <v>259</v>
      </c>
      <c r="B579" s="1" t="s">
        <v>325</v>
      </c>
      <c r="C579" s="1" t="s">
        <v>103</v>
      </c>
      <c r="D579" s="1" t="s">
        <v>282</v>
      </c>
      <c r="E579" s="1" t="s">
        <v>311</v>
      </c>
      <c r="F579" s="1" t="s">
        <v>106</v>
      </c>
      <c r="G579" s="1" t="s">
        <v>107</v>
      </c>
      <c r="H579" s="1" t="s">
        <v>108</v>
      </c>
      <c r="I579" s="1" t="s">
        <v>235</v>
      </c>
      <c r="J579" s="1"/>
      <c r="K579" s="1"/>
      <c r="L579" s="1"/>
      <c r="M579" s="1"/>
      <c r="N579" s="1"/>
      <c r="O579" s="1"/>
      <c r="P579" s="1"/>
      <c r="Q579" s="1"/>
      <c r="R579" s="1"/>
      <c r="S579" s="1" t="s">
        <v>109</v>
      </c>
      <c r="T579" s="1">
        <v>0.13500000000000001</v>
      </c>
      <c r="U579" s="1" t="s">
        <v>109</v>
      </c>
      <c r="V579" s="1">
        <v>3</v>
      </c>
      <c r="W579" s="1">
        <v>39</v>
      </c>
      <c r="X579" s="1" t="s">
        <v>236</v>
      </c>
      <c r="Y579" s="1"/>
      <c r="Z579" s="1">
        <v>0</v>
      </c>
      <c r="AA579" s="1" t="s">
        <v>205</v>
      </c>
      <c r="AB579" s="1" t="s">
        <v>205</v>
      </c>
      <c r="AC579" s="1" t="s">
        <v>111</v>
      </c>
      <c r="AD579" s="1" t="s">
        <v>111</v>
      </c>
      <c r="AE579" s="1" t="s">
        <v>111</v>
      </c>
      <c r="AF579" s="1" t="s">
        <v>111</v>
      </c>
      <c r="AG579" s="1" t="s">
        <v>111</v>
      </c>
      <c r="AH579" s="1" t="s">
        <v>111</v>
      </c>
      <c r="AI579" s="1">
        <v>60</v>
      </c>
      <c r="AJ579" s="1" t="s">
        <v>111</v>
      </c>
      <c r="AK579" s="1"/>
      <c r="AL579" s="1" t="s">
        <v>111</v>
      </c>
      <c r="AM579" s="1"/>
      <c r="AN579" s="1" t="s">
        <v>111</v>
      </c>
      <c r="AO579" s="1"/>
      <c r="AP579" s="1" t="s">
        <v>205</v>
      </c>
      <c r="AQ579" s="1" t="s">
        <v>111</v>
      </c>
    </row>
    <row r="580" spans="1:43" x14ac:dyDescent="0.25">
      <c r="A580" s="1">
        <v>260</v>
      </c>
      <c r="B580" s="1" t="s">
        <v>326</v>
      </c>
      <c r="C580" s="1" t="s">
        <v>103</v>
      </c>
      <c r="D580" s="1" t="s">
        <v>282</v>
      </c>
      <c r="E580" s="1" t="s">
        <v>311</v>
      </c>
      <c r="F580" s="1" t="s">
        <v>106</v>
      </c>
      <c r="G580" s="1" t="s">
        <v>107</v>
      </c>
      <c r="H580" s="1" t="s">
        <v>108</v>
      </c>
      <c r="I580" s="1" t="s">
        <v>235</v>
      </c>
      <c r="J580" s="1"/>
      <c r="K580" s="1"/>
      <c r="L580" s="1"/>
      <c r="M580" s="1"/>
      <c r="N580" s="1"/>
      <c r="O580" s="1"/>
      <c r="P580" s="1"/>
      <c r="Q580" s="1"/>
      <c r="R580" s="1"/>
      <c r="S580" s="1" t="s">
        <v>109</v>
      </c>
      <c r="T580" s="1">
        <v>0.13500000000000001</v>
      </c>
      <c r="U580" s="1" t="s">
        <v>109</v>
      </c>
      <c r="V580" s="1">
        <v>3</v>
      </c>
      <c r="W580" s="1">
        <v>39</v>
      </c>
      <c r="X580" s="1" t="s">
        <v>236</v>
      </c>
      <c r="Y580" s="1"/>
      <c r="Z580" s="1">
        <v>0</v>
      </c>
      <c r="AA580" s="1" t="s">
        <v>205</v>
      </c>
      <c r="AB580" s="1" t="s">
        <v>205</v>
      </c>
      <c r="AC580" s="1" t="s">
        <v>111</v>
      </c>
      <c r="AD580" s="1" t="s">
        <v>111</v>
      </c>
      <c r="AE580" s="1" t="s">
        <v>111</v>
      </c>
      <c r="AF580" s="1" t="s">
        <v>111</v>
      </c>
      <c r="AG580" s="1" t="s">
        <v>111</v>
      </c>
      <c r="AH580" s="1" t="s">
        <v>111</v>
      </c>
      <c r="AI580" s="1">
        <v>60</v>
      </c>
      <c r="AJ580" s="1" t="s">
        <v>111</v>
      </c>
      <c r="AK580" s="1"/>
      <c r="AL580" s="1" t="s">
        <v>111</v>
      </c>
      <c r="AM580" s="1"/>
      <c r="AN580" s="1" t="s">
        <v>111</v>
      </c>
      <c r="AO580" s="1"/>
      <c r="AP580" s="1" t="s">
        <v>205</v>
      </c>
      <c r="AQ580" s="1" t="s">
        <v>111</v>
      </c>
    </row>
    <row r="581" spans="1:43" x14ac:dyDescent="0.25">
      <c r="A581" s="1">
        <v>261</v>
      </c>
      <c r="B581" s="1" t="s">
        <v>327</v>
      </c>
      <c r="C581" s="1" t="s">
        <v>103</v>
      </c>
      <c r="D581" s="1" t="s">
        <v>282</v>
      </c>
      <c r="E581" s="1" t="s">
        <v>328</v>
      </c>
      <c r="F581" s="1" t="s">
        <v>106</v>
      </c>
      <c r="G581" s="1" t="s">
        <v>107</v>
      </c>
      <c r="H581" s="1" t="s">
        <v>108</v>
      </c>
      <c r="I581" s="1">
        <v>32.976999999999997</v>
      </c>
      <c r="J581" s="1">
        <v>34.53</v>
      </c>
      <c r="K581" s="1">
        <v>1.5369999999999999</v>
      </c>
      <c r="L581" s="1"/>
      <c r="M581" s="1"/>
      <c r="N581" s="1"/>
      <c r="O581" s="1"/>
      <c r="P581" s="1"/>
      <c r="Q581" s="1"/>
      <c r="R581" s="1"/>
      <c r="S581" s="1" t="s">
        <v>109</v>
      </c>
      <c r="T581" s="1">
        <v>0.23599999999999999</v>
      </c>
      <c r="U581" s="1" t="s">
        <v>109</v>
      </c>
      <c r="V581" s="1">
        <v>3</v>
      </c>
      <c r="W581" s="1">
        <v>27</v>
      </c>
      <c r="X581" s="1" t="s">
        <v>110</v>
      </c>
      <c r="Y581" s="1"/>
      <c r="Z581" s="1">
        <v>0.98899999999999999</v>
      </c>
      <c r="AA581" s="1" t="s">
        <v>111</v>
      </c>
      <c r="AB581" s="1" t="s">
        <v>111</v>
      </c>
      <c r="AC581" s="1" t="s">
        <v>111</v>
      </c>
      <c r="AD581" s="1" t="s">
        <v>111</v>
      </c>
      <c r="AE581" s="1" t="s">
        <v>111</v>
      </c>
      <c r="AF581" s="1" t="s">
        <v>111</v>
      </c>
      <c r="AG581" s="1" t="s">
        <v>205</v>
      </c>
      <c r="AH581" s="1" t="s">
        <v>111</v>
      </c>
      <c r="AI581" s="1">
        <v>81.111999999999995</v>
      </c>
      <c r="AJ581" s="1" t="s">
        <v>111</v>
      </c>
      <c r="AK581" s="1"/>
      <c r="AL581" s="1" t="s">
        <v>111</v>
      </c>
      <c r="AM581" s="1"/>
      <c r="AN581" s="1" t="s">
        <v>111</v>
      </c>
      <c r="AO581" s="1"/>
      <c r="AP581" s="1" t="s">
        <v>111</v>
      </c>
      <c r="AQ581" s="1" t="s">
        <v>111</v>
      </c>
    </row>
    <row r="582" spans="1:43" x14ac:dyDescent="0.25">
      <c r="A582" s="1">
        <v>262</v>
      </c>
      <c r="B582" s="1" t="s">
        <v>329</v>
      </c>
      <c r="C582" s="1" t="s">
        <v>103</v>
      </c>
      <c r="D582" s="1" t="s">
        <v>282</v>
      </c>
      <c r="E582" s="1" t="s">
        <v>328</v>
      </c>
      <c r="F582" s="1" t="s">
        <v>106</v>
      </c>
      <c r="G582" s="1" t="s">
        <v>107</v>
      </c>
      <c r="H582" s="1" t="s">
        <v>108</v>
      </c>
      <c r="I582" s="1">
        <v>34.561999999999998</v>
      </c>
      <c r="J582" s="1">
        <v>34.53</v>
      </c>
      <c r="K582" s="1">
        <v>1.5369999999999999</v>
      </c>
      <c r="L582" s="1"/>
      <c r="M582" s="1"/>
      <c r="N582" s="1"/>
      <c r="O582" s="1"/>
      <c r="P582" s="1"/>
      <c r="Q582" s="1"/>
      <c r="R582" s="1"/>
      <c r="S582" s="1" t="s">
        <v>109</v>
      </c>
      <c r="T582" s="1">
        <v>0.23599999999999999</v>
      </c>
      <c r="U582" s="1" t="s">
        <v>109</v>
      </c>
      <c r="V582" s="1">
        <v>3</v>
      </c>
      <c r="W582" s="1">
        <v>28</v>
      </c>
      <c r="X582" s="1" t="s">
        <v>110</v>
      </c>
      <c r="Y582" s="1"/>
      <c r="Z582" s="1">
        <v>0.98599999999999999</v>
      </c>
      <c r="AA582" s="1" t="s">
        <v>111</v>
      </c>
      <c r="AB582" s="1" t="s">
        <v>111</v>
      </c>
      <c r="AC582" s="1" t="s">
        <v>111</v>
      </c>
      <c r="AD582" s="1" t="s">
        <v>111</v>
      </c>
      <c r="AE582" s="1" t="s">
        <v>111</v>
      </c>
      <c r="AF582" s="1" t="s">
        <v>111</v>
      </c>
      <c r="AG582" s="1" t="s">
        <v>205</v>
      </c>
      <c r="AH582" s="1" t="s">
        <v>111</v>
      </c>
      <c r="AI582" s="1">
        <v>81.111999999999995</v>
      </c>
      <c r="AJ582" s="1" t="s">
        <v>111</v>
      </c>
      <c r="AK582" s="1"/>
      <c r="AL582" s="1" t="s">
        <v>111</v>
      </c>
      <c r="AM582" s="1"/>
      <c r="AN582" s="1" t="s">
        <v>111</v>
      </c>
      <c r="AO582" s="1"/>
      <c r="AP582" s="1" t="s">
        <v>111</v>
      </c>
      <c r="AQ582" s="1" t="s">
        <v>111</v>
      </c>
    </row>
    <row r="583" spans="1:43" x14ac:dyDescent="0.25">
      <c r="A583" s="1">
        <v>263</v>
      </c>
      <c r="B583" s="1" t="s">
        <v>331</v>
      </c>
      <c r="C583" s="1" t="s">
        <v>103</v>
      </c>
      <c r="D583" s="1" t="s">
        <v>282</v>
      </c>
      <c r="E583" s="1" t="s">
        <v>332</v>
      </c>
      <c r="F583" s="1" t="s">
        <v>106</v>
      </c>
      <c r="G583" s="1" t="s">
        <v>107</v>
      </c>
      <c r="H583" s="1" t="s">
        <v>108</v>
      </c>
      <c r="I583" s="1" t="s">
        <v>235</v>
      </c>
      <c r="J583" s="1">
        <v>7.3739999999999997</v>
      </c>
      <c r="K583" s="1"/>
      <c r="L583" s="1"/>
      <c r="M583" s="1"/>
      <c r="N583" s="1"/>
      <c r="O583" s="1"/>
      <c r="P583" s="1"/>
      <c r="Q583" s="1"/>
      <c r="R583" s="1"/>
      <c r="S583" s="1" t="s">
        <v>109</v>
      </c>
      <c r="T583" s="1">
        <v>0.47599999999999998</v>
      </c>
      <c r="U583" s="1" t="s">
        <v>109</v>
      </c>
      <c r="V583" s="1">
        <v>3</v>
      </c>
      <c r="W583" s="1">
        <v>39</v>
      </c>
      <c r="X583" s="1" t="s">
        <v>236</v>
      </c>
      <c r="Y583" s="1"/>
      <c r="Z583" s="1">
        <v>0</v>
      </c>
      <c r="AA583" s="1" t="s">
        <v>205</v>
      </c>
      <c r="AB583" s="1" t="s">
        <v>205</v>
      </c>
      <c r="AC583" s="1" t="s">
        <v>111</v>
      </c>
      <c r="AD583" s="1" t="s">
        <v>111</v>
      </c>
      <c r="AE583" s="1" t="s">
        <v>111</v>
      </c>
      <c r="AF583" s="1" t="s">
        <v>111</v>
      </c>
      <c r="AG583" s="1" t="s">
        <v>111</v>
      </c>
      <c r="AH583" s="1" t="s">
        <v>111</v>
      </c>
      <c r="AI583" s="1">
        <v>60.000999999999998</v>
      </c>
      <c r="AJ583" s="1" t="s">
        <v>111</v>
      </c>
      <c r="AK583" s="1"/>
      <c r="AL583" s="1" t="s">
        <v>111</v>
      </c>
      <c r="AM583" s="1"/>
      <c r="AN583" s="1" t="s">
        <v>111</v>
      </c>
      <c r="AO583" s="1"/>
      <c r="AP583" s="1" t="s">
        <v>205</v>
      </c>
      <c r="AQ583" s="1" t="s">
        <v>111</v>
      </c>
    </row>
    <row r="584" spans="1:43" x14ac:dyDescent="0.25">
      <c r="A584" s="1">
        <v>264</v>
      </c>
      <c r="B584" s="1" t="s">
        <v>333</v>
      </c>
      <c r="C584" s="1" t="s">
        <v>103</v>
      </c>
      <c r="D584" s="1" t="s">
        <v>282</v>
      </c>
      <c r="E584" s="1" t="s">
        <v>332</v>
      </c>
      <c r="F584" s="1" t="s">
        <v>106</v>
      </c>
      <c r="G584" s="1" t="s">
        <v>107</v>
      </c>
      <c r="H584" s="1" t="s">
        <v>108</v>
      </c>
      <c r="I584" s="1" t="s">
        <v>235</v>
      </c>
      <c r="J584" s="1">
        <v>7.3739999999999997</v>
      </c>
      <c r="K584" s="1"/>
      <c r="L584" s="1"/>
      <c r="M584" s="1"/>
      <c r="N584" s="1"/>
      <c r="O584" s="1"/>
      <c r="P584" s="1"/>
      <c r="Q584" s="1"/>
      <c r="R584" s="1"/>
      <c r="S584" s="1" t="s">
        <v>109</v>
      </c>
      <c r="T584" s="1">
        <v>0.47599999999999998</v>
      </c>
      <c r="U584" s="1" t="s">
        <v>109</v>
      </c>
      <c r="V584" s="1">
        <v>3</v>
      </c>
      <c r="W584" s="1">
        <v>39</v>
      </c>
      <c r="X584" s="1" t="s">
        <v>236</v>
      </c>
      <c r="Y584" s="1"/>
      <c r="Z584" s="1">
        <v>0</v>
      </c>
      <c r="AA584" s="1" t="s">
        <v>205</v>
      </c>
      <c r="AB584" s="1" t="s">
        <v>205</v>
      </c>
      <c r="AC584" s="1" t="s">
        <v>111</v>
      </c>
      <c r="AD584" s="1" t="s">
        <v>111</v>
      </c>
      <c r="AE584" s="1" t="s">
        <v>111</v>
      </c>
      <c r="AF584" s="1" t="s">
        <v>111</v>
      </c>
      <c r="AG584" s="1" t="s">
        <v>111</v>
      </c>
      <c r="AH584" s="1" t="s">
        <v>111</v>
      </c>
      <c r="AI584" s="1">
        <v>60.000999999999998</v>
      </c>
      <c r="AJ584" s="1" t="s">
        <v>111</v>
      </c>
      <c r="AK584" s="1"/>
      <c r="AL584" s="1" t="s">
        <v>111</v>
      </c>
      <c r="AM584" s="1"/>
      <c r="AN584" s="1" t="s">
        <v>111</v>
      </c>
      <c r="AO584" s="1"/>
      <c r="AP584" s="1" t="s">
        <v>205</v>
      </c>
      <c r="AQ584" s="1" t="s">
        <v>111</v>
      </c>
    </row>
    <row r="585" spans="1:43" x14ac:dyDescent="0.25">
      <c r="A585" s="1">
        <v>265</v>
      </c>
      <c r="B585" s="1" t="s">
        <v>334</v>
      </c>
      <c r="C585" s="1" t="s">
        <v>103</v>
      </c>
      <c r="D585" s="1" t="s">
        <v>416</v>
      </c>
      <c r="E585" s="1" t="s">
        <v>311</v>
      </c>
      <c r="F585" s="1" t="s">
        <v>106</v>
      </c>
      <c r="G585" s="1" t="s">
        <v>107</v>
      </c>
      <c r="H585" s="1" t="s">
        <v>108</v>
      </c>
      <c r="I585" s="1">
        <v>31.605</v>
      </c>
      <c r="J585" s="1">
        <v>32.341999999999999</v>
      </c>
      <c r="K585" s="1">
        <v>0.64200000000000002</v>
      </c>
      <c r="L585" s="1"/>
      <c r="M585" s="1"/>
      <c r="N585" s="1"/>
      <c r="O585" s="1"/>
      <c r="P585" s="1"/>
      <c r="Q585" s="1"/>
      <c r="R585" s="1"/>
      <c r="S585" s="1" t="s">
        <v>109</v>
      </c>
      <c r="T585" s="1">
        <v>0.13500000000000001</v>
      </c>
      <c r="U585" s="1" t="s">
        <v>109</v>
      </c>
      <c r="V585" s="1">
        <v>3</v>
      </c>
      <c r="W585" s="1">
        <v>27</v>
      </c>
      <c r="X585" s="1" t="s">
        <v>110</v>
      </c>
      <c r="Y585" s="1"/>
      <c r="Z585" s="1">
        <v>0.98299999999999998</v>
      </c>
      <c r="AA585" s="1" t="s">
        <v>111</v>
      </c>
      <c r="AB585" s="1" t="s">
        <v>111</v>
      </c>
      <c r="AC585" s="1" t="s">
        <v>111</v>
      </c>
      <c r="AD585" s="1" t="s">
        <v>111</v>
      </c>
      <c r="AE585" s="1" t="s">
        <v>111</v>
      </c>
      <c r="AF585" s="1" t="s">
        <v>111</v>
      </c>
      <c r="AG585" s="1" t="s">
        <v>205</v>
      </c>
      <c r="AH585" s="1" t="s">
        <v>111</v>
      </c>
      <c r="AI585" s="1">
        <v>80.775000000000006</v>
      </c>
      <c r="AJ585" s="1" t="s">
        <v>111</v>
      </c>
      <c r="AK585" s="1"/>
      <c r="AL585" s="1" t="s">
        <v>111</v>
      </c>
      <c r="AM585" s="1"/>
      <c r="AN585" s="1" t="s">
        <v>111</v>
      </c>
      <c r="AO585" s="1"/>
      <c r="AP585" s="1" t="s">
        <v>111</v>
      </c>
      <c r="AQ585" s="1" t="s">
        <v>111</v>
      </c>
    </row>
    <row r="586" spans="1:43" x14ac:dyDescent="0.25">
      <c r="A586" s="1">
        <v>266</v>
      </c>
      <c r="B586" s="1" t="s">
        <v>335</v>
      </c>
      <c r="C586" s="1" t="s">
        <v>103</v>
      </c>
      <c r="D586" s="1" t="s">
        <v>416</v>
      </c>
      <c r="E586" s="1" t="s">
        <v>311</v>
      </c>
      <c r="F586" s="1" t="s">
        <v>106</v>
      </c>
      <c r="G586" s="1" t="s">
        <v>107</v>
      </c>
      <c r="H586" s="1" t="s">
        <v>108</v>
      </c>
      <c r="I586" s="1">
        <v>32.646000000000001</v>
      </c>
      <c r="J586" s="1">
        <v>32.341999999999999</v>
      </c>
      <c r="K586" s="1">
        <v>0.64200000000000002</v>
      </c>
      <c r="L586" s="1"/>
      <c r="M586" s="1"/>
      <c r="N586" s="1"/>
      <c r="O586" s="1"/>
      <c r="P586" s="1"/>
      <c r="Q586" s="1"/>
      <c r="R586" s="1"/>
      <c r="S586" s="1" t="s">
        <v>109</v>
      </c>
      <c r="T586" s="1">
        <v>0.13500000000000001</v>
      </c>
      <c r="U586" s="1" t="s">
        <v>109</v>
      </c>
      <c r="V586" s="1">
        <v>3</v>
      </c>
      <c r="W586" s="1">
        <v>27</v>
      </c>
      <c r="X586" s="1" t="s">
        <v>110</v>
      </c>
      <c r="Y586" s="1"/>
      <c r="Z586" s="1">
        <v>0.98499999999999999</v>
      </c>
      <c r="AA586" s="1" t="s">
        <v>111</v>
      </c>
      <c r="AB586" s="1" t="s">
        <v>111</v>
      </c>
      <c r="AC586" s="1" t="s">
        <v>111</v>
      </c>
      <c r="AD586" s="1" t="s">
        <v>111</v>
      </c>
      <c r="AE586" s="1" t="s">
        <v>111</v>
      </c>
      <c r="AF586" s="1" t="s">
        <v>111</v>
      </c>
      <c r="AG586" s="1" t="s">
        <v>205</v>
      </c>
      <c r="AH586" s="1" t="s">
        <v>111</v>
      </c>
      <c r="AI586" s="1">
        <v>80.775000000000006</v>
      </c>
      <c r="AJ586" s="1" t="s">
        <v>111</v>
      </c>
      <c r="AK586" s="1"/>
      <c r="AL586" s="1" t="s">
        <v>111</v>
      </c>
      <c r="AM586" s="1"/>
      <c r="AN586" s="1" t="s">
        <v>111</v>
      </c>
      <c r="AO586" s="1"/>
      <c r="AP586" s="1" t="s">
        <v>111</v>
      </c>
      <c r="AQ586" s="1" t="s">
        <v>111</v>
      </c>
    </row>
    <row r="587" spans="1:43" x14ac:dyDescent="0.25">
      <c r="A587" s="1">
        <v>267</v>
      </c>
      <c r="B587" s="1" t="s">
        <v>336</v>
      </c>
      <c r="C587" s="1" t="s">
        <v>103</v>
      </c>
      <c r="D587" s="1" t="s">
        <v>417</v>
      </c>
      <c r="E587" s="1" t="s">
        <v>311</v>
      </c>
      <c r="F587" s="1" t="s">
        <v>106</v>
      </c>
      <c r="G587" s="1" t="s">
        <v>107</v>
      </c>
      <c r="H587" s="1" t="s">
        <v>108</v>
      </c>
      <c r="I587" s="1">
        <v>32.649000000000001</v>
      </c>
      <c r="J587" s="1">
        <v>32.546999999999997</v>
      </c>
      <c r="K587" s="1">
        <v>0.84299999999999997</v>
      </c>
      <c r="L587" s="1"/>
      <c r="M587" s="1"/>
      <c r="N587" s="1"/>
      <c r="O587" s="1"/>
      <c r="P587" s="1"/>
      <c r="Q587" s="1"/>
      <c r="R587" s="1"/>
      <c r="S587" s="1" t="s">
        <v>109</v>
      </c>
      <c r="T587" s="1">
        <v>0.13500000000000001</v>
      </c>
      <c r="U587" s="1" t="s">
        <v>109</v>
      </c>
      <c r="V587" s="1">
        <v>3</v>
      </c>
      <c r="W587" s="1">
        <v>28</v>
      </c>
      <c r="X587" s="1" t="s">
        <v>110</v>
      </c>
      <c r="Y587" s="1"/>
      <c r="Z587" s="1">
        <v>0.98399999999999999</v>
      </c>
      <c r="AA587" s="1" t="s">
        <v>111</v>
      </c>
      <c r="AB587" s="1" t="s">
        <v>111</v>
      </c>
      <c r="AC587" s="1" t="s">
        <v>111</v>
      </c>
      <c r="AD587" s="1" t="s">
        <v>111</v>
      </c>
      <c r="AE587" s="1" t="s">
        <v>111</v>
      </c>
      <c r="AF587" s="1" t="s">
        <v>111</v>
      </c>
      <c r="AG587" s="1" t="s">
        <v>205</v>
      </c>
      <c r="AH587" s="1" t="s">
        <v>111</v>
      </c>
      <c r="AI587" s="1">
        <v>80.775000000000006</v>
      </c>
      <c r="AJ587" s="1" t="s">
        <v>111</v>
      </c>
      <c r="AK587" s="1"/>
      <c r="AL587" s="1" t="s">
        <v>111</v>
      </c>
      <c r="AM587" s="1"/>
      <c r="AN587" s="1" t="s">
        <v>111</v>
      </c>
      <c r="AO587" s="1"/>
      <c r="AP587" s="1" t="s">
        <v>111</v>
      </c>
      <c r="AQ587" s="1" t="s">
        <v>111</v>
      </c>
    </row>
    <row r="588" spans="1:43" x14ac:dyDescent="0.25">
      <c r="A588" s="1">
        <v>268</v>
      </c>
      <c r="B588" s="1" t="s">
        <v>337</v>
      </c>
      <c r="C588" s="1" t="s">
        <v>103</v>
      </c>
      <c r="D588" s="1" t="s">
        <v>417</v>
      </c>
      <c r="E588" s="1" t="s">
        <v>311</v>
      </c>
      <c r="F588" s="1" t="s">
        <v>106</v>
      </c>
      <c r="G588" s="1" t="s">
        <v>107</v>
      </c>
      <c r="H588" s="1" t="s">
        <v>108</v>
      </c>
      <c r="I588" s="1">
        <v>33.334000000000003</v>
      </c>
      <c r="J588" s="1">
        <v>32.546999999999997</v>
      </c>
      <c r="K588" s="1">
        <v>0.84299999999999997</v>
      </c>
      <c r="L588" s="1"/>
      <c r="M588" s="1"/>
      <c r="N588" s="1"/>
      <c r="O588" s="1"/>
      <c r="P588" s="1"/>
      <c r="Q588" s="1"/>
      <c r="R588" s="1"/>
      <c r="S588" s="1" t="s">
        <v>109</v>
      </c>
      <c r="T588" s="1">
        <v>0.13500000000000001</v>
      </c>
      <c r="U588" s="1" t="s">
        <v>109</v>
      </c>
      <c r="V588" s="1">
        <v>3</v>
      </c>
      <c r="W588" s="1">
        <v>29</v>
      </c>
      <c r="X588" s="1" t="s">
        <v>110</v>
      </c>
      <c r="Y588" s="1"/>
      <c r="Z588" s="1">
        <v>0.98799999999999999</v>
      </c>
      <c r="AA588" s="1" t="s">
        <v>111</v>
      </c>
      <c r="AB588" s="1" t="s">
        <v>111</v>
      </c>
      <c r="AC588" s="1" t="s">
        <v>111</v>
      </c>
      <c r="AD588" s="1" t="s">
        <v>111</v>
      </c>
      <c r="AE588" s="1" t="s">
        <v>111</v>
      </c>
      <c r="AF588" s="1" t="s">
        <v>111</v>
      </c>
      <c r="AG588" s="1" t="s">
        <v>205</v>
      </c>
      <c r="AH588" s="1" t="s">
        <v>111</v>
      </c>
      <c r="AI588" s="1">
        <v>80.775000000000006</v>
      </c>
      <c r="AJ588" s="1" t="s">
        <v>111</v>
      </c>
      <c r="AK588" s="1"/>
      <c r="AL588" s="1" t="s">
        <v>111</v>
      </c>
      <c r="AM588" s="1"/>
      <c r="AN588" s="1" t="s">
        <v>111</v>
      </c>
      <c r="AO588" s="1"/>
      <c r="AP588" s="1" t="s">
        <v>111</v>
      </c>
      <c r="AQ588" s="1" t="s">
        <v>111</v>
      </c>
    </row>
    <row r="589" spans="1:43" x14ac:dyDescent="0.25">
      <c r="A589" s="1">
        <v>269</v>
      </c>
      <c r="B589" s="1" t="s">
        <v>338</v>
      </c>
      <c r="C589" s="1" t="s">
        <v>103</v>
      </c>
      <c r="D589" s="1" t="s">
        <v>418</v>
      </c>
      <c r="E589" s="1" t="s">
        <v>311</v>
      </c>
      <c r="F589" s="1" t="s">
        <v>106</v>
      </c>
      <c r="G589" s="1" t="s">
        <v>107</v>
      </c>
      <c r="H589" s="1" t="s">
        <v>108</v>
      </c>
      <c r="I589" s="1">
        <v>31.606000000000002</v>
      </c>
      <c r="J589" s="1">
        <v>32.106000000000002</v>
      </c>
      <c r="K589" s="1">
        <v>1.054</v>
      </c>
      <c r="L589" s="1"/>
      <c r="M589" s="1"/>
      <c r="N589" s="1"/>
      <c r="O589" s="1"/>
      <c r="P589" s="1"/>
      <c r="Q589" s="1"/>
      <c r="R589" s="1"/>
      <c r="S589" s="1" t="s">
        <v>109</v>
      </c>
      <c r="T589" s="1">
        <v>0.13500000000000001</v>
      </c>
      <c r="U589" s="1" t="s">
        <v>109</v>
      </c>
      <c r="V589" s="1">
        <v>3</v>
      </c>
      <c r="W589" s="1">
        <v>27</v>
      </c>
      <c r="X589" s="1" t="s">
        <v>110</v>
      </c>
      <c r="Y589" s="1"/>
      <c r="Z589" s="1">
        <v>0.98799999999999999</v>
      </c>
      <c r="AA589" s="1" t="s">
        <v>111</v>
      </c>
      <c r="AB589" s="1" t="s">
        <v>111</v>
      </c>
      <c r="AC589" s="1" t="s">
        <v>111</v>
      </c>
      <c r="AD589" s="1" t="s">
        <v>111</v>
      </c>
      <c r="AE589" s="1" t="s">
        <v>111</v>
      </c>
      <c r="AF589" s="1" t="s">
        <v>111</v>
      </c>
      <c r="AG589" s="1" t="s">
        <v>205</v>
      </c>
      <c r="AH589" s="1" t="s">
        <v>111</v>
      </c>
      <c r="AI589" s="1">
        <v>80.765000000000001</v>
      </c>
      <c r="AJ589" s="1" t="s">
        <v>111</v>
      </c>
      <c r="AK589" s="1"/>
      <c r="AL589" s="1" t="s">
        <v>111</v>
      </c>
      <c r="AM589" s="1"/>
      <c r="AN589" s="1" t="s">
        <v>111</v>
      </c>
      <c r="AO589" s="1"/>
      <c r="AP589" s="1" t="s">
        <v>111</v>
      </c>
      <c r="AQ589" s="1" t="s">
        <v>111</v>
      </c>
    </row>
    <row r="590" spans="1:43" x14ac:dyDescent="0.25">
      <c r="A590" s="1">
        <v>270</v>
      </c>
      <c r="B590" s="1" t="s">
        <v>339</v>
      </c>
      <c r="C590" s="1" t="s">
        <v>103</v>
      </c>
      <c r="D590" s="1" t="s">
        <v>418</v>
      </c>
      <c r="E590" s="1" t="s">
        <v>311</v>
      </c>
      <c r="F590" s="1" t="s">
        <v>106</v>
      </c>
      <c r="G590" s="1" t="s">
        <v>107</v>
      </c>
      <c r="H590" s="1" t="s">
        <v>108</v>
      </c>
      <c r="I590" s="1">
        <v>32.088000000000001</v>
      </c>
      <c r="J590" s="1">
        <v>32.106000000000002</v>
      </c>
      <c r="K590" s="1">
        <v>1.054</v>
      </c>
      <c r="L590" s="1"/>
      <c r="M590" s="1"/>
      <c r="N590" s="1"/>
      <c r="O590" s="1"/>
      <c r="P590" s="1"/>
      <c r="Q590" s="1"/>
      <c r="R590" s="1"/>
      <c r="S590" s="1" t="s">
        <v>109</v>
      </c>
      <c r="T590" s="1">
        <v>0.13500000000000001</v>
      </c>
      <c r="U590" s="1" t="s">
        <v>109</v>
      </c>
      <c r="V590" s="1">
        <v>3</v>
      </c>
      <c r="W590" s="1">
        <v>27</v>
      </c>
      <c r="X590" s="1" t="s">
        <v>110</v>
      </c>
      <c r="Y590" s="1"/>
      <c r="Z590" s="1">
        <v>0.98399999999999999</v>
      </c>
      <c r="AA590" s="1" t="s">
        <v>111</v>
      </c>
      <c r="AB590" s="1" t="s">
        <v>111</v>
      </c>
      <c r="AC590" s="1" t="s">
        <v>111</v>
      </c>
      <c r="AD590" s="1" t="s">
        <v>111</v>
      </c>
      <c r="AE590" s="1" t="s">
        <v>111</v>
      </c>
      <c r="AF590" s="1" t="s">
        <v>111</v>
      </c>
      <c r="AG590" s="1" t="s">
        <v>205</v>
      </c>
      <c r="AH590" s="1" t="s">
        <v>111</v>
      </c>
      <c r="AI590" s="1">
        <v>80.765000000000001</v>
      </c>
      <c r="AJ590" s="1" t="s">
        <v>111</v>
      </c>
      <c r="AK590" s="1"/>
      <c r="AL590" s="1" t="s">
        <v>111</v>
      </c>
      <c r="AM590" s="1"/>
      <c r="AN590" s="1" t="s">
        <v>111</v>
      </c>
      <c r="AO590" s="1"/>
      <c r="AP590" s="1" t="s">
        <v>111</v>
      </c>
      <c r="AQ590" s="1" t="s">
        <v>111</v>
      </c>
    </row>
    <row r="591" spans="1:43" x14ac:dyDescent="0.25">
      <c r="A591" s="1">
        <v>271</v>
      </c>
      <c r="B591" s="1" t="s">
        <v>340</v>
      </c>
      <c r="C591" s="1" t="s">
        <v>103</v>
      </c>
      <c r="D591" s="1" t="s">
        <v>419</v>
      </c>
      <c r="E591" s="1" t="s">
        <v>311</v>
      </c>
      <c r="F591" s="1" t="s">
        <v>106</v>
      </c>
      <c r="G591" s="1" t="s">
        <v>107</v>
      </c>
      <c r="H591" s="1" t="s">
        <v>108</v>
      </c>
      <c r="I591" s="1">
        <v>32.667000000000002</v>
      </c>
      <c r="J591" s="1">
        <v>31.555</v>
      </c>
      <c r="K591" s="1">
        <v>1.5720000000000001</v>
      </c>
      <c r="L591" s="1"/>
      <c r="M591" s="1"/>
      <c r="N591" s="1"/>
      <c r="O591" s="1"/>
      <c r="P591" s="1"/>
      <c r="Q591" s="1"/>
      <c r="R591" s="1"/>
      <c r="S591" s="1" t="s">
        <v>109</v>
      </c>
      <c r="T591" s="1">
        <v>0.13500000000000001</v>
      </c>
      <c r="U591" s="1" t="s">
        <v>109</v>
      </c>
      <c r="V591" s="1">
        <v>3</v>
      </c>
      <c r="W591" s="1">
        <v>28</v>
      </c>
      <c r="X591" s="1" t="s">
        <v>110</v>
      </c>
      <c r="Y591" s="1"/>
      <c r="Z591" s="1">
        <v>0.98499999999999999</v>
      </c>
      <c r="AA591" s="1" t="s">
        <v>111</v>
      </c>
      <c r="AB591" s="1" t="s">
        <v>111</v>
      </c>
      <c r="AC591" s="1" t="s">
        <v>111</v>
      </c>
      <c r="AD591" s="1" t="s">
        <v>111</v>
      </c>
      <c r="AE591" s="1" t="s">
        <v>111</v>
      </c>
      <c r="AF591" s="1" t="s">
        <v>111</v>
      </c>
      <c r="AG591" s="1" t="s">
        <v>205</v>
      </c>
      <c r="AH591" s="1" t="s">
        <v>111</v>
      </c>
      <c r="AI591" s="1">
        <v>80.765000000000001</v>
      </c>
      <c r="AJ591" s="1" t="s">
        <v>111</v>
      </c>
      <c r="AK591" s="1"/>
      <c r="AL591" s="1" t="s">
        <v>111</v>
      </c>
      <c r="AM591" s="1"/>
      <c r="AN591" s="1" t="s">
        <v>111</v>
      </c>
      <c r="AO591" s="1"/>
      <c r="AP591" s="1" t="s">
        <v>111</v>
      </c>
      <c r="AQ591" s="1" t="s">
        <v>111</v>
      </c>
    </row>
    <row r="592" spans="1:43" x14ac:dyDescent="0.25">
      <c r="A592" s="1">
        <v>272</v>
      </c>
      <c r="B592" s="1" t="s">
        <v>341</v>
      </c>
      <c r="C592" s="1" t="s">
        <v>103</v>
      </c>
      <c r="D592" s="1" t="s">
        <v>419</v>
      </c>
      <c r="E592" s="1" t="s">
        <v>311</v>
      </c>
      <c r="F592" s="1" t="s">
        <v>106</v>
      </c>
      <c r="G592" s="1" t="s">
        <v>107</v>
      </c>
      <c r="H592" s="1" t="s">
        <v>108</v>
      </c>
      <c r="I592" s="1" t="s">
        <v>235</v>
      </c>
      <c r="J592" s="1">
        <v>31.555</v>
      </c>
      <c r="K592" s="1">
        <v>1.5720000000000001</v>
      </c>
      <c r="L592" s="1"/>
      <c r="M592" s="1"/>
      <c r="N592" s="1"/>
      <c r="O592" s="1"/>
      <c r="P592" s="1"/>
      <c r="Q592" s="1"/>
      <c r="R592" s="1"/>
      <c r="S592" s="1" t="s">
        <v>109</v>
      </c>
      <c r="T592" s="1">
        <v>0.13500000000000001</v>
      </c>
      <c r="U592" s="1" t="s">
        <v>109</v>
      </c>
      <c r="V592" s="1">
        <v>3</v>
      </c>
      <c r="W592" s="1">
        <v>39</v>
      </c>
      <c r="X592" s="1" t="s">
        <v>236</v>
      </c>
      <c r="Y592" s="1"/>
      <c r="Z592" s="1">
        <v>0</v>
      </c>
      <c r="AA592" s="1" t="s">
        <v>205</v>
      </c>
      <c r="AB592" s="1" t="s">
        <v>205</v>
      </c>
      <c r="AC592" s="1" t="s">
        <v>111</v>
      </c>
      <c r="AD592" s="1" t="s">
        <v>111</v>
      </c>
      <c r="AE592" s="1" t="s">
        <v>111</v>
      </c>
      <c r="AF592" s="1" t="s">
        <v>111</v>
      </c>
      <c r="AG592" s="1" t="s">
        <v>111</v>
      </c>
      <c r="AH592" s="1" t="s">
        <v>111</v>
      </c>
      <c r="AI592" s="1">
        <v>60</v>
      </c>
      <c r="AJ592" s="1" t="s">
        <v>111</v>
      </c>
      <c r="AK592" s="1"/>
      <c r="AL592" s="1" t="s">
        <v>111</v>
      </c>
      <c r="AM592" s="1"/>
      <c r="AN592" s="1" t="s">
        <v>111</v>
      </c>
      <c r="AO592" s="1"/>
      <c r="AP592" s="1" t="s">
        <v>205</v>
      </c>
      <c r="AQ592" s="1" t="s">
        <v>111</v>
      </c>
    </row>
    <row r="593" spans="1:43" x14ac:dyDescent="0.25">
      <c r="A593" s="1">
        <v>273</v>
      </c>
      <c r="B593" s="1" t="s">
        <v>342</v>
      </c>
      <c r="C593" s="1" t="s">
        <v>103</v>
      </c>
      <c r="D593" s="1" t="s">
        <v>420</v>
      </c>
      <c r="E593" s="1" t="s">
        <v>311</v>
      </c>
      <c r="F593" s="1" t="s">
        <v>106</v>
      </c>
      <c r="G593" s="1" t="s">
        <v>107</v>
      </c>
      <c r="H593" s="1" t="s">
        <v>108</v>
      </c>
      <c r="I593" s="1">
        <v>32.89</v>
      </c>
      <c r="J593" s="1">
        <v>32.89</v>
      </c>
      <c r="K593" s="1"/>
      <c r="L593" s="1"/>
      <c r="M593" s="1"/>
      <c r="N593" s="1"/>
      <c r="O593" s="1"/>
      <c r="P593" s="1"/>
      <c r="Q593" s="1"/>
      <c r="R593" s="1"/>
      <c r="S593" s="1" t="s">
        <v>109</v>
      </c>
      <c r="T593" s="1">
        <v>0.13500000000000001</v>
      </c>
      <c r="U593" s="1" t="s">
        <v>109</v>
      </c>
      <c r="V593" s="1">
        <v>3</v>
      </c>
      <c r="W593" s="1">
        <v>28</v>
      </c>
      <c r="X593" s="1" t="s">
        <v>110</v>
      </c>
      <c r="Y593" s="1"/>
      <c r="Z593" s="1">
        <v>0.98799999999999999</v>
      </c>
      <c r="AA593" s="1" t="s">
        <v>111</v>
      </c>
      <c r="AB593" s="1" t="s">
        <v>111</v>
      </c>
      <c r="AC593" s="1" t="s">
        <v>111</v>
      </c>
      <c r="AD593" s="1" t="s">
        <v>111</v>
      </c>
      <c r="AE593" s="1" t="s">
        <v>111</v>
      </c>
      <c r="AF593" s="1" t="s">
        <v>111</v>
      </c>
      <c r="AG593" s="1" t="s">
        <v>111</v>
      </c>
      <c r="AH593" s="1" t="s">
        <v>111</v>
      </c>
      <c r="AI593" s="1">
        <v>80.775000000000006</v>
      </c>
      <c r="AJ593" s="1" t="s">
        <v>111</v>
      </c>
      <c r="AK593" s="1"/>
      <c r="AL593" s="1" t="s">
        <v>111</v>
      </c>
      <c r="AM593" s="1"/>
      <c r="AN593" s="1" t="s">
        <v>111</v>
      </c>
      <c r="AO593" s="1"/>
      <c r="AP593" s="1" t="s">
        <v>111</v>
      </c>
      <c r="AQ593" s="1" t="s">
        <v>111</v>
      </c>
    </row>
    <row r="594" spans="1:43" x14ac:dyDescent="0.25">
      <c r="A594" s="1">
        <v>274</v>
      </c>
      <c r="B594" s="1" t="s">
        <v>343</v>
      </c>
      <c r="C594" s="1" t="s">
        <v>103</v>
      </c>
      <c r="D594" s="1" t="s">
        <v>420</v>
      </c>
      <c r="E594" s="1" t="s">
        <v>311</v>
      </c>
      <c r="F594" s="1" t="s">
        <v>106</v>
      </c>
      <c r="G594" s="1" t="s">
        <v>107</v>
      </c>
      <c r="H594" s="1" t="s">
        <v>108</v>
      </c>
      <c r="I594" s="1" t="s">
        <v>235</v>
      </c>
      <c r="J594" s="1">
        <v>32.89</v>
      </c>
      <c r="K594" s="1"/>
      <c r="L594" s="1"/>
      <c r="M594" s="1"/>
      <c r="N594" s="1"/>
      <c r="O594" s="1"/>
      <c r="P594" s="1"/>
      <c r="Q594" s="1"/>
      <c r="R594" s="1"/>
      <c r="S594" s="1" t="s">
        <v>109</v>
      </c>
      <c r="T594" s="1">
        <v>0.13500000000000001</v>
      </c>
      <c r="U594" s="1" t="s">
        <v>109</v>
      </c>
      <c r="V594" s="1">
        <v>3</v>
      </c>
      <c r="W594" s="1">
        <v>39</v>
      </c>
      <c r="X594" s="1" t="s">
        <v>236</v>
      </c>
      <c r="Y594" s="1"/>
      <c r="Z594" s="1">
        <v>0</v>
      </c>
      <c r="AA594" s="1" t="s">
        <v>205</v>
      </c>
      <c r="AB594" s="1" t="s">
        <v>205</v>
      </c>
      <c r="AC594" s="1" t="s">
        <v>111</v>
      </c>
      <c r="AD594" s="1" t="s">
        <v>111</v>
      </c>
      <c r="AE594" s="1" t="s">
        <v>111</v>
      </c>
      <c r="AF594" s="1" t="s">
        <v>111</v>
      </c>
      <c r="AG594" s="1" t="s">
        <v>111</v>
      </c>
      <c r="AH594" s="1" t="s">
        <v>111</v>
      </c>
      <c r="AI594" s="1">
        <v>60.000999999999998</v>
      </c>
      <c r="AJ594" s="1" t="s">
        <v>111</v>
      </c>
      <c r="AK594" s="1"/>
      <c r="AL594" s="1" t="s">
        <v>111</v>
      </c>
      <c r="AM594" s="1"/>
      <c r="AN594" s="1" t="s">
        <v>111</v>
      </c>
      <c r="AO594" s="1"/>
      <c r="AP594" s="1" t="s">
        <v>205</v>
      </c>
      <c r="AQ594" s="1" t="s">
        <v>111</v>
      </c>
    </row>
    <row r="595" spans="1:43" x14ac:dyDescent="0.25">
      <c r="A595" s="1">
        <v>275</v>
      </c>
      <c r="B595" s="1" t="s">
        <v>344</v>
      </c>
      <c r="C595" s="1" t="s">
        <v>103</v>
      </c>
      <c r="D595" s="1" t="s">
        <v>421</v>
      </c>
      <c r="E595" s="1" t="s">
        <v>311</v>
      </c>
      <c r="F595" s="1" t="s">
        <v>106</v>
      </c>
      <c r="G595" s="1" t="s">
        <v>107</v>
      </c>
      <c r="H595" s="1" t="s">
        <v>108</v>
      </c>
      <c r="I595" s="1">
        <v>30.780999999999999</v>
      </c>
      <c r="J595" s="1">
        <v>31.387</v>
      </c>
      <c r="K595" s="1">
        <v>0.52500000000000002</v>
      </c>
      <c r="L595" s="1"/>
      <c r="M595" s="1"/>
      <c r="N595" s="1"/>
      <c r="O595" s="1"/>
      <c r="P595" s="1"/>
      <c r="Q595" s="1"/>
      <c r="R595" s="1"/>
      <c r="S595" s="1" t="s">
        <v>109</v>
      </c>
      <c r="T595" s="1">
        <v>0.13500000000000001</v>
      </c>
      <c r="U595" s="1" t="s">
        <v>109</v>
      </c>
      <c r="V595" s="1">
        <v>3</v>
      </c>
      <c r="W595" s="1">
        <v>26</v>
      </c>
      <c r="X595" s="1" t="s">
        <v>110</v>
      </c>
      <c r="Y595" s="1"/>
      <c r="Z595" s="1">
        <v>0.98599999999999999</v>
      </c>
      <c r="AA595" s="1" t="s">
        <v>111</v>
      </c>
      <c r="AB595" s="1" t="s">
        <v>111</v>
      </c>
      <c r="AC595" s="1" t="s">
        <v>111</v>
      </c>
      <c r="AD595" s="1" t="s">
        <v>111</v>
      </c>
      <c r="AE595" s="1" t="s">
        <v>111</v>
      </c>
      <c r="AF595" s="1" t="s">
        <v>111</v>
      </c>
      <c r="AG595" s="1" t="s">
        <v>205</v>
      </c>
      <c r="AH595" s="1" t="s">
        <v>111</v>
      </c>
      <c r="AI595" s="1">
        <v>80.775000000000006</v>
      </c>
      <c r="AJ595" s="1" t="s">
        <v>111</v>
      </c>
      <c r="AK595" s="1"/>
      <c r="AL595" s="1" t="s">
        <v>111</v>
      </c>
      <c r="AM595" s="1"/>
      <c r="AN595" s="1" t="s">
        <v>111</v>
      </c>
      <c r="AO595" s="1"/>
      <c r="AP595" s="1" t="s">
        <v>111</v>
      </c>
      <c r="AQ595" s="1" t="s">
        <v>111</v>
      </c>
    </row>
    <row r="596" spans="1:43" x14ac:dyDescent="0.25">
      <c r="A596" s="1">
        <v>276</v>
      </c>
      <c r="B596" s="1" t="s">
        <v>345</v>
      </c>
      <c r="C596" s="1" t="s">
        <v>103</v>
      </c>
      <c r="D596" s="1" t="s">
        <v>421</v>
      </c>
      <c r="E596" s="1" t="s">
        <v>311</v>
      </c>
      <c r="F596" s="1" t="s">
        <v>106</v>
      </c>
      <c r="G596" s="1" t="s">
        <v>107</v>
      </c>
      <c r="H596" s="1" t="s">
        <v>108</v>
      </c>
      <c r="I596" s="1">
        <v>31.672999999999998</v>
      </c>
      <c r="J596" s="1">
        <v>31.387</v>
      </c>
      <c r="K596" s="1">
        <v>0.52500000000000002</v>
      </c>
      <c r="L596" s="1"/>
      <c r="M596" s="1"/>
      <c r="N596" s="1"/>
      <c r="O596" s="1"/>
      <c r="P596" s="1"/>
      <c r="Q596" s="1"/>
      <c r="R596" s="1"/>
      <c r="S596" s="1" t="s">
        <v>109</v>
      </c>
      <c r="T596" s="1">
        <v>0.13500000000000001</v>
      </c>
      <c r="U596" s="1" t="s">
        <v>109</v>
      </c>
      <c r="V596" s="1">
        <v>3</v>
      </c>
      <c r="W596" s="1">
        <v>27</v>
      </c>
      <c r="X596" s="1" t="s">
        <v>110</v>
      </c>
      <c r="Y596" s="1"/>
      <c r="Z596" s="1">
        <v>0.98599999999999999</v>
      </c>
      <c r="AA596" s="1" t="s">
        <v>111</v>
      </c>
      <c r="AB596" s="1" t="s">
        <v>111</v>
      </c>
      <c r="AC596" s="1" t="s">
        <v>111</v>
      </c>
      <c r="AD596" s="1" t="s">
        <v>111</v>
      </c>
      <c r="AE596" s="1" t="s">
        <v>111</v>
      </c>
      <c r="AF596" s="1" t="s">
        <v>111</v>
      </c>
      <c r="AG596" s="1" t="s">
        <v>205</v>
      </c>
      <c r="AH596" s="1" t="s">
        <v>111</v>
      </c>
      <c r="AI596" s="1">
        <v>80.775000000000006</v>
      </c>
      <c r="AJ596" s="1" t="s">
        <v>111</v>
      </c>
      <c r="AK596" s="1"/>
      <c r="AL596" s="1" t="s">
        <v>111</v>
      </c>
      <c r="AM596" s="1"/>
      <c r="AN596" s="1" t="s">
        <v>111</v>
      </c>
      <c r="AO596" s="1"/>
      <c r="AP596" s="1" t="s">
        <v>111</v>
      </c>
      <c r="AQ596" s="1" t="s">
        <v>111</v>
      </c>
    </row>
    <row r="597" spans="1:43" x14ac:dyDescent="0.25">
      <c r="A597" s="1">
        <v>281</v>
      </c>
      <c r="B597" s="1" t="s">
        <v>346</v>
      </c>
      <c r="C597" s="1" t="s">
        <v>103</v>
      </c>
      <c r="D597" s="1" t="s">
        <v>282</v>
      </c>
      <c r="E597" s="1" t="s">
        <v>269</v>
      </c>
      <c r="F597" s="1" t="s">
        <v>106</v>
      </c>
      <c r="G597" s="1" t="s">
        <v>107</v>
      </c>
      <c r="H597" s="1" t="s">
        <v>108</v>
      </c>
      <c r="I597" s="1">
        <v>19.571000000000002</v>
      </c>
      <c r="J597" s="1">
        <v>19.571000000000002</v>
      </c>
      <c r="K597" s="1"/>
      <c r="L597" s="1"/>
      <c r="M597" s="1"/>
      <c r="N597" s="1"/>
      <c r="O597" s="1"/>
      <c r="P597" s="1"/>
      <c r="Q597" s="1"/>
      <c r="R597" s="1"/>
      <c r="S597" s="1" t="s">
        <v>109</v>
      </c>
      <c r="T597" s="1">
        <v>0.187</v>
      </c>
      <c r="U597" s="1" t="s">
        <v>109</v>
      </c>
      <c r="V597" s="1">
        <v>3</v>
      </c>
      <c r="W597" s="1">
        <v>17</v>
      </c>
      <c r="X597" s="1" t="s">
        <v>236</v>
      </c>
      <c r="Y597" s="1"/>
      <c r="Z597" s="1">
        <v>0</v>
      </c>
      <c r="AA597" s="1" t="s">
        <v>205</v>
      </c>
      <c r="AB597" s="1" t="s">
        <v>111</v>
      </c>
      <c r="AC597" s="1" t="s">
        <v>205</v>
      </c>
      <c r="AD597" s="1" t="s">
        <v>205</v>
      </c>
      <c r="AE597" s="1" t="s">
        <v>111</v>
      </c>
      <c r="AF597" s="1" t="s">
        <v>111</v>
      </c>
      <c r="AG597" s="1" t="s">
        <v>111</v>
      </c>
      <c r="AH597" s="1" t="s">
        <v>111</v>
      </c>
      <c r="AI597" s="1">
        <v>60</v>
      </c>
      <c r="AJ597" s="1" t="s">
        <v>111</v>
      </c>
      <c r="AK597" s="1"/>
      <c r="AL597" s="1" t="s">
        <v>111</v>
      </c>
      <c r="AM597" s="1"/>
      <c r="AN597" s="1" t="s">
        <v>205</v>
      </c>
      <c r="AO597" s="1"/>
      <c r="AP597" s="1" t="s">
        <v>111</v>
      </c>
      <c r="AQ597" s="1" t="s">
        <v>205</v>
      </c>
    </row>
    <row r="598" spans="1:43" x14ac:dyDescent="0.25">
      <c r="A598" s="1">
        <v>282</v>
      </c>
      <c r="B598" s="1" t="s">
        <v>347</v>
      </c>
      <c r="C598" s="1" t="s">
        <v>103</v>
      </c>
      <c r="D598" s="1" t="s">
        <v>282</v>
      </c>
      <c r="E598" s="1" t="s">
        <v>269</v>
      </c>
      <c r="F598" s="1" t="s">
        <v>106</v>
      </c>
      <c r="G598" s="1" t="s">
        <v>107</v>
      </c>
      <c r="H598" s="1" t="s">
        <v>108</v>
      </c>
      <c r="I598" s="1" t="s">
        <v>235</v>
      </c>
      <c r="J598" s="1">
        <v>19.571000000000002</v>
      </c>
      <c r="K598" s="1"/>
      <c r="L598" s="1"/>
      <c r="M598" s="1"/>
      <c r="N598" s="1"/>
      <c r="O598" s="1"/>
      <c r="P598" s="1"/>
      <c r="Q598" s="1"/>
      <c r="R598" s="1"/>
      <c r="S598" s="1" t="s">
        <v>109</v>
      </c>
      <c r="T598" s="1">
        <v>0.187</v>
      </c>
      <c r="U598" s="1" t="s">
        <v>109</v>
      </c>
      <c r="V598" s="1">
        <v>3</v>
      </c>
      <c r="W598" s="1">
        <v>13</v>
      </c>
      <c r="X598" s="1" t="s">
        <v>236</v>
      </c>
      <c r="Y598" s="1"/>
      <c r="Z598" s="1">
        <v>0</v>
      </c>
      <c r="AA598" s="1" t="s">
        <v>205</v>
      </c>
      <c r="AB598" s="1" t="s">
        <v>111</v>
      </c>
      <c r="AC598" s="1" t="s">
        <v>111</v>
      </c>
      <c r="AD598" s="1" t="s">
        <v>111</v>
      </c>
      <c r="AE598" s="1" t="s">
        <v>111</v>
      </c>
      <c r="AF598" s="1" t="s">
        <v>111</v>
      </c>
      <c r="AG598" s="1" t="s">
        <v>111</v>
      </c>
      <c r="AH598" s="1" t="s">
        <v>111</v>
      </c>
      <c r="AI598" s="1">
        <v>60</v>
      </c>
      <c r="AJ598" s="1" t="s">
        <v>111</v>
      </c>
      <c r="AK598" s="1"/>
      <c r="AL598" s="1" t="s">
        <v>111</v>
      </c>
      <c r="AM598" s="1"/>
      <c r="AN598" s="1" t="s">
        <v>111</v>
      </c>
      <c r="AO598" s="1"/>
      <c r="AP598" s="1" t="s">
        <v>111</v>
      </c>
      <c r="AQ598" s="1" t="s">
        <v>205</v>
      </c>
    </row>
    <row r="599" spans="1:43" x14ac:dyDescent="0.25">
      <c r="A599" s="1">
        <v>283</v>
      </c>
      <c r="B599" s="1" t="s">
        <v>348</v>
      </c>
      <c r="C599" s="1" t="s">
        <v>103</v>
      </c>
      <c r="D599" s="1" t="s">
        <v>282</v>
      </c>
      <c r="E599" s="1" t="s">
        <v>311</v>
      </c>
      <c r="F599" s="1" t="s">
        <v>106</v>
      </c>
      <c r="G599" s="1" t="s">
        <v>107</v>
      </c>
      <c r="H599" s="1" t="s">
        <v>108</v>
      </c>
      <c r="I599" s="1" t="s">
        <v>235</v>
      </c>
      <c r="J599" s="1"/>
      <c r="K599" s="1"/>
      <c r="L599" s="1"/>
      <c r="M599" s="1"/>
      <c r="N599" s="1"/>
      <c r="O599" s="1"/>
      <c r="P599" s="1"/>
      <c r="Q599" s="1"/>
      <c r="R599" s="1"/>
      <c r="S599" s="1" t="s">
        <v>109</v>
      </c>
      <c r="T599" s="1">
        <v>0.13500000000000001</v>
      </c>
      <c r="U599" s="1" t="s">
        <v>109</v>
      </c>
      <c r="V599" s="1">
        <v>3</v>
      </c>
      <c r="W599" s="1">
        <v>32</v>
      </c>
      <c r="X599" s="1" t="s">
        <v>236</v>
      </c>
      <c r="Y599" s="1"/>
      <c r="Z599" s="1">
        <v>0</v>
      </c>
      <c r="AA599" s="1" t="s">
        <v>205</v>
      </c>
      <c r="AB599" s="1" t="s">
        <v>111</v>
      </c>
      <c r="AC599" s="1" t="s">
        <v>111</v>
      </c>
      <c r="AD599" s="1" t="s">
        <v>111</v>
      </c>
      <c r="AE599" s="1" t="s">
        <v>111</v>
      </c>
      <c r="AF599" s="1" t="s">
        <v>205</v>
      </c>
      <c r="AG599" s="1" t="s">
        <v>111</v>
      </c>
      <c r="AH599" s="1" t="s">
        <v>111</v>
      </c>
      <c r="AI599" s="1">
        <v>60.225999999999999</v>
      </c>
      <c r="AJ599" s="1" t="s">
        <v>111</v>
      </c>
      <c r="AK599" s="1"/>
      <c r="AL599" s="1" t="s">
        <v>111</v>
      </c>
      <c r="AM599" s="1"/>
      <c r="AN599" s="1" t="s">
        <v>111</v>
      </c>
      <c r="AO599" s="1"/>
      <c r="AP599" s="1" t="s">
        <v>111</v>
      </c>
      <c r="AQ599" s="1" t="s">
        <v>205</v>
      </c>
    </row>
    <row r="600" spans="1:43" x14ac:dyDescent="0.25">
      <c r="A600" s="1">
        <v>284</v>
      </c>
      <c r="B600" s="1" t="s">
        <v>349</v>
      </c>
      <c r="C600" s="1" t="s">
        <v>103</v>
      </c>
      <c r="D600" s="1" t="s">
        <v>282</v>
      </c>
      <c r="E600" s="1" t="s">
        <v>311</v>
      </c>
      <c r="F600" s="1" t="s">
        <v>106</v>
      </c>
      <c r="G600" s="1" t="s">
        <v>107</v>
      </c>
      <c r="H600" s="1" t="s">
        <v>108</v>
      </c>
      <c r="I600" s="1" t="s">
        <v>235</v>
      </c>
      <c r="J600" s="1"/>
      <c r="K600" s="1"/>
      <c r="L600" s="1"/>
      <c r="M600" s="1"/>
      <c r="N600" s="1"/>
      <c r="O600" s="1"/>
      <c r="P600" s="1"/>
      <c r="Q600" s="1"/>
      <c r="R600" s="1"/>
      <c r="S600" s="1" t="s">
        <v>109</v>
      </c>
      <c r="T600" s="1">
        <v>0.13500000000000001</v>
      </c>
      <c r="U600" s="1" t="s">
        <v>109</v>
      </c>
      <c r="V600" s="1">
        <v>3</v>
      </c>
      <c r="W600" s="1">
        <v>23</v>
      </c>
      <c r="X600" s="1" t="s">
        <v>236</v>
      </c>
      <c r="Y600" s="1"/>
      <c r="Z600" s="1">
        <v>0</v>
      </c>
      <c r="AA600" s="1" t="s">
        <v>205</v>
      </c>
      <c r="AB600" s="1" t="s">
        <v>111</v>
      </c>
      <c r="AC600" s="1" t="s">
        <v>111</v>
      </c>
      <c r="AD600" s="1" t="s">
        <v>111</v>
      </c>
      <c r="AE600" s="1" t="s">
        <v>111</v>
      </c>
      <c r="AF600" s="1" t="s">
        <v>111</v>
      </c>
      <c r="AG600" s="1" t="s">
        <v>111</v>
      </c>
      <c r="AH600" s="1" t="s">
        <v>111</v>
      </c>
      <c r="AI600" s="1">
        <v>60</v>
      </c>
      <c r="AJ600" s="1" t="s">
        <v>111</v>
      </c>
      <c r="AK600" s="1"/>
      <c r="AL600" s="1" t="s">
        <v>205</v>
      </c>
      <c r="AM600" s="1"/>
      <c r="AN600" s="1" t="s">
        <v>205</v>
      </c>
      <c r="AO600" s="1"/>
      <c r="AP600" s="1" t="s">
        <v>111</v>
      </c>
      <c r="AQ600" s="1" t="s">
        <v>205</v>
      </c>
    </row>
    <row r="601" spans="1:43" x14ac:dyDescent="0.25">
      <c r="A601" s="1">
        <v>285</v>
      </c>
      <c r="B601" s="1" t="s">
        <v>350</v>
      </c>
      <c r="C601" s="1" t="s">
        <v>103</v>
      </c>
      <c r="D601" s="1" t="s">
        <v>282</v>
      </c>
      <c r="E601" s="1" t="s">
        <v>328</v>
      </c>
      <c r="F601" s="1" t="s">
        <v>106</v>
      </c>
      <c r="G601" s="1" t="s">
        <v>107</v>
      </c>
      <c r="H601" s="1" t="s">
        <v>108</v>
      </c>
      <c r="I601" s="1">
        <v>36.049999999999997</v>
      </c>
      <c r="J601" s="1">
        <v>34.53</v>
      </c>
      <c r="K601" s="1">
        <v>1.5369999999999999</v>
      </c>
      <c r="L601" s="1"/>
      <c r="M601" s="1"/>
      <c r="N601" s="1"/>
      <c r="O601" s="1"/>
      <c r="P601" s="1"/>
      <c r="Q601" s="1"/>
      <c r="R601" s="1"/>
      <c r="S601" s="1" t="s">
        <v>109</v>
      </c>
      <c r="T601" s="1">
        <v>0.23599999999999999</v>
      </c>
      <c r="U601" s="1" t="s">
        <v>109</v>
      </c>
      <c r="V601" s="1">
        <v>3</v>
      </c>
      <c r="W601" s="1">
        <v>33</v>
      </c>
      <c r="X601" s="1" t="s">
        <v>236</v>
      </c>
      <c r="Y601" s="1"/>
      <c r="Z601" s="1">
        <v>0</v>
      </c>
      <c r="AA601" s="1" t="s">
        <v>205</v>
      </c>
      <c r="AB601" s="1" t="s">
        <v>111</v>
      </c>
      <c r="AC601" s="1" t="s">
        <v>205</v>
      </c>
      <c r="AD601" s="1" t="s">
        <v>205</v>
      </c>
      <c r="AE601" s="1" t="s">
        <v>111</v>
      </c>
      <c r="AF601" s="1" t="s">
        <v>111</v>
      </c>
      <c r="AG601" s="1" t="s">
        <v>205</v>
      </c>
      <c r="AH601" s="1" t="s">
        <v>111</v>
      </c>
      <c r="AI601" s="1">
        <v>60.000999999999998</v>
      </c>
      <c r="AJ601" s="1" t="s">
        <v>111</v>
      </c>
      <c r="AK601" s="1"/>
      <c r="AL601" s="1" t="s">
        <v>111</v>
      </c>
      <c r="AM601" s="1"/>
      <c r="AN601" s="1" t="s">
        <v>205</v>
      </c>
      <c r="AO601" s="1"/>
      <c r="AP601" s="1" t="s">
        <v>111</v>
      </c>
      <c r="AQ601" s="1" t="s">
        <v>205</v>
      </c>
    </row>
    <row r="602" spans="1:43" x14ac:dyDescent="0.25">
      <c r="A602" s="1">
        <v>286</v>
      </c>
      <c r="B602" s="1" t="s">
        <v>351</v>
      </c>
      <c r="C602" s="1" t="s">
        <v>103</v>
      </c>
      <c r="D602" s="1" t="s">
        <v>282</v>
      </c>
      <c r="E602" s="1" t="s">
        <v>328</v>
      </c>
      <c r="F602" s="1" t="s">
        <v>106</v>
      </c>
      <c r="G602" s="1" t="s">
        <v>107</v>
      </c>
      <c r="H602" s="1" t="s">
        <v>108</v>
      </c>
      <c r="I602" s="1" t="s">
        <v>235</v>
      </c>
      <c r="J602" s="1">
        <v>34.53</v>
      </c>
      <c r="K602" s="1">
        <v>1.5369999999999999</v>
      </c>
      <c r="L602" s="1"/>
      <c r="M602" s="1"/>
      <c r="N602" s="1"/>
      <c r="O602" s="1"/>
      <c r="P602" s="1"/>
      <c r="Q602" s="1"/>
      <c r="R602" s="1"/>
      <c r="S602" s="1" t="s">
        <v>109</v>
      </c>
      <c r="T602" s="1">
        <v>0.23599999999999999</v>
      </c>
      <c r="U602" s="1" t="s">
        <v>109</v>
      </c>
      <c r="V602" s="1">
        <v>3</v>
      </c>
      <c r="W602" s="1">
        <v>39</v>
      </c>
      <c r="X602" s="1" t="s">
        <v>236</v>
      </c>
      <c r="Y602" s="1"/>
      <c r="Z602" s="1">
        <v>0</v>
      </c>
      <c r="AA602" s="1" t="s">
        <v>205</v>
      </c>
      <c r="AB602" s="1" t="s">
        <v>205</v>
      </c>
      <c r="AC602" s="1" t="s">
        <v>111</v>
      </c>
      <c r="AD602" s="1" t="s">
        <v>111</v>
      </c>
      <c r="AE602" s="1" t="s">
        <v>111</v>
      </c>
      <c r="AF602" s="1" t="s">
        <v>111</v>
      </c>
      <c r="AG602" s="1" t="s">
        <v>111</v>
      </c>
      <c r="AH602" s="1" t="s">
        <v>111</v>
      </c>
      <c r="AI602" s="1">
        <v>60.000999999999998</v>
      </c>
      <c r="AJ602" s="1" t="s">
        <v>111</v>
      </c>
      <c r="AK602" s="1"/>
      <c r="AL602" s="1" t="s">
        <v>111</v>
      </c>
      <c r="AM602" s="1"/>
      <c r="AN602" s="1" t="s">
        <v>205</v>
      </c>
      <c r="AO602" s="1"/>
      <c r="AP602" s="1" t="s">
        <v>111</v>
      </c>
      <c r="AQ602" s="1" t="s">
        <v>205</v>
      </c>
    </row>
    <row r="603" spans="1:43" x14ac:dyDescent="0.25">
      <c r="A603" s="1">
        <v>287</v>
      </c>
      <c r="B603" s="1" t="s">
        <v>352</v>
      </c>
      <c r="C603" s="1" t="s">
        <v>103</v>
      </c>
      <c r="D603" s="1" t="s">
        <v>282</v>
      </c>
      <c r="E603" s="1" t="s">
        <v>332</v>
      </c>
      <c r="F603" s="1" t="s">
        <v>106</v>
      </c>
      <c r="G603" s="1" t="s">
        <v>107</v>
      </c>
      <c r="H603" s="1" t="s">
        <v>108</v>
      </c>
      <c r="I603" s="1">
        <v>7.3739999999999997</v>
      </c>
      <c r="J603" s="1">
        <v>7.3739999999999997</v>
      </c>
      <c r="K603" s="1"/>
      <c r="L603" s="1"/>
      <c r="M603" s="1"/>
      <c r="N603" s="1"/>
      <c r="O603" s="1"/>
      <c r="P603" s="1"/>
      <c r="Q603" s="1"/>
      <c r="R603" s="1"/>
      <c r="S603" s="1" t="s">
        <v>109</v>
      </c>
      <c r="T603" s="1">
        <v>0.47599999999999998</v>
      </c>
      <c r="U603" s="1" t="s">
        <v>109</v>
      </c>
      <c r="V603" s="1">
        <v>3</v>
      </c>
      <c r="W603" s="1">
        <v>5</v>
      </c>
      <c r="X603" s="1" t="s">
        <v>236</v>
      </c>
      <c r="Y603" s="1"/>
      <c r="Z603" s="1">
        <v>0</v>
      </c>
      <c r="AA603" s="1" t="s">
        <v>205</v>
      </c>
      <c r="AB603" s="1" t="s">
        <v>111</v>
      </c>
      <c r="AC603" s="1" t="s">
        <v>205</v>
      </c>
      <c r="AD603" s="1" t="s">
        <v>111</v>
      </c>
      <c r="AE603" s="1" t="s">
        <v>111</v>
      </c>
      <c r="AF603" s="1" t="s">
        <v>111</v>
      </c>
      <c r="AG603" s="1" t="s">
        <v>111</v>
      </c>
      <c r="AH603" s="1" t="s">
        <v>111</v>
      </c>
      <c r="AI603" s="1">
        <v>61.13</v>
      </c>
      <c r="AJ603" s="1" t="s">
        <v>111</v>
      </c>
      <c r="AK603" s="1"/>
      <c r="AL603" s="1" t="s">
        <v>111</v>
      </c>
      <c r="AM603" s="1"/>
      <c r="AN603" s="1" t="s">
        <v>205</v>
      </c>
      <c r="AO603" s="1"/>
      <c r="AP603" s="1" t="s">
        <v>111</v>
      </c>
      <c r="AQ603" s="1" t="s">
        <v>205</v>
      </c>
    </row>
    <row r="604" spans="1:43" x14ac:dyDescent="0.25">
      <c r="A604" s="1">
        <v>288</v>
      </c>
      <c r="B604" s="1" t="s">
        <v>353</v>
      </c>
      <c r="C604" s="1" t="s">
        <v>103</v>
      </c>
      <c r="D604" s="1" t="s">
        <v>282</v>
      </c>
      <c r="E604" s="1" t="s">
        <v>332</v>
      </c>
      <c r="F604" s="1" t="s">
        <v>106</v>
      </c>
      <c r="G604" s="1" t="s">
        <v>107</v>
      </c>
      <c r="H604" s="1" t="s">
        <v>108</v>
      </c>
      <c r="I604" s="1" t="s">
        <v>235</v>
      </c>
      <c r="J604" s="1">
        <v>7.3739999999999997</v>
      </c>
      <c r="K604" s="1"/>
      <c r="L604" s="1"/>
      <c r="M604" s="1"/>
      <c r="N604" s="1"/>
      <c r="O604" s="1"/>
      <c r="P604" s="1"/>
      <c r="Q604" s="1"/>
      <c r="R604" s="1"/>
      <c r="S604" s="1" t="s">
        <v>109</v>
      </c>
      <c r="T604" s="1">
        <v>0.47599999999999998</v>
      </c>
      <c r="U604" s="1" t="s">
        <v>109</v>
      </c>
      <c r="V604" s="1">
        <v>3</v>
      </c>
      <c r="W604" s="1">
        <v>39</v>
      </c>
      <c r="X604" s="1" t="s">
        <v>236</v>
      </c>
      <c r="Y604" s="1"/>
      <c r="Z604" s="1">
        <v>0</v>
      </c>
      <c r="AA604" s="1" t="s">
        <v>205</v>
      </c>
      <c r="AB604" s="1" t="s">
        <v>205</v>
      </c>
      <c r="AC604" s="1" t="s">
        <v>111</v>
      </c>
      <c r="AD604" s="1" t="s">
        <v>111</v>
      </c>
      <c r="AE604" s="1" t="s">
        <v>111</v>
      </c>
      <c r="AF604" s="1" t="s">
        <v>111</v>
      </c>
      <c r="AG604" s="1" t="s">
        <v>111</v>
      </c>
      <c r="AH604" s="1" t="s">
        <v>111</v>
      </c>
      <c r="AI604" s="1">
        <v>61.13</v>
      </c>
      <c r="AJ604" s="1" t="s">
        <v>111</v>
      </c>
      <c r="AK604" s="1"/>
      <c r="AL604" s="1" t="s">
        <v>111</v>
      </c>
      <c r="AM604" s="1"/>
      <c r="AN604" s="1" t="s">
        <v>111</v>
      </c>
      <c r="AO604" s="1"/>
      <c r="AP604" s="1" t="s">
        <v>111</v>
      </c>
      <c r="AQ604" s="1" t="s">
        <v>205</v>
      </c>
    </row>
    <row r="605" spans="1:43" x14ac:dyDescent="0.25">
      <c r="A605" s="1">
        <v>289</v>
      </c>
      <c r="B605" s="1" t="s">
        <v>354</v>
      </c>
      <c r="C605" s="1" t="s">
        <v>103</v>
      </c>
      <c r="D605" s="1" t="s">
        <v>416</v>
      </c>
      <c r="E605" s="1" t="s">
        <v>328</v>
      </c>
      <c r="F605" s="1" t="s">
        <v>106</v>
      </c>
      <c r="G605" s="1" t="s">
        <v>107</v>
      </c>
      <c r="H605" s="1" t="s">
        <v>108</v>
      </c>
      <c r="I605" s="1" t="s">
        <v>235</v>
      </c>
      <c r="J605" s="1"/>
      <c r="K605" s="1"/>
      <c r="L605" s="1"/>
      <c r="M605" s="1"/>
      <c r="N605" s="1"/>
      <c r="O605" s="1"/>
      <c r="P605" s="1"/>
      <c r="Q605" s="1"/>
      <c r="R605" s="1"/>
      <c r="S605" s="1" t="s">
        <v>109</v>
      </c>
      <c r="T605" s="1">
        <v>0.23599999999999999</v>
      </c>
      <c r="U605" s="1" t="s">
        <v>109</v>
      </c>
      <c r="V605" s="1">
        <v>3</v>
      </c>
      <c r="W605" s="1">
        <v>39</v>
      </c>
      <c r="X605" s="1" t="s">
        <v>236</v>
      </c>
      <c r="Y605" s="1"/>
      <c r="Z605" s="1">
        <v>0</v>
      </c>
      <c r="AA605" s="1" t="s">
        <v>205</v>
      </c>
      <c r="AB605" s="1" t="s">
        <v>205</v>
      </c>
      <c r="AC605" s="1" t="s">
        <v>111</v>
      </c>
      <c r="AD605" s="1" t="s">
        <v>111</v>
      </c>
      <c r="AE605" s="1" t="s">
        <v>111</v>
      </c>
      <c r="AF605" s="1" t="s">
        <v>111</v>
      </c>
      <c r="AG605" s="1" t="s">
        <v>111</v>
      </c>
      <c r="AH605" s="1" t="s">
        <v>111</v>
      </c>
      <c r="AI605" s="1">
        <v>60</v>
      </c>
      <c r="AJ605" s="1" t="s">
        <v>111</v>
      </c>
      <c r="AK605" s="1"/>
      <c r="AL605" s="1" t="s">
        <v>111</v>
      </c>
      <c r="AM605" s="1"/>
      <c r="AN605" s="1" t="s">
        <v>111</v>
      </c>
      <c r="AO605" s="1"/>
      <c r="AP605" s="1" t="s">
        <v>205</v>
      </c>
      <c r="AQ605" s="1" t="s">
        <v>111</v>
      </c>
    </row>
    <row r="606" spans="1:43" x14ac:dyDescent="0.25">
      <c r="A606" s="1">
        <v>290</v>
      </c>
      <c r="B606" s="1" t="s">
        <v>355</v>
      </c>
      <c r="C606" s="1" t="s">
        <v>103</v>
      </c>
      <c r="D606" s="1" t="s">
        <v>416</v>
      </c>
      <c r="E606" s="1" t="s">
        <v>328</v>
      </c>
      <c r="F606" s="1" t="s">
        <v>106</v>
      </c>
      <c r="G606" s="1" t="s">
        <v>107</v>
      </c>
      <c r="H606" s="1" t="s">
        <v>108</v>
      </c>
      <c r="I606" s="1" t="s">
        <v>235</v>
      </c>
      <c r="J606" s="1"/>
      <c r="K606" s="1"/>
      <c r="L606" s="1"/>
      <c r="M606" s="1"/>
      <c r="N606" s="1"/>
      <c r="O606" s="1"/>
      <c r="P606" s="1"/>
      <c r="Q606" s="1"/>
      <c r="R606" s="1"/>
      <c r="S606" s="1" t="s">
        <v>109</v>
      </c>
      <c r="T606" s="1">
        <v>0.23599999999999999</v>
      </c>
      <c r="U606" s="1" t="s">
        <v>109</v>
      </c>
      <c r="V606" s="1">
        <v>3</v>
      </c>
      <c r="W606" s="1">
        <v>39</v>
      </c>
      <c r="X606" s="1" t="s">
        <v>236</v>
      </c>
      <c r="Y606" s="1"/>
      <c r="Z606" s="1">
        <v>0</v>
      </c>
      <c r="AA606" s="1" t="s">
        <v>205</v>
      </c>
      <c r="AB606" s="1" t="s">
        <v>205</v>
      </c>
      <c r="AC606" s="1" t="s">
        <v>111</v>
      </c>
      <c r="AD606" s="1" t="s">
        <v>111</v>
      </c>
      <c r="AE606" s="1" t="s">
        <v>111</v>
      </c>
      <c r="AF606" s="1" t="s">
        <v>111</v>
      </c>
      <c r="AG606" s="1" t="s">
        <v>111</v>
      </c>
      <c r="AH606" s="1" t="s">
        <v>111</v>
      </c>
      <c r="AI606" s="1">
        <v>60</v>
      </c>
      <c r="AJ606" s="1" t="s">
        <v>111</v>
      </c>
      <c r="AK606" s="1"/>
      <c r="AL606" s="1" t="s">
        <v>111</v>
      </c>
      <c r="AM606" s="1"/>
      <c r="AN606" s="1" t="s">
        <v>111</v>
      </c>
      <c r="AO606" s="1"/>
      <c r="AP606" s="1" t="s">
        <v>205</v>
      </c>
      <c r="AQ606" s="1" t="s">
        <v>111</v>
      </c>
    </row>
    <row r="607" spans="1:43" x14ac:dyDescent="0.25">
      <c r="A607" s="1">
        <v>291</v>
      </c>
      <c r="B607" s="1" t="s">
        <v>356</v>
      </c>
      <c r="C607" s="1" t="s">
        <v>103</v>
      </c>
      <c r="D607" s="1" t="s">
        <v>417</v>
      </c>
      <c r="E607" s="1" t="s">
        <v>328</v>
      </c>
      <c r="F607" s="1" t="s">
        <v>106</v>
      </c>
      <c r="G607" s="1" t="s">
        <v>107</v>
      </c>
      <c r="H607" s="1" t="s">
        <v>108</v>
      </c>
      <c r="I607" s="1">
        <v>33.267000000000003</v>
      </c>
      <c r="J607" s="1">
        <v>33.927</v>
      </c>
      <c r="K607" s="1">
        <v>0.93400000000000005</v>
      </c>
      <c r="L607" s="1"/>
      <c r="M607" s="1"/>
      <c r="N607" s="1"/>
      <c r="O607" s="1"/>
      <c r="P607" s="1"/>
      <c r="Q607" s="1"/>
      <c r="R607" s="1"/>
      <c r="S607" s="1" t="s">
        <v>109</v>
      </c>
      <c r="T607" s="1">
        <v>0.23599999999999999</v>
      </c>
      <c r="U607" s="1" t="s">
        <v>109</v>
      </c>
      <c r="V607" s="1">
        <v>3</v>
      </c>
      <c r="W607" s="1">
        <v>28</v>
      </c>
      <c r="X607" s="1" t="s">
        <v>110</v>
      </c>
      <c r="Y607" s="1"/>
      <c r="Z607" s="1">
        <v>0.98199999999999998</v>
      </c>
      <c r="AA607" s="1" t="s">
        <v>111</v>
      </c>
      <c r="AB607" s="1" t="s">
        <v>111</v>
      </c>
      <c r="AC607" s="1" t="s">
        <v>111</v>
      </c>
      <c r="AD607" s="1" t="s">
        <v>111</v>
      </c>
      <c r="AE607" s="1" t="s">
        <v>111</v>
      </c>
      <c r="AF607" s="1" t="s">
        <v>111</v>
      </c>
      <c r="AG607" s="1" t="s">
        <v>205</v>
      </c>
      <c r="AH607" s="1" t="s">
        <v>111</v>
      </c>
      <c r="AI607" s="1">
        <v>81.227000000000004</v>
      </c>
      <c r="AJ607" s="1" t="s">
        <v>111</v>
      </c>
      <c r="AK607" s="1"/>
      <c r="AL607" s="1" t="s">
        <v>111</v>
      </c>
      <c r="AM607" s="1"/>
      <c r="AN607" s="1" t="s">
        <v>111</v>
      </c>
      <c r="AO607" s="1"/>
      <c r="AP607" s="1" t="s">
        <v>111</v>
      </c>
      <c r="AQ607" s="1" t="s">
        <v>111</v>
      </c>
    </row>
    <row r="608" spans="1:43" x14ac:dyDescent="0.25">
      <c r="A608" s="1">
        <v>292</v>
      </c>
      <c r="B608" s="1" t="s">
        <v>357</v>
      </c>
      <c r="C608" s="1" t="s">
        <v>103</v>
      </c>
      <c r="D608" s="1" t="s">
        <v>417</v>
      </c>
      <c r="E608" s="1" t="s">
        <v>328</v>
      </c>
      <c r="F608" s="1" t="s">
        <v>106</v>
      </c>
      <c r="G608" s="1" t="s">
        <v>107</v>
      </c>
      <c r="H608" s="1" t="s">
        <v>108</v>
      </c>
      <c r="I608" s="1">
        <v>34.588000000000001</v>
      </c>
      <c r="J608" s="1">
        <v>33.927</v>
      </c>
      <c r="K608" s="1">
        <v>0.93400000000000005</v>
      </c>
      <c r="L608" s="1"/>
      <c r="M608" s="1"/>
      <c r="N608" s="1"/>
      <c r="O608" s="1"/>
      <c r="P608" s="1"/>
      <c r="Q608" s="1"/>
      <c r="R608" s="1"/>
      <c r="S608" s="1" t="s">
        <v>109</v>
      </c>
      <c r="T608" s="1">
        <v>0.23599999999999999</v>
      </c>
      <c r="U608" s="1" t="s">
        <v>109</v>
      </c>
      <c r="V608" s="1">
        <v>3</v>
      </c>
      <c r="W608" s="1">
        <v>29</v>
      </c>
      <c r="X608" s="1" t="s">
        <v>110</v>
      </c>
      <c r="Y608" s="1"/>
      <c r="Z608" s="1">
        <v>0.98399999999999999</v>
      </c>
      <c r="AA608" s="1" t="s">
        <v>111</v>
      </c>
      <c r="AB608" s="1" t="s">
        <v>111</v>
      </c>
      <c r="AC608" s="1" t="s">
        <v>111</v>
      </c>
      <c r="AD608" s="1" t="s">
        <v>111</v>
      </c>
      <c r="AE608" s="1" t="s">
        <v>111</v>
      </c>
      <c r="AF608" s="1" t="s">
        <v>111</v>
      </c>
      <c r="AG608" s="1" t="s">
        <v>205</v>
      </c>
      <c r="AH608" s="1" t="s">
        <v>111</v>
      </c>
      <c r="AI608" s="1">
        <v>81.227000000000004</v>
      </c>
      <c r="AJ608" s="1" t="s">
        <v>111</v>
      </c>
      <c r="AK608" s="1"/>
      <c r="AL608" s="1" t="s">
        <v>111</v>
      </c>
      <c r="AM608" s="1"/>
      <c r="AN608" s="1" t="s">
        <v>111</v>
      </c>
      <c r="AO608" s="1"/>
      <c r="AP608" s="1" t="s">
        <v>111</v>
      </c>
      <c r="AQ608" s="1" t="s">
        <v>111</v>
      </c>
    </row>
    <row r="609" spans="1:43" x14ac:dyDescent="0.25">
      <c r="A609" s="1">
        <v>293</v>
      </c>
      <c r="B609" s="1" t="s">
        <v>358</v>
      </c>
      <c r="C609" s="1" t="s">
        <v>103</v>
      </c>
      <c r="D609" s="1" t="s">
        <v>418</v>
      </c>
      <c r="E609" s="1" t="s">
        <v>328</v>
      </c>
      <c r="F609" s="1" t="s">
        <v>106</v>
      </c>
      <c r="G609" s="1" t="s">
        <v>107</v>
      </c>
      <c r="H609" s="1" t="s">
        <v>108</v>
      </c>
      <c r="I609" s="1">
        <v>34.151000000000003</v>
      </c>
      <c r="J609" s="1">
        <v>33.994</v>
      </c>
      <c r="K609" s="1">
        <v>0.59799999999999998</v>
      </c>
      <c r="L609" s="1"/>
      <c r="M609" s="1"/>
      <c r="N609" s="1"/>
      <c r="O609" s="1"/>
      <c r="P609" s="1"/>
      <c r="Q609" s="1"/>
      <c r="R609" s="1"/>
      <c r="S609" s="1" t="s">
        <v>109</v>
      </c>
      <c r="T609" s="1">
        <v>0.23599999999999999</v>
      </c>
      <c r="U609" s="1" t="s">
        <v>109</v>
      </c>
      <c r="V609" s="1">
        <v>3</v>
      </c>
      <c r="W609" s="1">
        <v>29</v>
      </c>
      <c r="X609" s="1" t="s">
        <v>110</v>
      </c>
      <c r="Y609" s="1"/>
      <c r="Z609" s="1">
        <v>0.98699999999999999</v>
      </c>
      <c r="AA609" s="1" t="s">
        <v>111</v>
      </c>
      <c r="AB609" s="1" t="s">
        <v>111</v>
      </c>
      <c r="AC609" s="1" t="s">
        <v>111</v>
      </c>
      <c r="AD609" s="1" t="s">
        <v>111</v>
      </c>
      <c r="AE609" s="1" t="s">
        <v>111</v>
      </c>
      <c r="AF609" s="1" t="s">
        <v>111</v>
      </c>
      <c r="AG609" s="1" t="s">
        <v>205</v>
      </c>
      <c r="AH609" s="1" t="s">
        <v>111</v>
      </c>
      <c r="AI609" s="1">
        <v>81.215999999999994</v>
      </c>
      <c r="AJ609" s="1" t="s">
        <v>111</v>
      </c>
      <c r="AK609" s="1"/>
      <c r="AL609" s="1" t="s">
        <v>111</v>
      </c>
      <c r="AM609" s="1"/>
      <c r="AN609" s="1" t="s">
        <v>111</v>
      </c>
      <c r="AO609" s="1"/>
      <c r="AP609" s="1" t="s">
        <v>111</v>
      </c>
      <c r="AQ609" s="1" t="s">
        <v>111</v>
      </c>
    </row>
    <row r="610" spans="1:43" x14ac:dyDescent="0.25">
      <c r="A610" s="1">
        <v>294</v>
      </c>
      <c r="B610" s="1" t="s">
        <v>359</v>
      </c>
      <c r="C610" s="1" t="s">
        <v>103</v>
      </c>
      <c r="D610" s="1" t="s">
        <v>418</v>
      </c>
      <c r="E610" s="1" t="s">
        <v>328</v>
      </c>
      <c r="F610" s="1" t="s">
        <v>106</v>
      </c>
      <c r="G610" s="1" t="s">
        <v>107</v>
      </c>
      <c r="H610" s="1" t="s">
        <v>108</v>
      </c>
      <c r="I610" s="1">
        <v>33.133000000000003</v>
      </c>
      <c r="J610" s="1">
        <v>33.994</v>
      </c>
      <c r="K610" s="1">
        <v>0.59799999999999998</v>
      </c>
      <c r="L610" s="1"/>
      <c r="M610" s="1"/>
      <c r="N610" s="1"/>
      <c r="O610" s="1"/>
      <c r="P610" s="1"/>
      <c r="Q610" s="1"/>
      <c r="R610" s="1"/>
      <c r="S610" s="1" t="s">
        <v>109</v>
      </c>
      <c r="T610" s="1">
        <v>0.23599999999999999</v>
      </c>
      <c r="U610" s="1" t="s">
        <v>109</v>
      </c>
      <c r="V610" s="1">
        <v>3</v>
      </c>
      <c r="W610" s="1">
        <v>27</v>
      </c>
      <c r="X610" s="1" t="s">
        <v>110</v>
      </c>
      <c r="Y610" s="1"/>
      <c r="Z610" s="1">
        <v>0.98499999999999999</v>
      </c>
      <c r="AA610" s="1" t="s">
        <v>111</v>
      </c>
      <c r="AB610" s="1" t="s">
        <v>111</v>
      </c>
      <c r="AC610" s="1" t="s">
        <v>111</v>
      </c>
      <c r="AD610" s="1" t="s">
        <v>111</v>
      </c>
      <c r="AE610" s="1" t="s">
        <v>111</v>
      </c>
      <c r="AF610" s="1" t="s">
        <v>111</v>
      </c>
      <c r="AG610" s="1" t="s">
        <v>205</v>
      </c>
      <c r="AH610" s="1" t="s">
        <v>111</v>
      </c>
      <c r="AI610" s="1">
        <v>81.215999999999994</v>
      </c>
      <c r="AJ610" s="1" t="s">
        <v>111</v>
      </c>
      <c r="AK610" s="1"/>
      <c r="AL610" s="1" t="s">
        <v>111</v>
      </c>
      <c r="AM610" s="1"/>
      <c r="AN610" s="1" t="s">
        <v>111</v>
      </c>
      <c r="AO610" s="1"/>
      <c r="AP610" s="1" t="s">
        <v>111</v>
      </c>
      <c r="AQ610" s="1" t="s">
        <v>111</v>
      </c>
    </row>
    <row r="611" spans="1:43" x14ac:dyDescent="0.25">
      <c r="A611" s="1">
        <v>295</v>
      </c>
      <c r="B611" s="1" t="s">
        <v>360</v>
      </c>
      <c r="C611" s="1" t="s">
        <v>103</v>
      </c>
      <c r="D611" s="1" t="s">
        <v>419</v>
      </c>
      <c r="E611" s="1" t="s">
        <v>328</v>
      </c>
      <c r="F611" s="1" t="s">
        <v>106</v>
      </c>
      <c r="G611" s="1" t="s">
        <v>107</v>
      </c>
      <c r="H611" s="1" t="s">
        <v>108</v>
      </c>
      <c r="I611" s="1">
        <v>31.507999999999999</v>
      </c>
      <c r="J611" s="1">
        <v>32.067999999999998</v>
      </c>
      <c r="K611" s="1">
        <v>0.79300000000000004</v>
      </c>
      <c r="L611" s="1"/>
      <c r="M611" s="1"/>
      <c r="N611" s="1"/>
      <c r="O611" s="1"/>
      <c r="P611" s="1"/>
      <c r="Q611" s="1"/>
      <c r="R611" s="1"/>
      <c r="S611" s="1" t="s">
        <v>109</v>
      </c>
      <c r="T611" s="1">
        <v>0.23599999999999999</v>
      </c>
      <c r="U611" s="1" t="s">
        <v>109</v>
      </c>
      <c r="V611" s="1">
        <v>3</v>
      </c>
      <c r="W611" s="1">
        <v>26</v>
      </c>
      <c r="X611" s="1" t="s">
        <v>110</v>
      </c>
      <c r="Y611" s="1"/>
      <c r="Z611" s="1">
        <v>0.98399999999999999</v>
      </c>
      <c r="AA611" s="1" t="s">
        <v>111</v>
      </c>
      <c r="AB611" s="1" t="s">
        <v>111</v>
      </c>
      <c r="AC611" s="1" t="s">
        <v>111</v>
      </c>
      <c r="AD611" s="1" t="s">
        <v>111</v>
      </c>
      <c r="AE611" s="1" t="s">
        <v>111</v>
      </c>
      <c r="AF611" s="1" t="s">
        <v>111</v>
      </c>
      <c r="AG611" s="1" t="s">
        <v>205</v>
      </c>
      <c r="AH611" s="1" t="s">
        <v>111</v>
      </c>
      <c r="AI611" s="1">
        <v>81.215999999999994</v>
      </c>
      <c r="AJ611" s="1" t="s">
        <v>111</v>
      </c>
      <c r="AK611" s="1"/>
      <c r="AL611" s="1" t="s">
        <v>111</v>
      </c>
      <c r="AM611" s="1"/>
      <c r="AN611" s="1" t="s">
        <v>111</v>
      </c>
      <c r="AO611" s="1"/>
      <c r="AP611" s="1" t="s">
        <v>111</v>
      </c>
      <c r="AQ611" s="1" t="s">
        <v>111</v>
      </c>
    </row>
    <row r="612" spans="1:43" x14ac:dyDescent="0.25">
      <c r="A612" s="1">
        <v>296</v>
      </c>
      <c r="B612" s="1" t="s">
        <v>361</v>
      </c>
      <c r="C612" s="1" t="s">
        <v>103</v>
      </c>
      <c r="D612" s="1" t="s">
        <v>419</v>
      </c>
      <c r="E612" s="1" t="s">
        <v>328</v>
      </c>
      <c r="F612" s="1" t="s">
        <v>106</v>
      </c>
      <c r="G612" s="1" t="s">
        <v>107</v>
      </c>
      <c r="H612" s="1" t="s">
        <v>108</v>
      </c>
      <c r="I612" s="1" t="s">
        <v>235</v>
      </c>
      <c r="J612" s="1">
        <v>32.067999999999998</v>
      </c>
      <c r="K612" s="1">
        <v>0.79300000000000004</v>
      </c>
      <c r="L612" s="1"/>
      <c r="M612" s="1"/>
      <c r="N612" s="1"/>
      <c r="O612" s="1"/>
      <c r="P612" s="1"/>
      <c r="Q612" s="1"/>
      <c r="R612" s="1"/>
      <c r="S612" s="1" t="s">
        <v>109</v>
      </c>
      <c r="T612" s="1">
        <v>0.23599999999999999</v>
      </c>
      <c r="U612" s="1" t="s">
        <v>109</v>
      </c>
      <c r="V612" s="1">
        <v>3</v>
      </c>
      <c r="W612" s="1">
        <v>39</v>
      </c>
      <c r="X612" s="1" t="s">
        <v>236</v>
      </c>
      <c r="Y612" s="1"/>
      <c r="Z612" s="1">
        <v>0</v>
      </c>
      <c r="AA612" s="1" t="s">
        <v>205</v>
      </c>
      <c r="AB612" s="1" t="s">
        <v>205</v>
      </c>
      <c r="AC612" s="1" t="s">
        <v>111</v>
      </c>
      <c r="AD612" s="1" t="s">
        <v>111</v>
      </c>
      <c r="AE612" s="1" t="s">
        <v>111</v>
      </c>
      <c r="AF612" s="1" t="s">
        <v>111</v>
      </c>
      <c r="AG612" s="1" t="s">
        <v>111</v>
      </c>
      <c r="AH612" s="1" t="s">
        <v>111</v>
      </c>
      <c r="AI612" s="1">
        <v>60</v>
      </c>
      <c r="AJ612" s="1" t="s">
        <v>111</v>
      </c>
      <c r="AK612" s="1"/>
      <c r="AL612" s="1" t="s">
        <v>111</v>
      </c>
      <c r="AM612" s="1"/>
      <c r="AN612" s="1" t="s">
        <v>111</v>
      </c>
      <c r="AO612" s="1"/>
      <c r="AP612" s="1" t="s">
        <v>205</v>
      </c>
      <c r="AQ612" s="1" t="s">
        <v>111</v>
      </c>
    </row>
    <row r="613" spans="1:43" x14ac:dyDescent="0.25">
      <c r="A613" s="1">
        <v>297</v>
      </c>
      <c r="B613" s="1" t="s">
        <v>362</v>
      </c>
      <c r="C613" s="1" t="s">
        <v>103</v>
      </c>
      <c r="D613" s="1" t="s">
        <v>420</v>
      </c>
      <c r="E613" s="1" t="s">
        <v>328</v>
      </c>
      <c r="F613" s="1" t="s">
        <v>106</v>
      </c>
      <c r="G613" s="1" t="s">
        <v>107</v>
      </c>
      <c r="H613" s="1" t="s">
        <v>108</v>
      </c>
      <c r="I613" s="1">
        <v>34.21</v>
      </c>
      <c r="J613" s="1">
        <v>33.597999999999999</v>
      </c>
      <c r="K613" s="1">
        <v>0.97799999999999998</v>
      </c>
      <c r="L613" s="1"/>
      <c r="M613" s="1"/>
      <c r="N613" s="1"/>
      <c r="O613" s="1"/>
      <c r="P613" s="1"/>
      <c r="Q613" s="1"/>
      <c r="R613" s="1"/>
      <c r="S613" s="1" t="s">
        <v>109</v>
      </c>
      <c r="T613" s="1">
        <v>0.23599999999999999</v>
      </c>
      <c r="U613" s="1" t="s">
        <v>109</v>
      </c>
      <c r="V613" s="1">
        <v>3</v>
      </c>
      <c r="W613" s="1">
        <v>29</v>
      </c>
      <c r="X613" s="1" t="s">
        <v>110</v>
      </c>
      <c r="Y613" s="1"/>
      <c r="Z613" s="1">
        <v>0.98599999999999999</v>
      </c>
      <c r="AA613" s="1" t="s">
        <v>111</v>
      </c>
      <c r="AB613" s="1" t="s">
        <v>111</v>
      </c>
      <c r="AC613" s="1" t="s">
        <v>111</v>
      </c>
      <c r="AD613" s="1" t="s">
        <v>111</v>
      </c>
      <c r="AE613" s="1" t="s">
        <v>111</v>
      </c>
      <c r="AF613" s="1" t="s">
        <v>111</v>
      </c>
      <c r="AG613" s="1" t="s">
        <v>205</v>
      </c>
      <c r="AH613" s="1" t="s">
        <v>111</v>
      </c>
      <c r="AI613" s="1">
        <v>81.227000000000004</v>
      </c>
      <c r="AJ613" s="1" t="s">
        <v>111</v>
      </c>
      <c r="AK613" s="1"/>
      <c r="AL613" s="1" t="s">
        <v>111</v>
      </c>
      <c r="AM613" s="1"/>
      <c r="AN613" s="1" t="s">
        <v>111</v>
      </c>
      <c r="AO613" s="1"/>
      <c r="AP613" s="1" t="s">
        <v>111</v>
      </c>
      <c r="AQ613" s="1" t="s">
        <v>111</v>
      </c>
    </row>
    <row r="614" spans="1:43" x14ac:dyDescent="0.25">
      <c r="A614" s="1">
        <v>298</v>
      </c>
      <c r="B614" s="1" t="s">
        <v>363</v>
      </c>
      <c r="C614" s="1" t="s">
        <v>103</v>
      </c>
      <c r="D614" s="1" t="s">
        <v>420</v>
      </c>
      <c r="E614" s="1" t="s">
        <v>328</v>
      </c>
      <c r="F614" s="1" t="s">
        <v>106</v>
      </c>
      <c r="G614" s="1" t="s">
        <v>107</v>
      </c>
      <c r="H614" s="1" t="s">
        <v>108</v>
      </c>
      <c r="I614" s="1">
        <v>34.479999999999997</v>
      </c>
      <c r="J614" s="1">
        <v>33.597999999999999</v>
      </c>
      <c r="K614" s="1">
        <v>0.97799999999999998</v>
      </c>
      <c r="L614" s="1"/>
      <c r="M614" s="1"/>
      <c r="N614" s="1"/>
      <c r="O614" s="1"/>
      <c r="P614" s="1"/>
      <c r="Q614" s="1"/>
      <c r="R614" s="1"/>
      <c r="S614" s="1" t="s">
        <v>109</v>
      </c>
      <c r="T614" s="1">
        <v>0.23599999999999999</v>
      </c>
      <c r="U614" s="1" t="s">
        <v>109</v>
      </c>
      <c r="V614" s="1">
        <v>3</v>
      </c>
      <c r="W614" s="1">
        <v>29</v>
      </c>
      <c r="X614" s="1" t="s">
        <v>110</v>
      </c>
      <c r="Y614" s="1"/>
      <c r="Z614" s="1">
        <v>0.98699999999999999</v>
      </c>
      <c r="AA614" s="1" t="s">
        <v>111</v>
      </c>
      <c r="AB614" s="1" t="s">
        <v>111</v>
      </c>
      <c r="AC614" s="1" t="s">
        <v>111</v>
      </c>
      <c r="AD614" s="1" t="s">
        <v>111</v>
      </c>
      <c r="AE614" s="1" t="s">
        <v>111</v>
      </c>
      <c r="AF614" s="1" t="s">
        <v>111</v>
      </c>
      <c r="AG614" s="1" t="s">
        <v>205</v>
      </c>
      <c r="AH614" s="1" t="s">
        <v>111</v>
      </c>
      <c r="AI614" s="1">
        <v>81.227000000000004</v>
      </c>
      <c r="AJ614" s="1" t="s">
        <v>111</v>
      </c>
      <c r="AK614" s="1"/>
      <c r="AL614" s="1" t="s">
        <v>111</v>
      </c>
      <c r="AM614" s="1"/>
      <c r="AN614" s="1" t="s">
        <v>111</v>
      </c>
      <c r="AO614" s="1"/>
      <c r="AP614" s="1" t="s">
        <v>111</v>
      </c>
      <c r="AQ614" s="1" t="s">
        <v>111</v>
      </c>
    </row>
    <row r="615" spans="1:43" x14ac:dyDescent="0.25">
      <c r="A615" s="1">
        <v>299</v>
      </c>
      <c r="B615" s="1" t="s">
        <v>364</v>
      </c>
      <c r="C615" s="1" t="s">
        <v>103</v>
      </c>
      <c r="D615" s="1" t="s">
        <v>421</v>
      </c>
      <c r="E615" s="1" t="s">
        <v>328</v>
      </c>
      <c r="F615" s="1" t="s">
        <v>106</v>
      </c>
      <c r="G615" s="1" t="s">
        <v>107</v>
      </c>
      <c r="H615" s="1" t="s">
        <v>108</v>
      </c>
      <c r="I615" s="1">
        <v>32.595999999999997</v>
      </c>
      <c r="J615" s="1">
        <v>32.781999999999996</v>
      </c>
      <c r="K615" s="1">
        <v>0.36599999999999999</v>
      </c>
      <c r="L615" s="1"/>
      <c r="M615" s="1"/>
      <c r="N615" s="1"/>
      <c r="O615" s="1"/>
      <c r="P615" s="1"/>
      <c r="Q615" s="1"/>
      <c r="R615" s="1"/>
      <c r="S615" s="1" t="s">
        <v>109</v>
      </c>
      <c r="T615" s="1">
        <v>0.23599999999999999</v>
      </c>
      <c r="U615" s="1" t="s">
        <v>109</v>
      </c>
      <c r="V615" s="1">
        <v>3</v>
      </c>
      <c r="W615" s="1">
        <v>27</v>
      </c>
      <c r="X615" s="1" t="s">
        <v>110</v>
      </c>
      <c r="Y615" s="1"/>
      <c r="Z615" s="1">
        <v>0.98899999999999999</v>
      </c>
      <c r="AA615" s="1" t="s">
        <v>111</v>
      </c>
      <c r="AB615" s="1" t="s">
        <v>111</v>
      </c>
      <c r="AC615" s="1" t="s">
        <v>111</v>
      </c>
      <c r="AD615" s="1" t="s">
        <v>111</v>
      </c>
      <c r="AE615" s="1" t="s">
        <v>111</v>
      </c>
      <c r="AF615" s="1" t="s">
        <v>111</v>
      </c>
      <c r="AG615" s="1" t="s">
        <v>111</v>
      </c>
      <c r="AH615" s="1" t="s">
        <v>111</v>
      </c>
      <c r="AI615" s="1">
        <v>81.227000000000004</v>
      </c>
      <c r="AJ615" s="1" t="s">
        <v>111</v>
      </c>
      <c r="AK615" s="1"/>
      <c r="AL615" s="1" t="s">
        <v>111</v>
      </c>
      <c r="AM615" s="1"/>
      <c r="AN615" s="1" t="s">
        <v>111</v>
      </c>
      <c r="AO615" s="1"/>
      <c r="AP615" s="1" t="s">
        <v>111</v>
      </c>
      <c r="AQ615" s="1" t="s">
        <v>111</v>
      </c>
    </row>
    <row r="616" spans="1:43" x14ac:dyDescent="0.25">
      <c r="A616" s="1">
        <v>300</v>
      </c>
      <c r="B616" s="1" t="s">
        <v>365</v>
      </c>
      <c r="C616" s="1" t="s">
        <v>103</v>
      </c>
      <c r="D616" s="1" t="s">
        <v>421</v>
      </c>
      <c r="E616" s="1" t="s">
        <v>328</v>
      </c>
      <c r="F616" s="1" t="s">
        <v>106</v>
      </c>
      <c r="G616" s="1" t="s">
        <v>107</v>
      </c>
      <c r="H616" s="1" t="s">
        <v>108</v>
      </c>
      <c r="I616" s="1">
        <v>33.244999999999997</v>
      </c>
      <c r="J616" s="1">
        <v>32.781999999999996</v>
      </c>
      <c r="K616" s="1">
        <v>0.36599999999999999</v>
      </c>
      <c r="L616" s="1"/>
      <c r="M616" s="1"/>
      <c r="N616" s="1"/>
      <c r="O616" s="1"/>
      <c r="P616" s="1"/>
      <c r="Q616" s="1"/>
      <c r="R616" s="1"/>
      <c r="S616" s="1" t="s">
        <v>109</v>
      </c>
      <c r="T616" s="1">
        <v>0.23599999999999999</v>
      </c>
      <c r="U616" s="1" t="s">
        <v>109</v>
      </c>
      <c r="V616" s="1">
        <v>3</v>
      </c>
      <c r="W616" s="1">
        <v>28</v>
      </c>
      <c r="X616" s="1" t="s">
        <v>110</v>
      </c>
      <c r="Y616" s="1"/>
      <c r="Z616" s="1">
        <v>0.98599999999999999</v>
      </c>
      <c r="AA616" s="1" t="s">
        <v>111</v>
      </c>
      <c r="AB616" s="1" t="s">
        <v>111</v>
      </c>
      <c r="AC616" s="1" t="s">
        <v>111</v>
      </c>
      <c r="AD616" s="1" t="s">
        <v>111</v>
      </c>
      <c r="AE616" s="1" t="s">
        <v>111</v>
      </c>
      <c r="AF616" s="1" t="s">
        <v>111</v>
      </c>
      <c r="AG616" s="1" t="s">
        <v>111</v>
      </c>
      <c r="AH616" s="1" t="s">
        <v>111</v>
      </c>
      <c r="AI616" s="1">
        <v>81.227000000000004</v>
      </c>
      <c r="AJ616" s="1" t="s">
        <v>111</v>
      </c>
      <c r="AK616" s="1"/>
      <c r="AL616" s="1" t="s">
        <v>111</v>
      </c>
      <c r="AM616" s="1"/>
      <c r="AN616" s="1" t="s">
        <v>111</v>
      </c>
      <c r="AO616" s="1"/>
      <c r="AP616" s="1" t="s">
        <v>111</v>
      </c>
      <c r="AQ616" s="1" t="s">
        <v>111</v>
      </c>
    </row>
    <row r="617" spans="1:43" x14ac:dyDescent="0.25">
      <c r="A617" s="1">
        <v>305</v>
      </c>
      <c r="B617" s="1" t="s">
        <v>366</v>
      </c>
      <c r="C617" s="1" t="s">
        <v>103</v>
      </c>
      <c r="D617" s="1" t="s">
        <v>282</v>
      </c>
      <c r="E617" s="1" t="s">
        <v>129</v>
      </c>
      <c r="F617" s="1" t="s">
        <v>106</v>
      </c>
      <c r="G617" s="1" t="s">
        <v>107</v>
      </c>
      <c r="H617" s="1" t="s">
        <v>108</v>
      </c>
      <c r="I617" s="1">
        <v>36.951000000000001</v>
      </c>
      <c r="J617" s="1">
        <v>37.789000000000001</v>
      </c>
      <c r="K617" s="1">
        <v>1.1850000000000001</v>
      </c>
      <c r="L617" s="1"/>
      <c r="M617" s="1"/>
      <c r="N617" s="1"/>
      <c r="O617" s="1"/>
      <c r="P617" s="1"/>
      <c r="Q617" s="1"/>
      <c r="R617" s="1"/>
      <c r="S617" s="1" t="s">
        <v>109</v>
      </c>
      <c r="T617" s="1">
        <v>0.38700000000000001</v>
      </c>
      <c r="U617" s="1" t="s">
        <v>109</v>
      </c>
      <c r="V617" s="1">
        <v>3</v>
      </c>
      <c r="W617" s="1">
        <v>31</v>
      </c>
      <c r="X617" s="1" t="s">
        <v>110</v>
      </c>
      <c r="Y617" s="1"/>
      <c r="Z617" s="1">
        <v>0.98199999999999998</v>
      </c>
      <c r="AA617" s="1" t="s">
        <v>111</v>
      </c>
      <c r="AB617" s="1" t="s">
        <v>111</v>
      </c>
      <c r="AC617" s="1" t="s">
        <v>111</v>
      </c>
      <c r="AD617" s="1" t="s">
        <v>111</v>
      </c>
      <c r="AE617" s="1" t="s">
        <v>111</v>
      </c>
      <c r="AF617" s="1" t="s">
        <v>111</v>
      </c>
      <c r="AG617" s="1" t="s">
        <v>205</v>
      </c>
      <c r="AH617" s="1" t="s">
        <v>111</v>
      </c>
      <c r="AI617" s="1">
        <v>81.105000000000004</v>
      </c>
      <c r="AJ617" s="1" t="s">
        <v>111</v>
      </c>
      <c r="AK617" s="1"/>
      <c r="AL617" s="1" t="s">
        <v>111</v>
      </c>
      <c r="AM617" s="1"/>
      <c r="AN617" s="1" t="s">
        <v>111</v>
      </c>
      <c r="AO617" s="1"/>
      <c r="AP617" s="1" t="s">
        <v>111</v>
      </c>
      <c r="AQ617" s="1" t="s">
        <v>111</v>
      </c>
    </row>
    <row r="618" spans="1:43" x14ac:dyDescent="0.25">
      <c r="A618" s="1">
        <v>306</v>
      </c>
      <c r="B618" s="1" t="s">
        <v>367</v>
      </c>
      <c r="C618" s="1" t="s">
        <v>103</v>
      </c>
      <c r="D618" s="1" t="s">
        <v>282</v>
      </c>
      <c r="E618" s="1" t="s">
        <v>129</v>
      </c>
      <c r="F618" s="1" t="s">
        <v>106</v>
      </c>
      <c r="G618" s="1" t="s">
        <v>107</v>
      </c>
      <c r="H618" s="1" t="s">
        <v>108</v>
      </c>
      <c r="I618" s="1">
        <v>38.627000000000002</v>
      </c>
      <c r="J618" s="1">
        <v>37.789000000000001</v>
      </c>
      <c r="K618" s="1">
        <v>1.1850000000000001</v>
      </c>
      <c r="L618" s="1"/>
      <c r="M618" s="1"/>
      <c r="N618" s="1"/>
      <c r="O618" s="1"/>
      <c r="P618" s="1"/>
      <c r="Q618" s="1"/>
      <c r="R618" s="1"/>
      <c r="S618" s="1" t="s">
        <v>109</v>
      </c>
      <c r="T618" s="1">
        <v>0.38700000000000001</v>
      </c>
      <c r="U618" s="1" t="s">
        <v>109</v>
      </c>
      <c r="V618" s="1">
        <v>3</v>
      </c>
      <c r="W618" s="1">
        <v>32</v>
      </c>
      <c r="X618" s="1" t="s">
        <v>330</v>
      </c>
      <c r="Y618" s="1"/>
      <c r="Z618" s="1">
        <v>0.502</v>
      </c>
      <c r="AA618" s="1" t="s">
        <v>205</v>
      </c>
      <c r="AB618" s="1" t="s">
        <v>111</v>
      </c>
      <c r="AC618" s="1" t="s">
        <v>111</v>
      </c>
      <c r="AD618" s="1" t="s">
        <v>111</v>
      </c>
      <c r="AE618" s="1" t="s">
        <v>111</v>
      </c>
      <c r="AF618" s="1" t="s">
        <v>111</v>
      </c>
      <c r="AG618" s="1" t="s">
        <v>205</v>
      </c>
      <c r="AH618" s="1" t="s">
        <v>111</v>
      </c>
      <c r="AI618" s="1">
        <v>81.105000000000004</v>
      </c>
      <c r="AJ618" s="1" t="s">
        <v>111</v>
      </c>
      <c r="AK618" s="1"/>
      <c r="AL618" s="1" t="s">
        <v>111</v>
      </c>
      <c r="AM618" s="1"/>
      <c r="AN618" s="1" t="s">
        <v>111</v>
      </c>
      <c r="AO618" s="1"/>
      <c r="AP618" s="1" t="s">
        <v>111</v>
      </c>
      <c r="AQ618" s="1" t="s">
        <v>111</v>
      </c>
    </row>
    <row r="619" spans="1:43" x14ac:dyDescent="0.25">
      <c r="A619" s="1">
        <v>307</v>
      </c>
      <c r="B619" s="1" t="s">
        <v>368</v>
      </c>
      <c r="C619" s="1" t="s">
        <v>103</v>
      </c>
      <c r="D619" s="1" t="s">
        <v>282</v>
      </c>
      <c r="E619" s="1" t="s">
        <v>204</v>
      </c>
      <c r="F619" s="1" t="s">
        <v>106</v>
      </c>
      <c r="G619" s="1" t="s">
        <v>107</v>
      </c>
      <c r="H619" s="1" t="s">
        <v>108</v>
      </c>
      <c r="I619" s="1" t="s">
        <v>235</v>
      </c>
      <c r="J619" s="1">
        <v>15.439</v>
      </c>
      <c r="K619" s="1"/>
      <c r="L619" s="1"/>
      <c r="M619" s="1"/>
      <c r="N619" s="1"/>
      <c r="O619" s="1"/>
      <c r="P619" s="1"/>
      <c r="Q619" s="1"/>
      <c r="R619" s="1"/>
      <c r="S619" s="1" t="s">
        <v>109</v>
      </c>
      <c r="T619" s="1">
        <v>0.29399999999999998</v>
      </c>
      <c r="U619" s="1" t="s">
        <v>109</v>
      </c>
      <c r="V619" s="1">
        <v>3</v>
      </c>
      <c r="W619" s="1">
        <v>39</v>
      </c>
      <c r="X619" s="1" t="s">
        <v>236</v>
      </c>
      <c r="Y619" s="1"/>
      <c r="Z619" s="1">
        <v>0</v>
      </c>
      <c r="AA619" s="1" t="s">
        <v>205</v>
      </c>
      <c r="AB619" s="1" t="s">
        <v>205</v>
      </c>
      <c r="AC619" s="1" t="s">
        <v>111</v>
      </c>
      <c r="AD619" s="1" t="s">
        <v>111</v>
      </c>
      <c r="AE619" s="1" t="s">
        <v>111</v>
      </c>
      <c r="AF619" s="1" t="s">
        <v>111</v>
      </c>
      <c r="AG619" s="1" t="s">
        <v>111</v>
      </c>
      <c r="AH619" s="1" t="s">
        <v>111</v>
      </c>
      <c r="AI619" s="1">
        <v>60</v>
      </c>
      <c r="AJ619" s="1" t="s">
        <v>111</v>
      </c>
      <c r="AK619" s="1"/>
      <c r="AL619" s="1" t="s">
        <v>111</v>
      </c>
      <c r="AM619" s="1"/>
      <c r="AN619" s="1" t="s">
        <v>111</v>
      </c>
      <c r="AO619" s="1"/>
      <c r="AP619" s="1" t="s">
        <v>205</v>
      </c>
      <c r="AQ619" s="1" t="s">
        <v>111</v>
      </c>
    </row>
    <row r="620" spans="1:43" x14ac:dyDescent="0.25">
      <c r="A620" s="1">
        <v>308</v>
      </c>
      <c r="B620" s="1" t="s">
        <v>369</v>
      </c>
      <c r="C620" s="1" t="s">
        <v>103</v>
      </c>
      <c r="D620" s="1" t="s">
        <v>282</v>
      </c>
      <c r="E620" s="1" t="s">
        <v>204</v>
      </c>
      <c r="F620" s="1" t="s">
        <v>106</v>
      </c>
      <c r="G620" s="1" t="s">
        <v>107</v>
      </c>
      <c r="H620" s="1" t="s">
        <v>108</v>
      </c>
      <c r="I620" s="1" t="s">
        <v>235</v>
      </c>
      <c r="J620" s="1">
        <v>15.439</v>
      </c>
      <c r="K620" s="1"/>
      <c r="L620" s="1"/>
      <c r="M620" s="1"/>
      <c r="N620" s="1"/>
      <c r="O620" s="1"/>
      <c r="P620" s="1"/>
      <c r="Q620" s="1"/>
      <c r="R620" s="1"/>
      <c r="S620" s="1" t="s">
        <v>109</v>
      </c>
      <c r="T620" s="1">
        <v>0.29399999999999998</v>
      </c>
      <c r="U620" s="1" t="s">
        <v>109</v>
      </c>
      <c r="V620" s="1">
        <v>3</v>
      </c>
      <c r="W620" s="1">
        <v>39</v>
      </c>
      <c r="X620" s="1" t="s">
        <v>236</v>
      </c>
      <c r="Y620" s="1"/>
      <c r="Z620" s="1">
        <v>0</v>
      </c>
      <c r="AA620" s="1" t="s">
        <v>205</v>
      </c>
      <c r="AB620" s="1" t="s">
        <v>205</v>
      </c>
      <c r="AC620" s="1" t="s">
        <v>111</v>
      </c>
      <c r="AD620" s="1" t="s">
        <v>111</v>
      </c>
      <c r="AE620" s="1" t="s">
        <v>111</v>
      </c>
      <c r="AF620" s="1" t="s">
        <v>111</v>
      </c>
      <c r="AG620" s="1" t="s">
        <v>111</v>
      </c>
      <c r="AH620" s="1" t="s">
        <v>111</v>
      </c>
      <c r="AI620" s="1">
        <v>60</v>
      </c>
      <c r="AJ620" s="1" t="s">
        <v>111</v>
      </c>
      <c r="AK620" s="1"/>
      <c r="AL620" s="1" t="s">
        <v>111</v>
      </c>
      <c r="AM620" s="1"/>
      <c r="AN620" s="1" t="s">
        <v>111</v>
      </c>
      <c r="AO620" s="1"/>
      <c r="AP620" s="1" t="s">
        <v>205</v>
      </c>
      <c r="AQ620" s="1" t="s">
        <v>111</v>
      </c>
    </row>
    <row r="621" spans="1:43" x14ac:dyDescent="0.25">
      <c r="A621" s="1">
        <v>313</v>
      </c>
      <c r="B621" s="1" t="s">
        <v>370</v>
      </c>
      <c r="C621" s="1" t="s">
        <v>103</v>
      </c>
      <c r="D621" s="1" t="s">
        <v>416</v>
      </c>
      <c r="E621" s="1" t="s">
        <v>328</v>
      </c>
      <c r="F621" s="1" t="s">
        <v>106</v>
      </c>
      <c r="G621" s="1" t="s">
        <v>107</v>
      </c>
      <c r="H621" s="1" t="s">
        <v>108</v>
      </c>
      <c r="I621" s="1" t="s">
        <v>235</v>
      </c>
      <c r="J621" s="1"/>
      <c r="K621" s="1"/>
      <c r="L621" s="1"/>
      <c r="M621" s="1"/>
      <c r="N621" s="1"/>
      <c r="O621" s="1"/>
      <c r="P621" s="1"/>
      <c r="Q621" s="1"/>
      <c r="R621" s="1"/>
      <c r="S621" s="1" t="s">
        <v>109</v>
      </c>
      <c r="T621" s="1">
        <v>0.23599999999999999</v>
      </c>
      <c r="U621" s="1" t="s">
        <v>109</v>
      </c>
      <c r="V621" s="1">
        <v>3</v>
      </c>
      <c r="W621" s="1">
        <v>39</v>
      </c>
      <c r="X621" s="1" t="s">
        <v>236</v>
      </c>
      <c r="Y621" s="1"/>
      <c r="Z621" s="1">
        <v>0</v>
      </c>
      <c r="AA621" s="1" t="s">
        <v>205</v>
      </c>
      <c r="AB621" s="1" t="s">
        <v>205</v>
      </c>
      <c r="AC621" s="1" t="s">
        <v>111</v>
      </c>
      <c r="AD621" s="1" t="s">
        <v>111</v>
      </c>
      <c r="AE621" s="1" t="s">
        <v>111</v>
      </c>
      <c r="AF621" s="1" t="s">
        <v>111</v>
      </c>
      <c r="AG621" s="1" t="s">
        <v>111</v>
      </c>
      <c r="AH621" s="1" t="s">
        <v>111</v>
      </c>
      <c r="AI621" s="1">
        <v>60</v>
      </c>
      <c r="AJ621" s="1" t="s">
        <v>111</v>
      </c>
      <c r="AK621" s="1"/>
      <c r="AL621" s="1" t="s">
        <v>111</v>
      </c>
      <c r="AM621" s="1"/>
      <c r="AN621" s="1" t="s">
        <v>111</v>
      </c>
      <c r="AO621" s="1"/>
      <c r="AP621" s="1" t="s">
        <v>205</v>
      </c>
      <c r="AQ621" s="1" t="s">
        <v>111</v>
      </c>
    </row>
    <row r="622" spans="1:43" x14ac:dyDescent="0.25">
      <c r="A622" s="1">
        <v>314</v>
      </c>
      <c r="B622" s="1" t="s">
        <v>371</v>
      </c>
      <c r="C622" s="1" t="s">
        <v>103</v>
      </c>
      <c r="D622" s="1" t="s">
        <v>416</v>
      </c>
      <c r="E622" s="1" t="s">
        <v>328</v>
      </c>
      <c r="F622" s="1" t="s">
        <v>106</v>
      </c>
      <c r="G622" s="1" t="s">
        <v>107</v>
      </c>
      <c r="H622" s="1" t="s">
        <v>108</v>
      </c>
      <c r="I622" s="1" t="s">
        <v>235</v>
      </c>
      <c r="J622" s="1"/>
      <c r="K622" s="1"/>
      <c r="L622" s="1"/>
      <c r="M622" s="1"/>
      <c r="N622" s="1"/>
      <c r="O622" s="1"/>
      <c r="P622" s="1"/>
      <c r="Q622" s="1"/>
      <c r="R622" s="1"/>
      <c r="S622" s="1" t="s">
        <v>109</v>
      </c>
      <c r="T622" s="1">
        <v>0.23599999999999999</v>
      </c>
      <c r="U622" s="1" t="s">
        <v>109</v>
      </c>
      <c r="V622" s="1">
        <v>3</v>
      </c>
      <c r="W622" s="1">
        <v>39</v>
      </c>
      <c r="X622" s="1" t="s">
        <v>236</v>
      </c>
      <c r="Y622" s="1"/>
      <c r="Z622" s="1">
        <v>0</v>
      </c>
      <c r="AA622" s="1" t="s">
        <v>205</v>
      </c>
      <c r="AB622" s="1" t="s">
        <v>205</v>
      </c>
      <c r="AC622" s="1" t="s">
        <v>111</v>
      </c>
      <c r="AD622" s="1" t="s">
        <v>111</v>
      </c>
      <c r="AE622" s="1" t="s">
        <v>111</v>
      </c>
      <c r="AF622" s="1" t="s">
        <v>111</v>
      </c>
      <c r="AG622" s="1" t="s">
        <v>111</v>
      </c>
      <c r="AH622" s="1" t="s">
        <v>111</v>
      </c>
      <c r="AI622" s="1">
        <v>60</v>
      </c>
      <c r="AJ622" s="1" t="s">
        <v>111</v>
      </c>
      <c r="AK622" s="1"/>
      <c r="AL622" s="1" t="s">
        <v>111</v>
      </c>
      <c r="AM622" s="1"/>
      <c r="AN622" s="1" t="s">
        <v>111</v>
      </c>
      <c r="AO622" s="1"/>
      <c r="AP622" s="1" t="s">
        <v>205</v>
      </c>
      <c r="AQ622" s="1" t="s">
        <v>111</v>
      </c>
    </row>
    <row r="623" spans="1:43" x14ac:dyDescent="0.25">
      <c r="A623" s="1">
        <v>315</v>
      </c>
      <c r="B623" s="1" t="s">
        <v>372</v>
      </c>
      <c r="C623" s="1" t="s">
        <v>103</v>
      </c>
      <c r="D623" s="1" t="s">
        <v>417</v>
      </c>
      <c r="E623" s="1" t="s">
        <v>328</v>
      </c>
      <c r="F623" s="1" t="s">
        <v>106</v>
      </c>
      <c r="G623" s="1" t="s">
        <v>107</v>
      </c>
      <c r="H623" s="1" t="s">
        <v>108</v>
      </c>
      <c r="I623" s="1" t="s">
        <v>235</v>
      </c>
      <c r="J623" s="1">
        <v>33.927</v>
      </c>
      <c r="K623" s="1">
        <v>0.93400000000000005</v>
      </c>
      <c r="L623" s="1"/>
      <c r="M623" s="1"/>
      <c r="N623" s="1"/>
      <c r="O623" s="1"/>
      <c r="P623" s="1"/>
      <c r="Q623" s="1"/>
      <c r="R623" s="1"/>
      <c r="S623" s="1" t="s">
        <v>109</v>
      </c>
      <c r="T623" s="1">
        <v>0.23599999999999999</v>
      </c>
      <c r="U623" s="1" t="s">
        <v>109</v>
      </c>
      <c r="V623" s="1">
        <v>3</v>
      </c>
      <c r="W623" s="1">
        <v>39</v>
      </c>
      <c r="X623" s="1" t="s">
        <v>236</v>
      </c>
      <c r="Y623" s="1"/>
      <c r="Z623" s="1">
        <v>0</v>
      </c>
      <c r="AA623" s="1" t="s">
        <v>205</v>
      </c>
      <c r="AB623" s="1" t="s">
        <v>205</v>
      </c>
      <c r="AC623" s="1" t="s">
        <v>111</v>
      </c>
      <c r="AD623" s="1" t="s">
        <v>111</v>
      </c>
      <c r="AE623" s="1" t="s">
        <v>111</v>
      </c>
      <c r="AF623" s="1" t="s">
        <v>111</v>
      </c>
      <c r="AG623" s="1" t="s">
        <v>111</v>
      </c>
      <c r="AH623" s="1" t="s">
        <v>111</v>
      </c>
      <c r="AI623" s="1">
        <v>60</v>
      </c>
      <c r="AJ623" s="1" t="s">
        <v>111</v>
      </c>
      <c r="AK623" s="1"/>
      <c r="AL623" s="1" t="s">
        <v>111</v>
      </c>
      <c r="AM623" s="1"/>
      <c r="AN623" s="1" t="s">
        <v>111</v>
      </c>
      <c r="AO623" s="1"/>
      <c r="AP623" s="1" t="s">
        <v>205</v>
      </c>
      <c r="AQ623" s="1" t="s">
        <v>111</v>
      </c>
    </row>
    <row r="624" spans="1:43" x14ac:dyDescent="0.25">
      <c r="A624" s="1">
        <v>316</v>
      </c>
      <c r="B624" s="1" t="s">
        <v>373</v>
      </c>
      <c r="C624" s="1" t="s">
        <v>103</v>
      </c>
      <c r="D624" s="1" t="s">
        <v>417</v>
      </c>
      <c r="E624" s="1" t="s">
        <v>328</v>
      </c>
      <c r="F624" s="1" t="s">
        <v>106</v>
      </c>
      <c r="G624" s="1" t="s">
        <v>107</v>
      </c>
      <c r="H624" s="1" t="s">
        <v>108</v>
      </c>
      <c r="I624" s="1" t="s">
        <v>235</v>
      </c>
      <c r="J624" s="1">
        <v>33.927</v>
      </c>
      <c r="K624" s="1">
        <v>0.93400000000000005</v>
      </c>
      <c r="L624" s="1"/>
      <c r="M624" s="1"/>
      <c r="N624" s="1"/>
      <c r="O624" s="1"/>
      <c r="P624" s="1"/>
      <c r="Q624" s="1"/>
      <c r="R624" s="1"/>
      <c r="S624" s="1" t="s">
        <v>109</v>
      </c>
      <c r="T624" s="1">
        <v>0.23599999999999999</v>
      </c>
      <c r="U624" s="1" t="s">
        <v>109</v>
      </c>
      <c r="V624" s="1">
        <v>3</v>
      </c>
      <c r="W624" s="1">
        <v>39</v>
      </c>
      <c r="X624" s="1" t="s">
        <v>236</v>
      </c>
      <c r="Y624" s="1"/>
      <c r="Z624" s="1">
        <v>0</v>
      </c>
      <c r="AA624" s="1" t="s">
        <v>205</v>
      </c>
      <c r="AB624" s="1" t="s">
        <v>205</v>
      </c>
      <c r="AC624" s="1" t="s">
        <v>111</v>
      </c>
      <c r="AD624" s="1" t="s">
        <v>111</v>
      </c>
      <c r="AE624" s="1" t="s">
        <v>111</v>
      </c>
      <c r="AF624" s="1" t="s">
        <v>111</v>
      </c>
      <c r="AG624" s="1" t="s">
        <v>111</v>
      </c>
      <c r="AH624" s="1" t="s">
        <v>111</v>
      </c>
      <c r="AI624" s="1">
        <v>60</v>
      </c>
      <c r="AJ624" s="1" t="s">
        <v>111</v>
      </c>
      <c r="AK624" s="1"/>
      <c r="AL624" s="1" t="s">
        <v>111</v>
      </c>
      <c r="AM624" s="1"/>
      <c r="AN624" s="1" t="s">
        <v>111</v>
      </c>
      <c r="AO624" s="1"/>
      <c r="AP624" s="1" t="s">
        <v>205</v>
      </c>
      <c r="AQ624" s="1" t="s">
        <v>111</v>
      </c>
    </row>
    <row r="625" spans="1:43" x14ac:dyDescent="0.25">
      <c r="A625" s="1">
        <v>317</v>
      </c>
      <c r="B625" s="1" t="s">
        <v>374</v>
      </c>
      <c r="C625" s="1" t="s">
        <v>103</v>
      </c>
      <c r="D625" s="1" t="s">
        <v>418</v>
      </c>
      <c r="E625" s="1" t="s">
        <v>328</v>
      </c>
      <c r="F625" s="1" t="s">
        <v>106</v>
      </c>
      <c r="G625" s="1" t="s">
        <v>107</v>
      </c>
      <c r="H625" s="1" t="s">
        <v>108</v>
      </c>
      <c r="I625" s="1">
        <v>34.176000000000002</v>
      </c>
      <c r="J625" s="1">
        <v>33.994</v>
      </c>
      <c r="K625" s="1">
        <v>0.59799999999999998</v>
      </c>
      <c r="L625" s="1"/>
      <c r="M625" s="1"/>
      <c r="N625" s="1"/>
      <c r="O625" s="1"/>
      <c r="P625" s="1"/>
      <c r="Q625" s="1"/>
      <c r="R625" s="1"/>
      <c r="S625" s="1" t="s">
        <v>109</v>
      </c>
      <c r="T625" s="1">
        <v>0.23599999999999999</v>
      </c>
      <c r="U625" s="1" t="s">
        <v>109</v>
      </c>
      <c r="V625" s="1">
        <v>3</v>
      </c>
      <c r="W625" s="1">
        <v>28</v>
      </c>
      <c r="X625" s="1" t="s">
        <v>110</v>
      </c>
      <c r="Y625" s="1"/>
      <c r="Z625" s="1">
        <v>0.98499999999999999</v>
      </c>
      <c r="AA625" s="1" t="s">
        <v>111</v>
      </c>
      <c r="AB625" s="1" t="s">
        <v>111</v>
      </c>
      <c r="AC625" s="1" t="s">
        <v>111</v>
      </c>
      <c r="AD625" s="1" t="s">
        <v>111</v>
      </c>
      <c r="AE625" s="1" t="s">
        <v>111</v>
      </c>
      <c r="AF625" s="1" t="s">
        <v>111</v>
      </c>
      <c r="AG625" s="1" t="s">
        <v>205</v>
      </c>
      <c r="AH625" s="1" t="s">
        <v>111</v>
      </c>
      <c r="AI625" s="1">
        <v>81.215999999999994</v>
      </c>
      <c r="AJ625" s="1" t="s">
        <v>111</v>
      </c>
      <c r="AK625" s="1"/>
      <c r="AL625" s="1" t="s">
        <v>111</v>
      </c>
      <c r="AM625" s="1"/>
      <c r="AN625" s="1" t="s">
        <v>111</v>
      </c>
      <c r="AO625" s="1"/>
      <c r="AP625" s="1" t="s">
        <v>111</v>
      </c>
      <c r="AQ625" s="1" t="s">
        <v>111</v>
      </c>
    </row>
    <row r="626" spans="1:43" x14ac:dyDescent="0.25">
      <c r="A626" s="1">
        <v>318</v>
      </c>
      <c r="B626" s="1" t="s">
        <v>375</v>
      </c>
      <c r="C626" s="1" t="s">
        <v>103</v>
      </c>
      <c r="D626" s="1" t="s">
        <v>418</v>
      </c>
      <c r="E626" s="1" t="s">
        <v>328</v>
      </c>
      <c r="F626" s="1" t="s">
        <v>106</v>
      </c>
      <c r="G626" s="1" t="s">
        <v>107</v>
      </c>
      <c r="H626" s="1" t="s">
        <v>108</v>
      </c>
      <c r="I626" s="1">
        <v>34.515999999999998</v>
      </c>
      <c r="J626" s="1">
        <v>33.994</v>
      </c>
      <c r="K626" s="1">
        <v>0.59799999999999998</v>
      </c>
      <c r="L626" s="1"/>
      <c r="M626" s="1"/>
      <c r="N626" s="1"/>
      <c r="O626" s="1"/>
      <c r="P626" s="1"/>
      <c r="Q626" s="1"/>
      <c r="R626" s="1"/>
      <c r="S626" s="1" t="s">
        <v>109</v>
      </c>
      <c r="T626" s="1">
        <v>0.23599999999999999</v>
      </c>
      <c r="U626" s="1" t="s">
        <v>109</v>
      </c>
      <c r="V626" s="1">
        <v>3</v>
      </c>
      <c r="W626" s="1">
        <v>29</v>
      </c>
      <c r="X626" s="1" t="s">
        <v>110</v>
      </c>
      <c r="Y626" s="1"/>
      <c r="Z626" s="1">
        <v>0.98499999999999999</v>
      </c>
      <c r="AA626" s="1" t="s">
        <v>111</v>
      </c>
      <c r="AB626" s="1" t="s">
        <v>111</v>
      </c>
      <c r="AC626" s="1" t="s">
        <v>111</v>
      </c>
      <c r="AD626" s="1" t="s">
        <v>111</v>
      </c>
      <c r="AE626" s="1" t="s">
        <v>111</v>
      </c>
      <c r="AF626" s="1" t="s">
        <v>111</v>
      </c>
      <c r="AG626" s="1" t="s">
        <v>205</v>
      </c>
      <c r="AH626" s="1" t="s">
        <v>111</v>
      </c>
      <c r="AI626" s="1">
        <v>81.215999999999994</v>
      </c>
      <c r="AJ626" s="1" t="s">
        <v>111</v>
      </c>
      <c r="AK626" s="1"/>
      <c r="AL626" s="1" t="s">
        <v>111</v>
      </c>
      <c r="AM626" s="1"/>
      <c r="AN626" s="1" t="s">
        <v>111</v>
      </c>
      <c r="AO626" s="1"/>
      <c r="AP626" s="1" t="s">
        <v>111</v>
      </c>
      <c r="AQ626" s="1" t="s">
        <v>111</v>
      </c>
    </row>
    <row r="627" spans="1:43" x14ac:dyDescent="0.25">
      <c r="A627" s="1">
        <v>319</v>
      </c>
      <c r="B627" s="1" t="s">
        <v>376</v>
      </c>
      <c r="C627" s="1" t="s">
        <v>103</v>
      </c>
      <c r="D627" s="1" t="s">
        <v>419</v>
      </c>
      <c r="E627" s="1" t="s">
        <v>328</v>
      </c>
      <c r="F627" s="1" t="s">
        <v>106</v>
      </c>
      <c r="G627" s="1" t="s">
        <v>107</v>
      </c>
      <c r="H627" s="1" t="s">
        <v>108</v>
      </c>
      <c r="I627" s="1">
        <v>32.628999999999998</v>
      </c>
      <c r="J627" s="1">
        <v>32.067999999999998</v>
      </c>
      <c r="K627" s="1">
        <v>0.79300000000000004</v>
      </c>
      <c r="L627" s="1"/>
      <c r="M627" s="1"/>
      <c r="N627" s="1"/>
      <c r="O627" s="1"/>
      <c r="P627" s="1"/>
      <c r="Q627" s="1"/>
      <c r="R627" s="1"/>
      <c r="S627" s="1" t="s">
        <v>109</v>
      </c>
      <c r="T627" s="1">
        <v>0.23599999999999999</v>
      </c>
      <c r="U627" s="1" t="s">
        <v>109</v>
      </c>
      <c r="V627" s="1">
        <v>3</v>
      </c>
      <c r="W627" s="1">
        <v>27</v>
      </c>
      <c r="X627" s="1" t="s">
        <v>110</v>
      </c>
      <c r="Y627" s="1"/>
      <c r="Z627" s="1">
        <v>0.98699999999999999</v>
      </c>
      <c r="AA627" s="1" t="s">
        <v>111</v>
      </c>
      <c r="AB627" s="1" t="s">
        <v>111</v>
      </c>
      <c r="AC627" s="1" t="s">
        <v>111</v>
      </c>
      <c r="AD627" s="1" t="s">
        <v>111</v>
      </c>
      <c r="AE627" s="1" t="s">
        <v>111</v>
      </c>
      <c r="AF627" s="1" t="s">
        <v>111</v>
      </c>
      <c r="AG627" s="1" t="s">
        <v>205</v>
      </c>
      <c r="AH627" s="1" t="s">
        <v>111</v>
      </c>
      <c r="AI627" s="1">
        <v>81.215999999999994</v>
      </c>
      <c r="AJ627" s="1" t="s">
        <v>111</v>
      </c>
      <c r="AK627" s="1"/>
      <c r="AL627" s="1" t="s">
        <v>111</v>
      </c>
      <c r="AM627" s="1"/>
      <c r="AN627" s="1" t="s">
        <v>111</v>
      </c>
      <c r="AO627" s="1"/>
      <c r="AP627" s="1" t="s">
        <v>111</v>
      </c>
      <c r="AQ627" s="1" t="s">
        <v>111</v>
      </c>
    </row>
    <row r="628" spans="1:43" x14ac:dyDescent="0.25">
      <c r="A628" s="1">
        <v>320</v>
      </c>
      <c r="B628" s="1" t="s">
        <v>377</v>
      </c>
      <c r="C628" s="1" t="s">
        <v>103</v>
      </c>
      <c r="D628" s="1" t="s">
        <v>419</v>
      </c>
      <c r="E628" s="1" t="s">
        <v>328</v>
      </c>
      <c r="F628" s="1" t="s">
        <v>106</v>
      </c>
      <c r="G628" s="1" t="s">
        <v>107</v>
      </c>
      <c r="H628" s="1" t="s">
        <v>108</v>
      </c>
      <c r="I628" s="1" t="s">
        <v>235</v>
      </c>
      <c r="J628" s="1">
        <v>32.067999999999998</v>
      </c>
      <c r="K628" s="1">
        <v>0.79300000000000004</v>
      </c>
      <c r="L628" s="1"/>
      <c r="M628" s="1"/>
      <c r="N628" s="1"/>
      <c r="O628" s="1"/>
      <c r="P628" s="1"/>
      <c r="Q628" s="1"/>
      <c r="R628" s="1"/>
      <c r="S628" s="1" t="s">
        <v>109</v>
      </c>
      <c r="T628" s="1">
        <v>0.23599999999999999</v>
      </c>
      <c r="U628" s="1" t="s">
        <v>109</v>
      </c>
      <c r="V628" s="1">
        <v>3</v>
      </c>
      <c r="W628" s="1">
        <v>39</v>
      </c>
      <c r="X628" s="1" t="s">
        <v>236</v>
      </c>
      <c r="Y628" s="1"/>
      <c r="Z628" s="1">
        <v>0</v>
      </c>
      <c r="AA628" s="1" t="s">
        <v>205</v>
      </c>
      <c r="AB628" s="1" t="s">
        <v>205</v>
      </c>
      <c r="AC628" s="1" t="s">
        <v>111</v>
      </c>
      <c r="AD628" s="1" t="s">
        <v>111</v>
      </c>
      <c r="AE628" s="1" t="s">
        <v>111</v>
      </c>
      <c r="AF628" s="1" t="s">
        <v>111</v>
      </c>
      <c r="AG628" s="1" t="s">
        <v>111</v>
      </c>
      <c r="AH628" s="1" t="s">
        <v>111</v>
      </c>
      <c r="AI628" s="1">
        <v>60</v>
      </c>
      <c r="AJ628" s="1" t="s">
        <v>111</v>
      </c>
      <c r="AK628" s="1"/>
      <c r="AL628" s="1" t="s">
        <v>111</v>
      </c>
      <c r="AM628" s="1"/>
      <c r="AN628" s="1" t="s">
        <v>111</v>
      </c>
      <c r="AO628" s="1"/>
      <c r="AP628" s="1" t="s">
        <v>205</v>
      </c>
      <c r="AQ628" s="1" t="s">
        <v>111</v>
      </c>
    </row>
    <row r="629" spans="1:43" x14ac:dyDescent="0.25">
      <c r="A629" s="1">
        <v>321</v>
      </c>
      <c r="B629" s="1" t="s">
        <v>378</v>
      </c>
      <c r="C629" s="1" t="s">
        <v>103</v>
      </c>
      <c r="D629" s="1" t="s">
        <v>420</v>
      </c>
      <c r="E629" s="1" t="s">
        <v>328</v>
      </c>
      <c r="F629" s="1" t="s">
        <v>106</v>
      </c>
      <c r="G629" s="1" t="s">
        <v>107</v>
      </c>
      <c r="H629" s="1" t="s">
        <v>108</v>
      </c>
      <c r="I629" s="1">
        <v>32.302</v>
      </c>
      <c r="J629" s="1">
        <v>33.597999999999999</v>
      </c>
      <c r="K629" s="1">
        <v>0.97799999999999998</v>
      </c>
      <c r="L629" s="1"/>
      <c r="M629" s="1"/>
      <c r="N629" s="1"/>
      <c r="O629" s="1"/>
      <c r="P629" s="1"/>
      <c r="Q629" s="1"/>
      <c r="R629" s="1"/>
      <c r="S629" s="1" t="s">
        <v>109</v>
      </c>
      <c r="T629" s="1">
        <v>0.23599999999999999</v>
      </c>
      <c r="U629" s="1" t="s">
        <v>109</v>
      </c>
      <c r="V629" s="1">
        <v>3</v>
      </c>
      <c r="W629" s="1">
        <v>27</v>
      </c>
      <c r="X629" s="1" t="s">
        <v>110</v>
      </c>
      <c r="Y629" s="1"/>
      <c r="Z629" s="1">
        <v>0.99299999999999999</v>
      </c>
      <c r="AA629" s="1" t="s">
        <v>111</v>
      </c>
      <c r="AB629" s="1" t="s">
        <v>111</v>
      </c>
      <c r="AC629" s="1" t="s">
        <v>111</v>
      </c>
      <c r="AD629" s="1" t="s">
        <v>111</v>
      </c>
      <c r="AE629" s="1" t="s">
        <v>111</v>
      </c>
      <c r="AF629" s="1" t="s">
        <v>111</v>
      </c>
      <c r="AG629" s="1" t="s">
        <v>205</v>
      </c>
      <c r="AH629" s="1" t="s">
        <v>111</v>
      </c>
      <c r="AI629" s="1">
        <v>81.227000000000004</v>
      </c>
      <c r="AJ629" s="1" t="s">
        <v>111</v>
      </c>
      <c r="AK629" s="1"/>
      <c r="AL629" s="1" t="s">
        <v>111</v>
      </c>
      <c r="AM629" s="1"/>
      <c r="AN629" s="1" t="s">
        <v>111</v>
      </c>
      <c r="AO629" s="1"/>
      <c r="AP629" s="1" t="s">
        <v>111</v>
      </c>
      <c r="AQ629" s="1" t="s">
        <v>111</v>
      </c>
    </row>
    <row r="630" spans="1:43" x14ac:dyDescent="0.25">
      <c r="A630" s="1">
        <v>322</v>
      </c>
      <c r="B630" s="1" t="s">
        <v>379</v>
      </c>
      <c r="C630" s="1" t="s">
        <v>103</v>
      </c>
      <c r="D630" s="1" t="s">
        <v>420</v>
      </c>
      <c r="E630" s="1" t="s">
        <v>328</v>
      </c>
      <c r="F630" s="1" t="s">
        <v>106</v>
      </c>
      <c r="G630" s="1" t="s">
        <v>107</v>
      </c>
      <c r="H630" s="1" t="s">
        <v>108</v>
      </c>
      <c r="I630" s="1">
        <v>33.401000000000003</v>
      </c>
      <c r="J630" s="1">
        <v>33.597999999999999</v>
      </c>
      <c r="K630" s="1">
        <v>0.97799999999999998</v>
      </c>
      <c r="L630" s="1"/>
      <c r="M630" s="1"/>
      <c r="N630" s="1"/>
      <c r="O630" s="1"/>
      <c r="P630" s="1"/>
      <c r="Q630" s="1"/>
      <c r="R630" s="1"/>
      <c r="S630" s="1" t="s">
        <v>109</v>
      </c>
      <c r="T630" s="1">
        <v>0.23599999999999999</v>
      </c>
      <c r="U630" s="1" t="s">
        <v>109</v>
      </c>
      <c r="V630" s="1">
        <v>3</v>
      </c>
      <c r="W630" s="1">
        <v>28</v>
      </c>
      <c r="X630" s="1" t="s">
        <v>110</v>
      </c>
      <c r="Y630" s="1"/>
      <c r="Z630" s="1">
        <v>0.98899999999999999</v>
      </c>
      <c r="AA630" s="1" t="s">
        <v>111</v>
      </c>
      <c r="AB630" s="1" t="s">
        <v>111</v>
      </c>
      <c r="AC630" s="1" t="s">
        <v>111</v>
      </c>
      <c r="AD630" s="1" t="s">
        <v>111</v>
      </c>
      <c r="AE630" s="1" t="s">
        <v>111</v>
      </c>
      <c r="AF630" s="1" t="s">
        <v>111</v>
      </c>
      <c r="AG630" s="1" t="s">
        <v>205</v>
      </c>
      <c r="AH630" s="1" t="s">
        <v>111</v>
      </c>
      <c r="AI630" s="1">
        <v>81.227000000000004</v>
      </c>
      <c r="AJ630" s="1" t="s">
        <v>111</v>
      </c>
      <c r="AK630" s="1"/>
      <c r="AL630" s="1" t="s">
        <v>111</v>
      </c>
      <c r="AM630" s="1"/>
      <c r="AN630" s="1" t="s">
        <v>111</v>
      </c>
      <c r="AO630" s="1"/>
      <c r="AP630" s="1" t="s">
        <v>111</v>
      </c>
      <c r="AQ630" s="1" t="s">
        <v>111</v>
      </c>
    </row>
    <row r="631" spans="1:43" x14ac:dyDescent="0.25">
      <c r="A631" s="1">
        <v>323</v>
      </c>
      <c r="B631" s="1" t="s">
        <v>380</v>
      </c>
      <c r="C631" s="1" t="s">
        <v>103</v>
      </c>
      <c r="D631" s="1" t="s">
        <v>421</v>
      </c>
      <c r="E631" s="1" t="s">
        <v>328</v>
      </c>
      <c r="F631" s="1" t="s">
        <v>106</v>
      </c>
      <c r="G631" s="1" t="s">
        <v>107</v>
      </c>
      <c r="H631" s="1" t="s">
        <v>108</v>
      </c>
      <c r="I631" s="1">
        <v>32.880000000000003</v>
      </c>
      <c r="J631" s="1">
        <v>32.781999999999996</v>
      </c>
      <c r="K631" s="1">
        <v>0.36599999999999999</v>
      </c>
      <c r="L631" s="1"/>
      <c r="M631" s="1"/>
      <c r="N631" s="1"/>
      <c r="O631" s="1"/>
      <c r="P631" s="1"/>
      <c r="Q631" s="1"/>
      <c r="R631" s="1"/>
      <c r="S631" s="1" t="s">
        <v>109</v>
      </c>
      <c r="T631" s="1">
        <v>0.23599999999999999</v>
      </c>
      <c r="U631" s="1" t="s">
        <v>109</v>
      </c>
      <c r="V631" s="1">
        <v>3</v>
      </c>
      <c r="W631" s="1">
        <v>27</v>
      </c>
      <c r="X631" s="1" t="s">
        <v>110</v>
      </c>
      <c r="Y631" s="1"/>
      <c r="Z631" s="1">
        <v>0.99099999999999999</v>
      </c>
      <c r="AA631" s="1" t="s">
        <v>111</v>
      </c>
      <c r="AB631" s="1" t="s">
        <v>111</v>
      </c>
      <c r="AC631" s="1" t="s">
        <v>111</v>
      </c>
      <c r="AD631" s="1" t="s">
        <v>111</v>
      </c>
      <c r="AE631" s="1" t="s">
        <v>111</v>
      </c>
      <c r="AF631" s="1" t="s">
        <v>111</v>
      </c>
      <c r="AG631" s="1" t="s">
        <v>111</v>
      </c>
      <c r="AH631" s="1" t="s">
        <v>111</v>
      </c>
      <c r="AI631" s="1">
        <v>81.227000000000004</v>
      </c>
      <c r="AJ631" s="1" t="s">
        <v>111</v>
      </c>
      <c r="AK631" s="1"/>
      <c r="AL631" s="1" t="s">
        <v>111</v>
      </c>
      <c r="AM631" s="1"/>
      <c r="AN631" s="1" t="s">
        <v>111</v>
      </c>
      <c r="AO631" s="1"/>
      <c r="AP631" s="1" t="s">
        <v>111</v>
      </c>
      <c r="AQ631" s="1" t="s">
        <v>111</v>
      </c>
    </row>
    <row r="632" spans="1:43" x14ac:dyDescent="0.25">
      <c r="A632" s="1">
        <v>324</v>
      </c>
      <c r="B632" s="1" t="s">
        <v>381</v>
      </c>
      <c r="C632" s="1" t="s">
        <v>103</v>
      </c>
      <c r="D632" s="1" t="s">
        <v>421</v>
      </c>
      <c r="E632" s="1" t="s">
        <v>328</v>
      </c>
      <c r="F632" s="1" t="s">
        <v>106</v>
      </c>
      <c r="G632" s="1" t="s">
        <v>107</v>
      </c>
      <c r="H632" s="1" t="s">
        <v>108</v>
      </c>
      <c r="I632" s="1">
        <v>32.405000000000001</v>
      </c>
      <c r="J632" s="1">
        <v>32.781999999999996</v>
      </c>
      <c r="K632" s="1">
        <v>0.36599999999999999</v>
      </c>
      <c r="L632" s="1"/>
      <c r="M632" s="1"/>
      <c r="N632" s="1"/>
      <c r="O632" s="1"/>
      <c r="P632" s="1"/>
      <c r="Q632" s="1"/>
      <c r="R632" s="1"/>
      <c r="S632" s="1" t="s">
        <v>109</v>
      </c>
      <c r="T632" s="1">
        <v>0.23599999999999999</v>
      </c>
      <c r="U632" s="1" t="s">
        <v>109</v>
      </c>
      <c r="V632" s="1">
        <v>3</v>
      </c>
      <c r="W632" s="1">
        <v>27</v>
      </c>
      <c r="X632" s="1" t="s">
        <v>110</v>
      </c>
      <c r="Y632" s="1"/>
      <c r="Z632" s="1">
        <v>0.98899999999999999</v>
      </c>
      <c r="AA632" s="1" t="s">
        <v>111</v>
      </c>
      <c r="AB632" s="1" t="s">
        <v>111</v>
      </c>
      <c r="AC632" s="1" t="s">
        <v>111</v>
      </c>
      <c r="AD632" s="1" t="s">
        <v>111</v>
      </c>
      <c r="AE632" s="1" t="s">
        <v>111</v>
      </c>
      <c r="AF632" s="1" t="s">
        <v>111</v>
      </c>
      <c r="AG632" s="1" t="s">
        <v>111</v>
      </c>
      <c r="AH632" s="1" t="s">
        <v>111</v>
      </c>
      <c r="AI632" s="1">
        <v>81.227000000000004</v>
      </c>
      <c r="AJ632" s="1" t="s">
        <v>111</v>
      </c>
      <c r="AK632" s="1"/>
      <c r="AL632" s="1" t="s">
        <v>111</v>
      </c>
      <c r="AM632" s="1"/>
      <c r="AN632" s="1" t="s">
        <v>111</v>
      </c>
      <c r="AO632" s="1"/>
      <c r="AP632" s="1" t="s">
        <v>111</v>
      </c>
      <c r="AQ632" s="1" t="s">
        <v>111</v>
      </c>
    </row>
    <row r="633" spans="1:43" x14ac:dyDescent="0.25">
      <c r="A633" s="1">
        <v>329</v>
      </c>
      <c r="B633" s="1" t="s">
        <v>382</v>
      </c>
      <c r="C633" s="1" t="s">
        <v>103</v>
      </c>
      <c r="D633" s="1" t="s">
        <v>282</v>
      </c>
      <c r="E633" s="1" t="s">
        <v>129</v>
      </c>
      <c r="F633" s="1" t="s">
        <v>106</v>
      </c>
      <c r="G633" s="1" t="s">
        <v>107</v>
      </c>
      <c r="H633" s="1" t="s">
        <v>108</v>
      </c>
      <c r="I633" s="1" t="s">
        <v>235</v>
      </c>
      <c r="J633" s="1">
        <v>37.789000000000001</v>
      </c>
      <c r="K633" s="1">
        <v>1.1850000000000001</v>
      </c>
      <c r="L633" s="1"/>
      <c r="M633" s="1"/>
      <c r="N633" s="1"/>
      <c r="O633" s="1"/>
      <c r="P633" s="1"/>
      <c r="Q633" s="1"/>
      <c r="R633" s="1"/>
      <c r="S633" s="1" t="s">
        <v>109</v>
      </c>
      <c r="T633" s="1">
        <v>0.38700000000000001</v>
      </c>
      <c r="U633" s="1" t="s">
        <v>109</v>
      </c>
      <c r="V633" s="1">
        <v>3</v>
      </c>
      <c r="W633" s="1">
        <v>26</v>
      </c>
      <c r="X633" s="1" t="s">
        <v>236</v>
      </c>
      <c r="Y633" s="1"/>
      <c r="Z633" s="1">
        <v>0</v>
      </c>
      <c r="AA633" s="1" t="s">
        <v>205</v>
      </c>
      <c r="AB633" s="1" t="s">
        <v>111</v>
      </c>
      <c r="AC633" s="1" t="s">
        <v>111</v>
      </c>
      <c r="AD633" s="1" t="s">
        <v>111</v>
      </c>
      <c r="AE633" s="1" t="s">
        <v>111</v>
      </c>
      <c r="AF633" s="1" t="s">
        <v>111</v>
      </c>
      <c r="AG633" s="1" t="s">
        <v>111</v>
      </c>
      <c r="AH633" s="1" t="s">
        <v>111</v>
      </c>
      <c r="AI633" s="1">
        <v>60</v>
      </c>
      <c r="AJ633" s="1" t="s">
        <v>111</v>
      </c>
      <c r="AK633" s="1"/>
      <c r="AL633" s="1" t="s">
        <v>111</v>
      </c>
      <c r="AM633" s="1"/>
      <c r="AN633" s="1" t="s">
        <v>111</v>
      </c>
      <c r="AO633" s="1"/>
      <c r="AP633" s="1" t="s">
        <v>111</v>
      </c>
      <c r="AQ633" s="1" t="s">
        <v>205</v>
      </c>
    </row>
    <row r="634" spans="1:43" x14ac:dyDescent="0.25">
      <c r="A634" s="1">
        <v>330</v>
      </c>
      <c r="B634" s="1" t="s">
        <v>383</v>
      </c>
      <c r="C634" s="1" t="s">
        <v>103</v>
      </c>
      <c r="D634" s="1" t="s">
        <v>282</v>
      </c>
      <c r="E634" s="1" t="s">
        <v>129</v>
      </c>
      <c r="F634" s="1" t="s">
        <v>106</v>
      </c>
      <c r="G634" s="1" t="s">
        <v>107</v>
      </c>
      <c r="H634" s="1" t="s">
        <v>108</v>
      </c>
      <c r="I634" s="1" t="s">
        <v>235</v>
      </c>
      <c r="J634" s="1">
        <v>37.789000000000001</v>
      </c>
      <c r="K634" s="1">
        <v>1.1850000000000001</v>
      </c>
      <c r="L634" s="1"/>
      <c r="M634" s="1"/>
      <c r="N634" s="1"/>
      <c r="O634" s="1"/>
      <c r="P634" s="1"/>
      <c r="Q634" s="1"/>
      <c r="R634" s="1"/>
      <c r="S634" s="1" t="s">
        <v>109</v>
      </c>
      <c r="T634" s="1">
        <v>0.38700000000000001</v>
      </c>
      <c r="U634" s="1" t="s">
        <v>109</v>
      </c>
      <c r="V634" s="1">
        <v>3</v>
      </c>
      <c r="W634" s="1">
        <v>20</v>
      </c>
      <c r="X634" s="1" t="s">
        <v>236</v>
      </c>
      <c r="Y634" s="1"/>
      <c r="Z634" s="1">
        <v>0</v>
      </c>
      <c r="AA634" s="1" t="s">
        <v>205</v>
      </c>
      <c r="AB634" s="1" t="s">
        <v>111</v>
      </c>
      <c r="AC634" s="1" t="s">
        <v>111</v>
      </c>
      <c r="AD634" s="1" t="s">
        <v>111</v>
      </c>
      <c r="AE634" s="1" t="s">
        <v>111</v>
      </c>
      <c r="AF634" s="1" t="s">
        <v>111</v>
      </c>
      <c r="AG634" s="1" t="s">
        <v>111</v>
      </c>
      <c r="AH634" s="1" t="s">
        <v>111</v>
      </c>
      <c r="AI634" s="1">
        <v>60</v>
      </c>
      <c r="AJ634" s="1" t="s">
        <v>111</v>
      </c>
      <c r="AK634" s="1"/>
      <c r="AL634" s="1" t="s">
        <v>111</v>
      </c>
      <c r="AM634" s="1"/>
      <c r="AN634" s="1" t="s">
        <v>111</v>
      </c>
      <c r="AO634" s="1"/>
      <c r="AP634" s="1" t="s">
        <v>111</v>
      </c>
      <c r="AQ634" s="1" t="s">
        <v>205</v>
      </c>
    </row>
    <row r="635" spans="1:43" x14ac:dyDescent="0.25">
      <c r="A635" s="1">
        <v>331</v>
      </c>
      <c r="B635" s="1" t="s">
        <v>384</v>
      </c>
      <c r="C635" s="1" t="s">
        <v>103</v>
      </c>
      <c r="D635" s="1" t="s">
        <v>282</v>
      </c>
      <c r="E635" s="1" t="s">
        <v>204</v>
      </c>
      <c r="F635" s="1" t="s">
        <v>106</v>
      </c>
      <c r="G635" s="1" t="s">
        <v>107</v>
      </c>
      <c r="H635" s="1" t="s">
        <v>108</v>
      </c>
      <c r="I635" s="1">
        <v>15.439</v>
      </c>
      <c r="J635" s="1">
        <v>15.439</v>
      </c>
      <c r="K635" s="1"/>
      <c r="L635" s="1"/>
      <c r="M635" s="1"/>
      <c r="N635" s="1"/>
      <c r="O635" s="1"/>
      <c r="P635" s="1"/>
      <c r="Q635" s="1"/>
      <c r="R635" s="1"/>
      <c r="S635" s="1" t="s">
        <v>109</v>
      </c>
      <c r="T635" s="1">
        <v>0.29399999999999998</v>
      </c>
      <c r="U635" s="1" t="s">
        <v>109</v>
      </c>
      <c r="V635" s="1">
        <v>3</v>
      </c>
      <c r="W635" s="1">
        <v>13</v>
      </c>
      <c r="X635" s="1" t="s">
        <v>236</v>
      </c>
      <c r="Y635" s="1"/>
      <c r="Z635" s="1">
        <v>5.6000000000000001E-2</v>
      </c>
      <c r="AA635" s="1" t="s">
        <v>205</v>
      </c>
      <c r="AB635" s="1" t="s">
        <v>111</v>
      </c>
      <c r="AC635" s="1" t="s">
        <v>205</v>
      </c>
      <c r="AD635" s="1" t="s">
        <v>205</v>
      </c>
      <c r="AE635" s="1" t="s">
        <v>111</v>
      </c>
      <c r="AF635" s="1" t="s">
        <v>111</v>
      </c>
      <c r="AG635" s="1" t="s">
        <v>111</v>
      </c>
      <c r="AH635" s="1" t="s">
        <v>111</v>
      </c>
      <c r="AI635" s="1">
        <v>60</v>
      </c>
      <c r="AJ635" s="1" t="s">
        <v>111</v>
      </c>
      <c r="AK635" s="1"/>
      <c r="AL635" s="1" t="s">
        <v>111</v>
      </c>
      <c r="AM635" s="1"/>
      <c r="AN635" s="1" t="s">
        <v>205</v>
      </c>
      <c r="AO635" s="1"/>
      <c r="AP635" s="1" t="s">
        <v>111</v>
      </c>
      <c r="AQ635" s="1" t="s">
        <v>205</v>
      </c>
    </row>
    <row r="636" spans="1:43" x14ac:dyDescent="0.25">
      <c r="A636" s="1">
        <v>332</v>
      </c>
      <c r="B636" s="1" t="s">
        <v>385</v>
      </c>
      <c r="C636" s="1" t="s">
        <v>103</v>
      </c>
      <c r="D636" s="1" t="s">
        <v>282</v>
      </c>
      <c r="E636" s="1" t="s">
        <v>204</v>
      </c>
      <c r="F636" s="1" t="s">
        <v>106</v>
      </c>
      <c r="G636" s="1" t="s">
        <v>107</v>
      </c>
      <c r="H636" s="1" t="s">
        <v>108</v>
      </c>
      <c r="I636" s="1" t="s">
        <v>235</v>
      </c>
      <c r="J636" s="1">
        <v>15.439</v>
      </c>
      <c r="K636" s="1"/>
      <c r="L636" s="1"/>
      <c r="M636" s="1"/>
      <c r="N636" s="1"/>
      <c r="O636" s="1"/>
      <c r="P636" s="1"/>
      <c r="Q636" s="1"/>
      <c r="R636" s="1"/>
      <c r="S636" s="1" t="s">
        <v>109</v>
      </c>
      <c r="T636" s="1">
        <v>0.29399999999999998</v>
      </c>
      <c r="U636" s="1" t="s">
        <v>109</v>
      </c>
      <c r="V636" s="1">
        <v>3</v>
      </c>
      <c r="W636" s="1">
        <v>27</v>
      </c>
      <c r="X636" s="1" t="s">
        <v>236</v>
      </c>
      <c r="Y636" s="1"/>
      <c r="Z636" s="1">
        <v>0</v>
      </c>
      <c r="AA636" s="1" t="s">
        <v>205</v>
      </c>
      <c r="AB636" s="1" t="s">
        <v>111</v>
      </c>
      <c r="AC636" s="1" t="s">
        <v>111</v>
      </c>
      <c r="AD636" s="1" t="s">
        <v>111</v>
      </c>
      <c r="AE636" s="1" t="s">
        <v>111</v>
      </c>
      <c r="AF636" s="1" t="s">
        <v>205</v>
      </c>
      <c r="AG636" s="1" t="s">
        <v>111</v>
      </c>
      <c r="AH636" s="1" t="s">
        <v>111</v>
      </c>
      <c r="AI636" s="1">
        <v>60</v>
      </c>
      <c r="AJ636" s="1" t="s">
        <v>111</v>
      </c>
      <c r="AK636" s="1"/>
      <c r="AL636" s="1" t="s">
        <v>111</v>
      </c>
      <c r="AM636" s="1"/>
      <c r="AN636" s="1" t="s">
        <v>205</v>
      </c>
      <c r="AO636" s="1"/>
      <c r="AP636" s="1" t="s">
        <v>111</v>
      </c>
      <c r="AQ636" s="1" t="s">
        <v>205</v>
      </c>
    </row>
    <row r="637" spans="1:43" x14ac:dyDescent="0.25">
      <c r="A637" s="1">
        <v>337</v>
      </c>
      <c r="B637" s="1" t="s">
        <v>386</v>
      </c>
      <c r="C637" s="1" t="s">
        <v>103</v>
      </c>
      <c r="D637" s="1" t="s">
        <v>416</v>
      </c>
      <c r="E637" s="1" t="s">
        <v>332</v>
      </c>
      <c r="F637" s="1" t="s">
        <v>106</v>
      </c>
      <c r="G637" s="1" t="s">
        <v>107</v>
      </c>
      <c r="H637" s="1" t="s">
        <v>108</v>
      </c>
      <c r="I637" s="1">
        <v>22.983000000000001</v>
      </c>
      <c r="J637" s="1">
        <v>23.02</v>
      </c>
      <c r="K637" s="1">
        <v>8.1000000000000003E-2</v>
      </c>
      <c r="L637" s="1"/>
      <c r="M637" s="1"/>
      <c r="N637" s="1"/>
      <c r="O637" s="1"/>
      <c r="P637" s="1"/>
      <c r="Q637" s="1"/>
      <c r="R637" s="1"/>
      <c r="S637" s="1" t="s">
        <v>109</v>
      </c>
      <c r="T637" s="1">
        <v>0.47599999999999998</v>
      </c>
      <c r="U637" s="1" t="s">
        <v>109</v>
      </c>
      <c r="V637" s="1">
        <v>3</v>
      </c>
      <c r="W637" s="1">
        <v>16</v>
      </c>
      <c r="X637" s="1" t="s">
        <v>110</v>
      </c>
      <c r="Y637" s="1"/>
      <c r="Z637" s="1">
        <v>0.98199999999999998</v>
      </c>
      <c r="AA637" s="1" t="s">
        <v>111</v>
      </c>
      <c r="AB637" s="1" t="s">
        <v>111</v>
      </c>
      <c r="AC637" s="1" t="s">
        <v>111</v>
      </c>
      <c r="AD637" s="1" t="s">
        <v>111</v>
      </c>
      <c r="AE637" s="1" t="s">
        <v>111</v>
      </c>
      <c r="AF637" s="1" t="s">
        <v>111</v>
      </c>
      <c r="AG637" s="1" t="s">
        <v>111</v>
      </c>
      <c r="AH637" s="1" t="s">
        <v>111</v>
      </c>
      <c r="AI637" s="1">
        <v>80.436999999999998</v>
      </c>
      <c r="AJ637" s="1" t="s">
        <v>111</v>
      </c>
      <c r="AK637" s="1"/>
      <c r="AL637" s="1" t="s">
        <v>111</v>
      </c>
      <c r="AM637" s="1"/>
      <c r="AN637" s="1" t="s">
        <v>111</v>
      </c>
      <c r="AO637" s="1"/>
      <c r="AP637" s="1" t="s">
        <v>111</v>
      </c>
      <c r="AQ637" s="1" t="s">
        <v>111</v>
      </c>
    </row>
    <row r="638" spans="1:43" x14ac:dyDescent="0.25">
      <c r="A638" s="1">
        <v>338</v>
      </c>
      <c r="B638" s="1" t="s">
        <v>387</v>
      </c>
      <c r="C638" s="1" t="s">
        <v>103</v>
      </c>
      <c r="D638" s="1" t="s">
        <v>416</v>
      </c>
      <c r="E638" s="1" t="s">
        <v>332</v>
      </c>
      <c r="F638" s="1" t="s">
        <v>106</v>
      </c>
      <c r="G638" s="1" t="s">
        <v>107</v>
      </c>
      <c r="H638" s="1" t="s">
        <v>108</v>
      </c>
      <c r="I638" s="1">
        <v>23.096</v>
      </c>
      <c r="J638" s="1">
        <v>23.02</v>
      </c>
      <c r="K638" s="1">
        <v>8.1000000000000003E-2</v>
      </c>
      <c r="L638" s="1"/>
      <c r="M638" s="1"/>
      <c r="N638" s="1"/>
      <c r="O638" s="1"/>
      <c r="P638" s="1"/>
      <c r="Q638" s="1"/>
      <c r="R638" s="1"/>
      <c r="S638" s="1" t="s">
        <v>109</v>
      </c>
      <c r="T638" s="1">
        <v>0.47599999999999998</v>
      </c>
      <c r="U638" s="1" t="s">
        <v>109</v>
      </c>
      <c r="V638" s="1">
        <v>3</v>
      </c>
      <c r="W638" s="1">
        <v>17</v>
      </c>
      <c r="X638" s="1" t="s">
        <v>110</v>
      </c>
      <c r="Y638" s="1"/>
      <c r="Z638" s="1">
        <v>0.98399999999999999</v>
      </c>
      <c r="AA638" s="1" t="s">
        <v>111</v>
      </c>
      <c r="AB638" s="1" t="s">
        <v>111</v>
      </c>
      <c r="AC638" s="1" t="s">
        <v>111</v>
      </c>
      <c r="AD638" s="1" t="s">
        <v>111</v>
      </c>
      <c r="AE638" s="1" t="s">
        <v>111</v>
      </c>
      <c r="AF638" s="1" t="s">
        <v>111</v>
      </c>
      <c r="AG638" s="1" t="s">
        <v>111</v>
      </c>
      <c r="AH638" s="1" t="s">
        <v>111</v>
      </c>
      <c r="AI638" s="1">
        <v>80.436999999999998</v>
      </c>
      <c r="AJ638" s="1" t="s">
        <v>111</v>
      </c>
      <c r="AK638" s="1"/>
      <c r="AL638" s="1" t="s">
        <v>111</v>
      </c>
      <c r="AM638" s="1"/>
      <c r="AN638" s="1" t="s">
        <v>111</v>
      </c>
      <c r="AO638" s="1"/>
      <c r="AP638" s="1" t="s">
        <v>111</v>
      </c>
      <c r="AQ638" s="1" t="s">
        <v>111</v>
      </c>
    </row>
    <row r="639" spans="1:43" x14ac:dyDescent="0.25">
      <c r="A639" s="1">
        <v>339</v>
      </c>
      <c r="B639" s="1" t="s">
        <v>388</v>
      </c>
      <c r="C639" s="1" t="s">
        <v>103</v>
      </c>
      <c r="D639" s="1" t="s">
        <v>417</v>
      </c>
      <c r="E639" s="1" t="s">
        <v>332</v>
      </c>
      <c r="F639" s="1" t="s">
        <v>106</v>
      </c>
      <c r="G639" s="1" t="s">
        <v>107</v>
      </c>
      <c r="H639" s="1" t="s">
        <v>108</v>
      </c>
      <c r="I639" s="1">
        <v>22.806000000000001</v>
      </c>
      <c r="J639" s="1">
        <v>22.782</v>
      </c>
      <c r="K639" s="1">
        <v>4.2000000000000003E-2</v>
      </c>
      <c r="L639" s="1"/>
      <c r="M639" s="1"/>
      <c r="N639" s="1"/>
      <c r="O639" s="1"/>
      <c r="P639" s="1"/>
      <c r="Q639" s="1"/>
      <c r="R639" s="1"/>
      <c r="S639" s="1" t="s">
        <v>109</v>
      </c>
      <c r="T639" s="1">
        <v>0.47599999999999998</v>
      </c>
      <c r="U639" s="1" t="s">
        <v>109</v>
      </c>
      <c r="V639" s="1">
        <v>3</v>
      </c>
      <c r="W639" s="1">
        <v>16</v>
      </c>
      <c r="X639" s="1" t="s">
        <v>110</v>
      </c>
      <c r="Y639" s="1"/>
      <c r="Z639" s="1">
        <v>0.98599999999999999</v>
      </c>
      <c r="AA639" s="1" t="s">
        <v>111</v>
      </c>
      <c r="AB639" s="1" t="s">
        <v>111</v>
      </c>
      <c r="AC639" s="1" t="s">
        <v>111</v>
      </c>
      <c r="AD639" s="1" t="s">
        <v>111</v>
      </c>
      <c r="AE639" s="1" t="s">
        <v>111</v>
      </c>
      <c r="AF639" s="1" t="s">
        <v>111</v>
      </c>
      <c r="AG639" s="1" t="s">
        <v>111</v>
      </c>
      <c r="AH639" s="1" t="s">
        <v>111</v>
      </c>
      <c r="AI639" s="1">
        <v>80.55</v>
      </c>
      <c r="AJ639" s="1" t="s">
        <v>111</v>
      </c>
      <c r="AK639" s="1"/>
      <c r="AL639" s="1" t="s">
        <v>111</v>
      </c>
      <c r="AM639" s="1"/>
      <c r="AN639" s="1" t="s">
        <v>111</v>
      </c>
      <c r="AO639" s="1"/>
      <c r="AP639" s="1" t="s">
        <v>111</v>
      </c>
      <c r="AQ639" s="1" t="s">
        <v>111</v>
      </c>
    </row>
    <row r="640" spans="1:43" x14ac:dyDescent="0.25">
      <c r="A640" s="1">
        <v>340</v>
      </c>
      <c r="B640" s="1" t="s">
        <v>389</v>
      </c>
      <c r="C640" s="1" t="s">
        <v>103</v>
      </c>
      <c r="D640" s="1" t="s">
        <v>417</v>
      </c>
      <c r="E640" s="1" t="s">
        <v>332</v>
      </c>
      <c r="F640" s="1" t="s">
        <v>106</v>
      </c>
      <c r="G640" s="1" t="s">
        <v>107</v>
      </c>
      <c r="H640" s="1" t="s">
        <v>108</v>
      </c>
      <c r="I640" s="1">
        <v>22.742999999999999</v>
      </c>
      <c r="J640" s="1">
        <v>22.782</v>
      </c>
      <c r="K640" s="1">
        <v>4.2000000000000003E-2</v>
      </c>
      <c r="L640" s="1"/>
      <c r="M640" s="1"/>
      <c r="N640" s="1"/>
      <c r="O640" s="1"/>
      <c r="P640" s="1"/>
      <c r="Q640" s="1"/>
      <c r="R640" s="1"/>
      <c r="S640" s="1" t="s">
        <v>109</v>
      </c>
      <c r="T640" s="1">
        <v>0.47599999999999998</v>
      </c>
      <c r="U640" s="1" t="s">
        <v>109</v>
      </c>
      <c r="V640" s="1">
        <v>3</v>
      </c>
      <c r="W640" s="1">
        <v>16</v>
      </c>
      <c r="X640" s="1" t="s">
        <v>110</v>
      </c>
      <c r="Y640" s="1"/>
      <c r="Z640" s="1">
        <v>0.98599999999999999</v>
      </c>
      <c r="AA640" s="1" t="s">
        <v>111</v>
      </c>
      <c r="AB640" s="1" t="s">
        <v>111</v>
      </c>
      <c r="AC640" s="1" t="s">
        <v>111</v>
      </c>
      <c r="AD640" s="1" t="s">
        <v>111</v>
      </c>
      <c r="AE640" s="1" t="s">
        <v>111</v>
      </c>
      <c r="AF640" s="1" t="s">
        <v>111</v>
      </c>
      <c r="AG640" s="1" t="s">
        <v>111</v>
      </c>
      <c r="AH640" s="1" t="s">
        <v>111</v>
      </c>
      <c r="AI640" s="1">
        <v>80.436999999999998</v>
      </c>
      <c r="AJ640" s="1" t="s">
        <v>111</v>
      </c>
      <c r="AK640" s="1"/>
      <c r="AL640" s="1" t="s">
        <v>111</v>
      </c>
      <c r="AM640" s="1"/>
      <c r="AN640" s="1" t="s">
        <v>111</v>
      </c>
      <c r="AO640" s="1"/>
      <c r="AP640" s="1" t="s">
        <v>111</v>
      </c>
      <c r="AQ640" s="1" t="s">
        <v>111</v>
      </c>
    </row>
    <row r="641" spans="1:43" x14ac:dyDescent="0.25">
      <c r="A641" s="1">
        <v>341</v>
      </c>
      <c r="B641" s="1" t="s">
        <v>390</v>
      </c>
      <c r="C641" s="1" t="s">
        <v>103</v>
      </c>
      <c r="D641" s="1" t="s">
        <v>418</v>
      </c>
      <c r="E641" s="1" t="s">
        <v>332</v>
      </c>
      <c r="F641" s="1" t="s">
        <v>106</v>
      </c>
      <c r="G641" s="1" t="s">
        <v>107</v>
      </c>
      <c r="H641" s="1" t="s">
        <v>108</v>
      </c>
      <c r="I641" s="1">
        <v>22.611000000000001</v>
      </c>
      <c r="J641" s="1">
        <v>22.611999999999998</v>
      </c>
      <c r="K641" s="1">
        <v>0.06</v>
      </c>
      <c r="L641" s="1"/>
      <c r="M641" s="1"/>
      <c r="N641" s="1"/>
      <c r="O641" s="1"/>
      <c r="P641" s="1"/>
      <c r="Q641" s="1"/>
      <c r="R641" s="1"/>
      <c r="S641" s="1" t="s">
        <v>109</v>
      </c>
      <c r="T641" s="1">
        <v>0.47599999999999998</v>
      </c>
      <c r="U641" s="1" t="s">
        <v>109</v>
      </c>
      <c r="V641" s="1">
        <v>3</v>
      </c>
      <c r="W641" s="1">
        <v>16</v>
      </c>
      <c r="X641" s="1" t="s">
        <v>110</v>
      </c>
      <c r="Y641" s="1"/>
      <c r="Z641" s="1">
        <v>0.98799999999999999</v>
      </c>
      <c r="AA641" s="1" t="s">
        <v>111</v>
      </c>
      <c r="AB641" s="1" t="s">
        <v>111</v>
      </c>
      <c r="AC641" s="1" t="s">
        <v>111</v>
      </c>
      <c r="AD641" s="1" t="s">
        <v>111</v>
      </c>
      <c r="AE641" s="1" t="s">
        <v>111</v>
      </c>
      <c r="AF641" s="1" t="s">
        <v>111</v>
      </c>
      <c r="AG641" s="1" t="s">
        <v>111</v>
      </c>
      <c r="AH641" s="1" t="s">
        <v>111</v>
      </c>
      <c r="AI641" s="1">
        <v>80.426000000000002</v>
      </c>
      <c r="AJ641" s="1" t="s">
        <v>111</v>
      </c>
      <c r="AK641" s="1"/>
      <c r="AL641" s="1" t="s">
        <v>111</v>
      </c>
      <c r="AM641" s="1"/>
      <c r="AN641" s="1" t="s">
        <v>111</v>
      </c>
      <c r="AO641" s="1"/>
      <c r="AP641" s="1" t="s">
        <v>111</v>
      </c>
      <c r="AQ641" s="1" t="s">
        <v>111</v>
      </c>
    </row>
    <row r="642" spans="1:43" x14ac:dyDescent="0.25">
      <c r="A642" s="1">
        <v>342</v>
      </c>
      <c r="B642" s="1" t="s">
        <v>391</v>
      </c>
      <c r="C642" s="1" t="s">
        <v>103</v>
      </c>
      <c r="D642" s="1" t="s">
        <v>418</v>
      </c>
      <c r="E642" s="1" t="s">
        <v>332</v>
      </c>
      <c r="F642" s="1" t="s">
        <v>106</v>
      </c>
      <c r="G642" s="1" t="s">
        <v>107</v>
      </c>
      <c r="H642" s="1" t="s">
        <v>108</v>
      </c>
      <c r="I642" s="1">
        <v>22.55</v>
      </c>
      <c r="J642" s="1">
        <v>22.611999999999998</v>
      </c>
      <c r="K642" s="1">
        <v>0.06</v>
      </c>
      <c r="L642" s="1"/>
      <c r="M642" s="1"/>
      <c r="N642" s="1"/>
      <c r="O642" s="1"/>
      <c r="P642" s="1"/>
      <c r="Q642" s="1"/>
      <c r="R642" s="1"/>
      <c r="S642" s="1" t="s">
        <v>109</v>
      </c>
      <c r="T642" s="1">
        <v>0.47599999999999998</v>
      </c>
      <c r="U642" s="1" t="s">
        <v>109</v>
      </c>
      <c r="V642" s="1">
        <v>3</v>
      </c>
      <c r="W642" s="1">
        <v>16</v>
      </c>
      <c r="X642" s="1" t="s">
        <v>110</v>
      </c>
      <c r="Y642" s="1"/>
      <c r="Z642" s="1">
        <v>0.98599999999999999</v>
      </c>
      <c r="AA642" s="1" t="s">
        <v>111</v>
      </c>
      <c r="AB642" s="1" t="s">
        <v>111</v>
      </c>
      <c r="AC642" s="1" t="s">
        <v>111</v>
      </c>
      <c r="AD642" s="1" t="s">
        <v>111</v>
      </c>
      <c r="AE642" s="1" t="s">
        <v>111</v>
      </c>
      <c r="AF642" s="1" t="s">
        <v>111</v>
      </c>
      <c r="AG642" s="1" t="s">
        <v>111</v>
      </c>
      <c r="AH642" s="1" t="s">
        <v>111</v>
      </c>
      <c r="AI642" s="1">
        <v>80.426000000000002</v>
      </c>
      <c r="AJ642" s="1" t="s">
        <v>111</v>
      </c>
      <c r="AK642" s="1"/>
      <c r="AL642" s="1" t="s">
        <v>111</v>
      </c>
      <c r="AM642" s="1"/>
      <c r="AN642" s="1" t="s">
        <v>111</v>
      </c>
      <c r="AO642" s="1"/>
      <c r="AP642" s="1" t="s">
        <v>111</v>
      </c>
      <c r="AQ642" s="1" t="s">
        <v>111</v>
      </c>
    </row>
    <row r="643" spans="1:43" x14ac:dyDescent="0.25">
      <c r="A643" s="1">
        <v>343</v>
      </c>
      <c r="B643" s="1" t="s">
        <v>392</v>
      </c>
      <c r="C643" s="1" t="s">
        <v>103</v>
      </c>
      <c r="D643" s="1" t="s">
        <v>419</v>
      </c>
      <c r="E643" s="1" t="s">
        <v>332</v>
      </c>
      <c r="F643" s="1" t="s">
        <v>106</v>
      </c>
      <c r="G643" s="1" t="s">
        <v>107</v>
      </c>
      <c r="H643" s="1" t="s">
        <v>108</v>
      </c>
      <c r="I643" s="1">
        <v>22.65</v>
      </c>
      <c r="J643" s="1">
        <v>22.661000000000001</v>
      </c>
      <c r="K643" s="1">
        <v>4.9000000000000002E-2</v>
      </c>
      <c r="L643" s="1"/>
      <c r="M643" s="1"/>
      <c r="N643" s="1"/>
      <c r="O643" s="1"/>
      <c r="P643" s="1"/>
      <c r="Q643" s="1"/>
      <c r="R643" s="1"/>
      <c r="S643" s="1" t="s">
        <v>109</v>
      </c>
      <c r="T643" s="1">
        <v>0.47599999999999998</v>
      </c>
      <c r="U643" s="1" t="s">
        <v>109</v>
      </c>
      <c r="V643" s="1">
        <v>3</v>
      </c>
      <c r="W643" s="1">
        <v>16</v>
      </c>
      <c r="X643" s="1" t="s">
        <v>110</v>
      </c>
      <c r="Y643" s="1"/>
      <c r="Z643" s="1">
        <v>0.98299999999999998</v>
      </c>
      <c r="AA643" s="1" t="s">
        <v>111</v>
      </c>
      <c r="AB643" s="1" t="s">
        <v>111</v>
      </c>
      <c r="AC643" s="1" t="s">
        <v>111</v>
      </c>
      <c r="AD643" s="1" t="s">
        <v>111</v>
      </c>
      <c r="AE643" s="1" t="s">
        <v>111</v>
      </c>
      <c r="AF643" s="1" t="s">
        <v>111</v>
      </c>
      <c r="AG643" s="1" t="s">
        <v>111</v>
      </c>
      <c r="AH643" s="1" t="s">
        <v>111</v>
      </c>
      <c r="AI643" s="1">
        <v>80.426000000000002</v>
      </c>
      <c r="AJ643" s="1" t="s">
        <v>111</v>
      </c>
      <c r="AK643" s="1"/>
      <c r="AL643" s="1" t="s">
        <v>111</v>
      </c>
      <c r="AM643" s="1"/>
      <c r="AN643" s="1" t="s">
        <v>111</v>
      </c>
      <c r="AO643" s="1"/>
      <c r="AP643" s="1" t="s">
        <v>111</v>
      </c>
      <c r="AQ643" s="1" t="s">
        <v>111</v>
      </c>
    </row>
    <row r="644" spans="1:43" x14ac:dyDescent="0.25">
      <c r="A644" s="1">
        <v>344</v>
      </c>
      <c r="B644" s="1" t="s">
        <v>393</v>
      </c>
      <c r="C644" s="1" t="s">
        <v>103</v>
      </c>
      <c r="D644" s="1" t="s">
        <v>419</v>
      </c>
      <c r="E644" s="1" t="s">
        <v>332</v>
      </c>
      <c r="F644" s="1" t="s">
        <v>106</v>
      </c>
      <c r="G644" s="1" t="s">
        <v>107</v>
      </c>
      <c r="H644" s="1" t="s">
        <v>108</v>
      </c>
      <c r="I644" s="1">
        <v>22.698</v>
      </c>
      <c r="J644" s="1">
        <v>22.661000000000001</v>
      </c>
      <c r="K644" s="1">
        <v>4.9000000000000002E-2</v>
      </c>
      <c r="L644" s="1"/>
      <c r="M644" s="1"/>
      <c r="N644" s="1"/>
      <c r="O644" s="1"/>
      <c r="P644" s="1"/>
      <c r="Q644" s="1"/>
      <c r="R644" s="1"/>
      <c r="S644" s="1" t="s">
        <v>109</v>
      </c>
      <c r="T644" s="1">
        <v>0.47599999999999998</v>
      </c>
      <c r="U644" s="1" t="s">
        <v>109</v>
      </c>
      <c r="V644" s="1">
        <v>3</v>
      </c>
      <c r="W644" s="1">
        <v>16</v>
      </c>
      <c r="X644" s="1" t="s">
        <v>110</v>
      </c>
      <c r="Y644" s="1"/>
      <c r="Z644" s="1">
        <v>0.98099999999999998</v>
      </c>
      <c r="AA644" s="1" t="s">
        <v>111</v>
      </c>
      <c r="AB644" s="1" t="s">
        <v>111</v>
      </c>
      <c r="AC644" s="1" t="s">
        <v>111</v>
      </c>
      <c r="AD644" s="1" t="s">
        <v>111</v>
      </c>
      <c r="AE644" s="1" t="s">
        <v>111</v>
      </c>
      <c r="AF644" s="1" t="s">
        <v>111</v>
      </c>
      <c r="AG644" s="1" t="s">
        <v>111</v>
      </c>
      <c r="AH644" s="1" t="s">
        <v>111</v>
      </c>
      <c r="AI644" s="1">
        <v>80.426000000000002</v>
      </c>
      <c r="AJ644" s="1" t="s">
        <v>111</v>
      </c>
      <c r="AK644" s="1"/>
      <c r="AL644" s="1" t="s">
        <v>111</v>
      </c>
      <c r="AM644" s="1"/>
      <c r="AN644" s="1" t="s">
        <v>111</v>
      </c>
      <c r="AO644" s="1"/>
      <c r="AP644" s="1" t="s">
        <v>111</v>
      </c>
      <c r="AQ644" s="1" t="s">
        <v>111</v>
      </c>
    </row>
    <row r="645" spans="1:43" x14ac:dyDescent="0.25">
      <c r="A645" s="1">
        <v>345</v>
      </c>
      <c r="B645" s="1" t="s">
        <v>394</v>
      </c>
      <c r="C645" s="1" t="s">
        <v>103</v>
      </c>
      <c r="D645" s="1" t="s">
        <v>420</v>
      </c>
      <c r="E645" s="1" t="s">
        <v>332</v>
      </c>
      <c r="F645" s="1" t="s">
        <v>106</v>
      </c>
      <c r="G645" s="1" t="s">
        <v>107</v>
      </c>
      <c r="H645" s="1" t="s">
        <v>108</v>
      </c>
      <c r="I645" s="1">
        <v>24.039000000000001</v>
      </c>
      <c r="J645" s="1">
        <v>24.100999999999999</v>
      </c>
      <c r="K645" s="1">
        <v>6.3E-2</v>
      </c>
      <c r="L645" s="1"/>
      <c r="M645" s="1"/>
      <c r="N645" s="1"/>
      <c r="O645" s="1"/>
      <c r="P645" s="1"/>
      <c r="Q645" s="1"/>
      <c r="R645" s="1"/>
      <c r="S645" s="1" t="s">
        <v>109</v>
      </c>
      <c r="T645" s="1">
        <v>0.47599999999999998</v>
      </c>
      <c r="U645" s="1" t="s">
        <v>109</v>
      </c>
      <c r="V645" s="1">
        <v>3</v>
      </c>
      <c r="W645" s="1">
        <v>17</v>
      </c>
      <c r="X645" s="1" t="s">
        <v>110</v>
      </c>
      <c r="Y645" s="1"/>
      <c r="Z645" s="1">
        <v>0.98099999999999998</v>
      </c>
      <c r="AA645" s="1" t="s">
        <v>111</v>
      </c>
      <c r="AB645" s="1" t="s">
        <v>111</v>
      </c>
      <c r="AC645" s="1" t="s">
        <v>111</v>
      </c>
      <c r="AD645" s="1" t="s">
        <v>111</v>
      </c>
      <c r="AE645" s="1" t="s">
        <v>111</v>
      </c>
      <c r="AF645" s="1" t="s">
        <v>111</v>
      </c>
      <c r="AG645" s="1" t="s">
        <v>111</v>
      </c>
      <c r="AH645" s="1" t="s">
        <v>111</v>
      </c>
      <c r="AI645" s="1">
        <v>80.436000000000007</v>
      </c>
      <c r="AJ645" s="1" t="s">
        <v>111</v>
      </c>
      <c r="AK645" s="1"/>
      <c r="AL645" s="1" t="s">
        <v>111</v>
      </c>
      <c r="AM645" s="1"/>
      <c r="AN645" s="1" t="s">
        <v>111</v>
      </c>
      <c r="AO645" s="1"/>
      <c r="AP645" s="1" t="s">
        <v>111</v>
      </c>
      <c r="AQ645" s="1" t="s">
        <v>111</v>
      </c>
    </row>
    <row r="646" spans="1:43" x14ac:dyDescent="0.25">
      <c r="A646" s="1">
        <v>346</v>
      </c>
      <c r="B646" s="1" t="s">
        <v>395</v>
      </c>
      <c r="C646" s="1" t="s">
        <v>103</v>
      </c>
      <c r="D646" s="1" t="s">
        <v>420</v>
      </c>
      <c r="E646" s="1" t="s">
        <v>332</v>
      </c>
      <c r="F646" s="1" t="s">
        <v>106</v>
      </c>
      <c r="G646" s="1" t="s">
        <v>107</v>
      </c>
      <c r="H646" s="1" t="s">
        <v>108</v>
      </c>
      <c r="I646" s="1">
        <v>24.184000000000001</v>
      </c>
      <c r="J646" s="1">
        <v>24.100999999999999</v>
      </c>
      <c r="K646" s="1">
        <v>6.3E-2</v>
      </c>
      <c r="L646" s="1"/>
      <c r="M646" s="1"/>
      <c r="N646" s="1"/>
      <c r="O646" s="1"/>
      <c r="P646" s="1"/>
      <c r="Q646" s="1"/>
      <c r="R646" s="1"/>
      <c r="S646" s="1" t="s">
        <v>109</v>
      </c>
      <c r="T646" s="1">
        <v>0.47599999999999998</v>
      </c>
      <c r="U646" s="1" t="s">
        <v>109</v>
      </c>
      <c r="V646" s="1">
        <v>3</v>
      </c>
      <c r="W646" s="1">
        <v>17</v>
      </c>
      <c r="X646" s="1" t="s">
        <v>110</v>
      </c>
      <c r="Y646" s="1"/>
      <c r="Z646" s="1">
        <v>0.98299999999999998</v>
      </c>
      <c r="AA646" s="1" t="s">
        <v>111</v>
      </c>
      <c r="AB646" s="1" t="s">
        <v>111</v>
      </c>
      <c r="AC646" s="1" t="s">
        <v>111</v>
      </c>
      <c r="AD646" s="1" t="s">
        <v>111</v>
      </c>
      <c r="AE646" s="1" t="s">
        <v>111</v>
      </c>
      <c r="AF646" s="1" t="s">
        <v>111</v>
      </c>
      <c r="AG646" s="1" t="s">
        <v>111</v>
      </c>
      <c r="AH646" s="1" t="s">
        <v>111</v>
      </c>
      <c r="AI646" s="1">
        <v>80.436000000000007</v>
      </c>
      <c r="AJ646" s="1" t="s">
        <v>111</v>
      </c>
      <c r="AK646" s="1"/>
      <c r="AL646" s="1" t="s">
        <v>111</v>
      </c>
      <c r="AM646" s="1"/>
      <c r="AN646" s="1" t="s">
        <v>111</v>
      </c>
      <c r="AO646" s="1"/>
      <c r="AP646" s="1" t="s">
        <v>111</v>
      </c>
      <c r="AQ646" s="1" t="s">
        <v>111</v>
      </c>
    </row>
    <row r="647" spans="1:43" x14ac:dyDescent="0.25">
      <c r="A647" s="1">
        <v>347</v>
      </c>
      <c r="B647" s="1" t="s">
        <v>396</v>
      </c>
      <c r="C647" s="1" t="s">
        <v>103</v>
      </c>
      <c r="D647" s="1" t="s">
        <v>421</v>
      </c>
      <c r="E647" s="1" t="s">
        <v>332</v>
      </c>
      <c r="F647" s="1" t="s">
        <v>106</v>
      </c>
      <c r="G647" s="1" t="s">
        <v>107</v>
      </c>
      <c r="H647" s="1" t="s">
        <v>108</v>
      </c>
      <c r="I647" s="1">
        <v>23.227</v>
      </c>
      <c r="J647" s="1">
        <v>23.239000000000001</v>
      </c>
      <c r="K647" s="1">
        <v>9.2999999999999999E-2</v>
      </c>
      <c r="L647" s="1"/>
      <c r="M647" s="1"/>
      <c r="N647" s="1"/>
      <c r="O647" s="1"/>
      <c r="P647" s="1"/>
      <c r="Q647" s="1"/>
      <c r="R647" s="1"/>
      <c r="S647" s="1" t="s">
        <v>109</v>
      </c>
      <c r="T647" s="1">
        <v>0.47599999999999998</v>
      </c>
      <c r="U647" s="1" t="s">
        <v>109</v>
      </c>
      <c r="V647" s="1">
        <v>3</v>
      </c>
      <c r="W647" s="1">
        <v>17</v>
      </c>
      <c r="X647" s="1" t="s">
        <v>110</v>
      </c>
      <c r="Y647" s="1"/>
      <c r="Z647" s="1">
        <v>0.98099999999999998</v>
      </c>
      <c r="AA647" s="1" t="s">
        <v>111</v>
      </c>
      <c r="AB647" s="1" t="s">
        <v>111</v>
      </c>
      <c r="AC647" s="1" t="s">
        <v>111</v>
      </c>
      <c r="AD647" s="1" t="s">
        <v>111</v>
      </c>
      <c r="AE647" s="1" t="s">
        <v>111</v>
      </c>
      <c r="AF647" s="1" t="s">
        <v>111</v>
      </c>
      <c r="AG647" s="1" t="s">
        <v>111</v>
      </c>
      <c r="AH647" s="1" t="s">
        <v>111</v>
      </c>
      <c r="AI647" s="1">
        <v>80.436000000000007</v>
      </c>
      <c r="AJ647" s="1" t="s">
        <v>111</v>
      </c>
      <c r="AK647" s="1"/>
      <c r="AL647" s="1" t="s">
        <v>111</v>
      </c>
      <c r="AM647" s="1"/>
      <c r="AN647" s="1" t="s">
        <v>111</v>
      </c>
      <c r="AO647" s="1"/>
      <c r="AP647" s="1" t="s">
        <v>111</v>
      </c>
      <c r="AQ647" s="1" t="s">
        <v>111</v>
      </c>
    </row>
    <row r="648" spans="1:43" x14ac:dyDescent="0.25">
      <c r="A648" s="1">
        <v>348</v>
      </c>
      <c r="B648" s="1" t="s">
        <v>397</v>
      </c>
      <c r="C648" s="1" t="s">
        <v>103</v>
      </c>
      <c r="D648" s="1" t="s">
        <v>421</v>
      </c>
      <c r="E648" s="1" t="s">
        <v>332</v>
      </c>
      <c r="F648" s="1" t="s">
        <v>106</v>
      </c>
      <c r="G648" s="1" t="s">
        <v>107</v>
      </c>
      <c r="H648" s="1" t="s">
        <v>108</v>
      </c>
      <c r="I648" s="1">
        <v>23.308</v>
      </c>
      <c r="J648" s="1">
        <v>23.239000000000001</v>
      </c>
      <c r="K648" s="1">
        <v>9.2999999999999999E-2</v>
      </c>
      <c r="L648" s="1"/>
      <c r="M648" s="1"/>
      <c r="N648" s="1"/>
      <c r="O648" s="1"/>
      <c r="P648" s="1"/>
      <c r="Q648" s="1"/>
      <c r="R648" s="1"/>
      <c r="S648" s="1" t="s">
        <v>109</v>
      </c>
      <c r="T648" s="1">
        <v>0.47599999999999998</v>
      </c>
      <c r="U648" s="1" t="s">
        <v>109</v>
      </c>
      <c r="V648" s="1">
        <v>3</v>
      </c>
      <c r="W648" s="1">
        <v>17</v>
      </c>
      <c r="X648" s="1" t="s">
        <v>110</v>
      </c>
      <c r="Y648" s="1"/>
      <c r="Z648" s="1">
        <v>0.98499999999999999</v>
      </c>
      <c r="AA648" s="1" t="s">
        <v>111</v>
      </c>
      <c r="AB648" s="1" t="s">
        <v>111</v>
      </c>
      <c r="AC648" s="1" t="s">
        <v>111</v>
      </c>
      <c r="AD648" s="1" t="s">
        <v>111</v>
      </c>
      <c r="AE648" s="1" t="s">
        <v>111</v>
      </c>
      <c r="AF648" s="1" t="s">
        <v>111</v>
      </c>
      <c r="AG648" s="1" t="s">
        <v>111</v>
      </c>
      <c r="AH648" s="1" t="s">
        <v>111</v>
      </c>
      <c r="AI648" s="1">
        <v>80.436000000000007</v>
      </c>
      <c r="AJ648" s="1" t="s">
        <v>111</v>
      </c>
      <c r="AK648" s="1"/>
      <c r="AL648" s="1" t="s">
        <v>111</v>
      </c>
      <c r="AM648" s="1"/>
      <c r="AN648" s="1" t="s">
        <v>111</v>
      </c>
      <c r="AO648" s="1"/>
      <c r="AP648" s="1" t="s">
        <v>111</v>
      </c>
      <c r="AQ648" s="1" t="s">
        <v>111</v>
      </c>
    </row>
    <row r="649" spans="1:43" x14ac:dyDescent="0.25">
      <c r="A649" s="1">
        <v>361</v>
      </c>
      <c r="B649" s="1" t="s">
        <v>398</v>
      </c>
      <c r="C649" s="1" t="s">
        <v>103</v>
      </c>
      <c r="D649" s="1" t="s">
        <v>416</v>
      </c>
      <c r="E649" s="1" t="s">
        <v>332</v>
      </c>
      <c r="F649" s="1" t="s">
        <v>106</v>
      </c>
      <c r="G649" s="1" t="s">
        <v>107</v>
      </c>
      <c r="H649" s="1" t="s">
        <v>108</v>
      </c>
      <c r="I649" s="1">
        <v>22.923999999999999</v>
      </c>
      <c r="J649" s="1">
        <v>23.02</v>
      </c>
      <c r="K649" s="1">
        <v>8.1000000000000003E-2</v>
      </c>
      <c r="L649" s="1"/>
      <c r="M649" s="1"/>
      <c r="N649" s="1"/>
      <c r="O649" s="1"/>
      <c r="P649" s="1"/>
      <c r="Q649" s="1"/>
      <c r="R649" s="1"/>
      <c r="S649" s="1" t="s">
        <v>109</v>
      </c>
      <c r="T649" s="1">
        <v>0.47599999999999998</v>
      </c>
      <c r="U649" s="1" t="s">
        <v>109</v>
      </c>
      <c r="V649" s="1">
        <v>3</v>
      </c>
      <c r="W649" s="1">
        <v>16</v>
      </c>
      <c r="X649" s="1" t="s">
        <v>110</v>
      </c>
      <c r="Y649" s="1"/>
      <c r="Z649" s="1">
        <v>0.98299999999999998</v>
      </c>
      <c r="AA649" s="1" t="s">
        <v>111</v>
      </c>
      <c r="AB649" s="1" t="s">
        <v>111</v>
      </c>
      <c r="AC649" s="1" t="s">
        <v>111</v>
      </c>
      <c r="AD649" s="1" t="s">
        <v>111</v>
      </c>
      <c r="AE649" s="1" t="s">
        <v>111</v>
      </c>
      <c r="AF649" s="1" t="s">
        <v>111</v>
      </c>
      <c r="AG649" s="1" t="s">
        <v>111</v>
      </c>
      <c r="AH649" s="1" t="s">
        <v>111</v>
      </c>
      <c r="AI649" s="1">
        <v>80.55</v>
      </c>
      <c r="AJ649" s="1" t="s">
        <v>111</v>
      </c>
      <c r="AK649" s="1"/>
      <c r="AL649" s="1" t="s">
        <v>111</v>
      </c>
      <c r="AM649" s="1"/>
      <c r="AN649" s="1" t="s">
        <v>111</v>
      </c>
      <c r="AO649" s="1"/>
      <c r="AP649" s="1" t="s">
        <v>111</v>
      </c>
      <c r="AQ649" s="1" t="s">
        <v>111</v>
      </c>
    </row>
    <row r="650" spans="1:43" x14ac:dyDescent="0.25">
      <c r="A650" s="1">
        <v>362</v>
      </c>
      <c r="B650" s="1" t="s">
        <v>399</v>
      </c>
      <c r="C650" s="1" t="s">
        <v>103</v>
      </c>
      <c r="D650" s="1" t="s">
        <v>416</v>
      </c>
      <c r="E650" s="1" t="s">
        <v>332</v>
      </c>
      <c r="F650" s="1" t="s">
        <v>106</v>
      </c>
      <c r="G650" s="1" t="s">
        <v>107</v>
      </c>
      <c r="H650" s="1" t="s">
        <v>108</v>
      </c>
      <c r="I650" s="1">
        <v>23.077000000000002</v>
      </c>
      <c r="J650" s="1">
        <v>23.02</v>
      </c>
      <c r="K650" s="1">
        <v>8.1000000000000003E-2</v>
      </c>
      <c r="L650" s="1"/>
      <c r="M650" s="1"/>
      <c r="N650" s="1"/>
      <c r="O650" s="1"/>
      <c r="P650" s="1"/>
      <c r="Q650" s="1"/>
      <c r="R650" s="1"/>
      <c r="S650" s="1" t="s">
        <v>109</v>
      </c>
      <c r="T650" s="1">
        <v>0.47599999999999998</v>
      </c>
      <c r="U650" s="1" t="s">
        <v>109</v>
      </c>
      <c r="V650" s="1">
        <v>3</v>
      </c>
      <c r="W650" s="1">
        <v>16</v>
      </c>
      <c r="X650" s="1" t="s">
        <v>110</v>
      </c>
      <c r="Y650" s="1"/>
      <c r="Z650" s="1">
        <v>0.98299999999999998</v>
      </c>
      <c r="AA650" s="1" t="s">
        <v>111</v>
      </c>
      <c r="AB650" s="1" t="s">
        <v>111</v>
      </c>
      <c r="AC650" s="1" t="s">
        <v>111</v>
      </c>
      <c r="AD650" s="1" t="s">
        <v>111</v>
      </c>
      <c r="AE650" s="1" t="s">
        <v>111</v>
      </c>
      <c r="AF650" s="1" t="s">
        <v>111</v>
      </c>
      <c r="AG650" s="1" t="s">
        <v>111</v>
      </c>
      <c r="AH650" s="1" t="s">
        <v>111</v>
      </c>
      <c r="AI650" s="1">
        <v>80.55</v>
      </c>
      <c r="AJ650" s="1" t="s">
        <v>111</v>
      </c>
      <c r="AK650" s="1"/>
      <c r="AL650" s="1" t="s">
        <v>111</v>
      </c>
      <c r="AM650" s="1"/>
      <c r="AN650" s="1" t="s">
        <v>111</v>
      </c>
      <c r="AO650" s="1"/>
      <c r="AP650" s="1" t="s">
        <v>111</v>
      </c>
      <c r="AQ650" s="1" t="s">
        <v>111</v>
      </c>
    </row>
    <row r="651" spans="1:43" x14ac:dyDescent="0.25">
      <c r="A651" s="1">
        <v>363</v>
      </c>
      <c r="B651" s="1" t="s">
        <v>400</v>
      </c>
      <c r="C651" s="1" t="s">
        <v>103</v>
      </c>
      <c r="D651" s="1" t="s">
        <v>417</v>
      </c>
      <c r="E651" s="1" t="s">
        <v>332</v>
      </c>
      <c r="F651" s="1" t="s">
        <v>106</v>
      </c>
      <c r="G651" s="1" t="s">
        <v>107</v>
      </c>
      <c r="H651" s="1" t="s">
        <v>108</v>
      </c>
      <c r="I651" s="1">
        <v>22.748999999999999</v>
      </c>
      <c r="J651" s="1">
        <v>22.782</v>
      </c>
      <c r="K651" s="1">
        <v>4.2000000000000003E-2</v>
      </c>
      <c r="L651" s="1"/>
      <c r="M651" s="1"/>
      <c r="N651" s="1"/>
      <c r="O651" s="1"/>
      <c r="P651" s="1"/>
      <c r="Q651" s="1"/>
      <c r="R651" s="1"/>
      <c r="S651" s="1" t="s">
        <v>109</v>
      </c>
      <c r="T651" s="1">
        <v>0.47599999999999998</v>
      </c>
      <c r="U651" s="1" t="s">
        <v>109</v>
      </c>
      <c r="V651" s="1">
        <v>3</v>
      </c>
      <c r="W651" s="1">
        <v>17</v>
      </c>
      <c r="X651" s="1" t="s">
        <v>110</v>
      </c>
      <c r="Y651" s="1"/>
      <c r="Z651" s="1">
        <v>0.98499999999999999</v>
      </c>
      <c r="AA651" s="1" t="s">
        <v>111</v>
      </c>
      <c r="AB651" s="1" t="s">
        <v>111</v>
      </c>
      <c r="AC651" s="1" t="s">
        <v>111</v>
      </c>
      <c r="AD651" s="1" t="s">
        <v>111</v>
      </c>
      <c r="AE651" s="1" t="s">
        <v>111</v>
      </c>
      <c r="AF651" s="1" t="s">
        <v>111</v>
      </c>
      <c r="AG651" s="1" t="s">
        <v>111</v>
      </c>
      <c r="AH651" s="1" t="s">
        <v>111</v>
      </c>
      <c r="AI651" s="1">
        <v>80.55</v>
      </c>
      <c r="AJ651" s="1" t="s">
        <v>111</v>
      </c>
      <c r="AK651" s="1"/>
      <c r="AL651" s="1" t="s">
        <v>111</v>
      </c>
      <c r="AM651" s="1"/>
      <c r="AN651" s="1" t="s">
        <v>111</v>
      </c>
      <c r="AO651" s="1"/>
      <c r="AP651" s="1" t="s">
        <v>111</v>
      </c>
      <c r="AQ651" s="1" t="s">
        <v>111</v>
      </c>
    </row>
    <row r="652" spans="1:43" x14ac:dyDescent="0.25">
      <c r="A652" s="1">
        <v>364</v>
      </c>
      <c r="B652" s="1" t="s">
        <v>401</v>
      </c>
      <c r="C652" s="1" t="s">
        <v>103</v>
      </c>
      <c r="D652" s="1" t="s">
        <v>417</v>
      </c>
      <c r="E652" s="1" t="s">
        <v>332</v>
      </c>
      <c r="F652" s="1" t="s">
        <v>106</v>
      </c>
      <c r="G652" s="1" t="s">
        <v>107</v>
      </c>
      <c r="H652" s="1" t="s">
        <v>108</v>
      </c>
      <c r="I652" s="1">
        <v>22.829000000000001</v>
      </c>
      <c r="J652" s="1">
        <v>22.782</v>
      </c>
      <c r="K652" s="1">
        <v>4.2000000000000003E-2</v>
      </c>
      <c r="L652" s="1"/>
      <c r="M652" s="1"/>
      <c r="N652" s="1"/>
      <c r="O652" s="1"/>
      <c r="P652" s="1"/>
      <c r="Q652" s="1"/>
      <c r="R652" s="1"/>
      <c r="S652" s="1" t="s">
        <v>109</v>
      </c>
      <c r="T652" s="1">
        <v>0.47599999999999998</v>
      </c>
      <c r="U652" s="1" t="s">
        <v>109</v>
      </c>
      <c r="V652" s="1">
        <v>3</v>
      </c>
      <c r="W652" s="1">
        <v>16</v>
      </c>
      <c r="X652" s="1" t="s">
        <v>110</v>
      </c>
      <c r="Y652" s="1"/>
      <c r="Z652" s="1">
        <v>0.98199999999999998</v>
      </c>
      <c r="AA652" s="1" t="s">
        <v>111</v>
      </c>
      <c r="AB652" s="1" t="s">
        <v>111</v>
      </c>
      <c r="AC652" s="1" t="s">
        <v>111</v>
      </c>
      <c r="AD652" s="1" t="s">
        <v>111</v>
      </c>
      <c r="AE652" s="1" t="s">
        <v>111</v>
      </c>
      <c r="AF652" s="1" t="s">
        <v>111</v>
      </c>
      <c r="AG652" s="1" t="s">
        <v>111</v>
      </c>
      <c r="AH652" s="1" t="s">
        <v>111</v>
      </c>
      <c r="AI652" s="1">
        <v>80.55</v>
      </c>
      <c r="AJ652" s="1" t="s">
        <v>111</v>
      </c>
      <c r="AK652" s="1"/>
      <c r="AL652" s="1" t="s">
        <v>111</v>
      </c>
      <c r="AM652" s="1"/>
      <c r="AN652" s="1" t="s">
        <v>111</v>
      </c>
      <c r="AO652" s="1"/>
      <c r="AP652" s="1" t="s">
        <v>111</v>
      </c>
      <c r="AQ652" s="1" t="s">
        <v>111</v>
      </c>
    </row>
    <row r="653" spans="1:43" x14ac:dyDescent="0.25">
      <c r="A653" s="1">
        <v>365</v>
      </c>
      <c r="B653" s="1" t="s">
        <v>402</v>
      </c>
      <c r="C653" s="1" t="s">
        <v>103</v>
      </c>
      <c r="D653" s="1" t="s">
        <v>418</v>
      </c>
      <c r="E653" s="1" t="s">
        <v>332</v>
      </c>
      <c r="F653" s="1" t="s">
        <v>106</v>
      </c>
      <c r="G653" s="1" t="s">
        <v>107</v>
      </c>
      <c r="H653" s="1" t="s">
        <v>108</v>
      </c>
      <c r="I653" s="1">
        <v>22.594000000000001</v>
      </c>
      <c r="J653" s="1">
        <v>22.611999999999998</v>
      </c>
      <c r="K653" s="1">
        <v>0.06</v>
      </c>
      <c r="L653" s="1"/>
      <c r="M653" s="1"/>
      <c r="N653" s="1"/>
      <c r="O653" s="1"/>
      <c r="P653" s="1"/>
      <c r="Q653" s="1"/>
      <c r="R653" s="1"/>
      <c r="S653" s="1" t="s">
        <v>109</v>
      </c>
      <c r="T653" s="1">
        <v>0.47599999999999998</v>
      </c>
      <c r="U653" s="1" t="s">
        <v>109</v>
      </c>
      <c r="V653" s="1">
        <v>3</v>
      </c>
      <c r="W653" s="1">
        <v>16</v>
      </c>
      <c r="X653" s="1" t="s">
        <v>110</v>
      </c>
      <c r="Y653" s="1"/>
      <c r="Z653" s="1">
        <v>0.98399999999999999</v>
      </c>
      <c r="AA653" s="1" t="s">
        <v>111</v>
      </c>
      <c r="AB653" s="1" t="s">
        <v>111</v>
      </c>
      <c r="AC653" s="1" t="s">
        <v>111</v>
      </c>
      <c r="AD653" s="1" t="s">
        <v>111</v>
      </c>
      <c r="AE653" s="1" t="s">
        <v>111</v>
      </c>
      <c r="AF653" s="1" t="s">
        <v>111</v>
      </c>
      <c r="AG653" s="1" t="s">
        <v>111</v>
      </c>
      <c r="AH653" s="1" t="s">
        <v>111</v>
      </c>
      <c r="AI653" s="1">
        <v>80.426000000000002</v>
      </c>
      <c r="AJ653" s="1" t="s">
        <v>111</v>
      </c>
      <c r="AK653" s="1"/>
      <c r="AL653" s="1" t="s">
        <v>111</v>
      </c>
      <c r="AM653" s="1"/>
      <c r="AN653" s="1" t="s">
        <v>111</v>
      </c>
      <c r="AO653" s="1"/>
      <c r="AP653" s="1" t="s">
        <v>111</v>
      </c>
      <c r="AQ653" s="1" t="s">
        <v>111</v>
      </c>
    </row>
    <row r="654" spans="1:43" x14ac:dyDescent="0.25">
      <c r="A654" s="1">
        <v>366</v>
      </c>
      <c r="B654" s="1" t="s">
        <v>403</v>
      </c>
      <c r="C654" s="1" t="s">
        <v>103</v>
      </c>
      <c r="D654" s="1" t="s">
        <v>418</v>
      </c>
      <c r="E654" s="1" t="s">
        <v>332</v>
      </c>
      <c r="F654" s="1" t="s">
        <v>106</v>
      </c>
      <c r="G654" s="1" t="s">
        <v>107</v>
      </c>
      <c r="H654" s="1" t="s">
        <v>108</v>
      </c>
      <c r="I654" s="1">
        <v>22.693999999999999</v>
      </c>
      <c r="J654" s="1">
        <v>22.611999999999998</v>
      </c>
      <c r="K654" s="1">
        <v>0.06</v>
      </c>
      <c r="L654" s="1"/>
      <c r="M654" s="1"/>
      <c r="N654" s="1"/>
      <c r="O654" s="1"/>
      <c r="P654" s="1"/>
      <c r="Q654" s="1"/>
      <c r="R654" s="1"/>
      <c r="S654" s="1" t="s">
        <v>109</v>
      </c>
      <c r="T654" s="1">
        <v>0.47599999999999998</v>
      </c>
      <c r="U654" s="1" t="s">
        <v>109</v>
      </c>
      <c r="V654" s="1">
        <v>3</v>
      </c>
      <c r="W654" s="1">
        <v>16</v>
      </c>
      <c r="X654" s="1" t="s">
        <v>110</v>
      </c>
      <c r="Y654" s="1"/>
      <c r="Z654" s="1">
        <v>0.98199999999999998</v>
      </c>
      <c r="AA654" s="1" t="s">
        <v>111</v>
      </c>
      <c r="AB654" s="1" t="s">
        <v>111</v>
      </c>
      <c r="AC654" s="1" t="s">
        <v>111</v>
      </c>
      <c r="AD654" s="1" t="s">
        <v>111</v>
      </c>
      <c r="AE654" s="1" t="s">
        <v>111</v>
      </c>
      <c r="AF654" s="1" t="s">
        <v>111</v>
      </c>
      <c r="AG654" s="1" t="s">
        <v>111</v>
      </c>
      <c r="AH654" s="1" t="s">
        <v>111</v>
      </c>
      <c r="AI654" s="1">
        <v>80.426000000000002</v>
      </c>
      <c r="AJ654" s="1" t="s">
        <v>111</v>
      </c>
      <c r="AK654" s="1"/>
      <c r="AL654" s="1" t="s">
        <v>111</v>
      </c>
      <c r="AM654" s="1"/>
      <c r="AN654" s="1" t="s">
        <v>111</v>
      </c>
      <c r="AO654" s="1"/>
      <c r="AP654" s="1" t="s">
        <v>111</v>
      </c>
      <c r="AQ654" s="1" t="s">
        <v>111</v>
      </c>
    </row>
    <row r="655" spans="1:43" x14ac:dyDescent="0.25">
      <c r="A655" s="1">
        <v>367</v>
      </c>
      <c r="B655" s="1" t="s">
        <v>404</v>
      </c>
      <c r="C655" s="1" t="s">
        <v>103</v>
      </c>
      <c r="D655" s="1" t="s">
        <v>419</v>
      </c>
      <c r="E655" s="1" t="s">
        <v>332</v>
      </c>
      <c r="F655" s="1" t="s">
        <v>106</v>
      </c>
      <c r="G655" s="1" t="s">
        <v>107</v>
      </c>
      <c r="H655" s="1" t="s">
        <v>108</v>
      </c>
      <c r="I655" s="1">
        <v>22.596</v>
      </c>
      <c r="J655" s="1">
        <v>22.661000000000001</v>
      </c>
      <c r="K655" s="1">
        <v>4.9000000000000002E-2</v>
      </c>
      <c r="L655" s="1"/>
      <c r="M655" s="1"/>
      <c r="N655" s="1"/>
      <c r="O655" s="1"/>
      <c r="P655" s="1"/>
      <c r="Q655" s="1"/>
      <c r="R655" s="1"/>
      <c r="S655" s="1" t="s">
        <v>109</v>
      </c>
      <c r="T655" s="1">
        <v>0.47599999999999998</v>
      </c>
      <c r="U655" s="1" t="s">
        <v>109</v>
      </c>
      <c r="V655" s="1">
        <v>3</v>
      </c>
      <c r="W655" s="1">
        <v>16</v>
      </c>
      <c r="X655" s="1" t="s">
        <v>110</v>
      </c>
      <c r="Y655" s="1"/>
      <c r="Z655" s="1">
        <v>0.98099999999999998</v>
      </c>
      <c r="AA655" s="1" t="s">
        <v>111</v>
      </c>
      <c r="AB655" s="1" t="s">
        <v>111</v>
      </c>
      <c r="AC655" s="1" t="s">
        <v>111</v>
      </c>
      <c r="AD655" s="1" t="s">
        <v>111</v>
      </c>
      <c r="AE655" s="1" t="s">
        <v>111</v>
      </c>
      <c r="AF655" s="1" t="s">
        <v>111</v>
      </c>
      <c r="AG655" s="1" t="s">
        <v>111</v>
      </c>
      <c r="AH655" s="1" t="s">
        <v>111</v>
      </c>
      <c r="AI655" s="1">
        <v>80.426000000000002</v>
      </c>
      <c r="AJ655" s="1" t="s">
        <v>111</v>
      </c>
      <c r="AK655" s="1"/>
      <c r="AL655" s="1" t="s">
        <v>111</v>
      </c>
      <c r="AM655" s="1"/>
      <c r="AN655" s="1" t="s">
        <v>111</v>
      </c>
      <c r="AO655" s="1"/>
      <c r="AP655" s="1" t="s">
        <v>111</v>
      </c>
      <c r="AQ655" s="1" t="s">
        <v>111</v>
      </c>
    </row>
    <row r="656" spans="1:43" x14ac:dyDescent="0.25">
      <c r="A656" s="1">
        <v>368</v>
      </c>
      <c r="B656" s="1" t="s">
        <v>405</v>
      </c>
      <c r="C656" s="1" t="s">
        <v>103</v>
      </c>
      <c r="D656" s="1" t="s">
        <v>419</v>
      </c>
      <c r="E656" s="1" t="s">
        <v>332</v>
      </c>
      <c r="F656" s="1" t="s">
        <v>106</v>
      </c>
      <c r="G656" s="1" t="s">
        <v>107</v>
      </c>
      <c r="H656" s="1" t="s">
        <v>108</v>
      </c>
      <c r="I656" s="1">
        <v>22.7</v>
      </c>
      <c r="J656" s="1">
        <v>22.661000000000001</v>
      </c>
      <c r="K656" s="1">
        <v>4.9000000000000002E-2</v>
      </c>
      <c r="L656" s="1"/>
      <c r="M656" s="1"/>
      <c r="N656" s="1"/>
      <c r="O656" s="1"/>
      <c r="P656" s="1"/>
      <c r="Q656" s="1"/>
      <c r="R656" s="1"/>
      <c r="S656" s="1" t="s">
        <v>109</v>
      </c>
      <c r="T656" s="1">
        <v>0.47599999999999998</v>
      </c>
      <c r="U656" s="1" t="s">
        <v>109</v>
      </c>
      <c r="V656" s="1">
        <v>3</v>
      </c>
      <c r="W656" s="1">
        <v>16</v>
      </c>
      <c r="X656" s="1" t="s">
        <v>110</v>
      </c>
      <c r="Y656" s="1"/>
      <c r="Z656" s="1">
        <v>0.98899999999999999</v>
      </c>
      <c r="AA656" s="1" t="s">
        <v>111</v>
      </c>
      <c r="AB656" s="1" t="s">
        <v>111</v>
      </c>
      <c r="AC656" s="1" t="s">
        <v>111</v>
      </c>
      <c r="AD656" s="1" t="s">
        <v>111</v>
      </c>
      <c r="AE656" s="1" t="s">
        <v>111</v>
      </c>
      <c r="AF656" s="1" t="s">
        <v>111</v>
      </c>
      <c r="AG656" s="1" t="s">
        <v>111</v>
      </c>
      <c r="AH656" s="1" t="s">
        <v>111</v>
      </c>
      <c r="AI656" s="1">
        <v>80.426000000000002</v>
      </c>
      <c r="AJ656" s="1" t="s">
        <v>111</v>
      </c>
      <c r="AK656" s="1"/>
      <c r="AL656" s="1" t="s">
        <v>111</v>
      </c>
      <c r="AM656" s="1"/>
      <c r="AN656" s="1" t="s">
        <v>111</v>
      </c>
      <c r="AO656" s="1"/>
      <c r="AP656" s="1" t="s">
        <v>111</v>
      </c>
      <c r="AQ656" s="1" t="s">
        <v>111</v>
      </c>
    </row>
    <row r="657" spans="1:43" x14ac:dyDescent="0.25">
      <c r="A657" s="1">
        <v>369</v>
      </c>
      <c r="B657" s="1" t="s">
        <v>406</v>
      </c>
      <c r="C657" s="1" t="s">
        <v>103</v>
      </c>
      <c r="D657" s="1" t="s">
        <v>420</v>
      </c>
      <c r="E657" s="1" t="s">
        <v>332</v>
      </c>
      <c r="F657" s="1" t="s">
        <v>106</v>
      </c>
      <c r="G657" s="1" t="s">
        <v>107</v>
      </c>
      <c r="H657" s="1" t="s">
        <v>108</v>
      </c>
      <c r="I657" s="1">
        <v>24.114999999999998</v>
      </c>
      <c r="J657" s="1">
        <v>24.100999999999999</v>
      </c>
      <c r="K657" s="1">
        <v>6.3E-2</v>
      </c>
      <c r="L657" s="1"/>
      <c r="M657" s="1"/>
      <c r="N657" s="1"/>
      <c r="O657" s="1"/>
      <c r="P657" s="1"/>
      <c r="Q657" s="1"/>
      <c r="R657" s="1"/>
      <c r="S657" s="1" t="s">
        <v>109</v>
      </c>
      <c r="T657" s="1">
        <v>0.47599999999999998</v>
      </c>
      <c r="U657" s="1" t="s">
        <v>109</v>
      </c>
      <c r="V657" s="1">
        <v>3</v>
      </c>
      <c r="W657" s="1">
        <v>17</v>
      </c>
      <c r="X657" s="1" t="s">
        <v>110</v>
      </c>
      <c r="Y657" s="1"/>
      <c r="Z657" s="1">
        <v>0.98099999999999998</v>
      </c>
      <c r="AA657" s="1" t="s">
        <v>111</v>
      </c>
      <c r="AB657" s="1" t="s">
        <v>111</v>
      </c>
      <c r="AC657" s="1" t="s">
        <v>111</v>
      </c>
      <c r="AD657" s="1" t="s">
        <v>111</v>
      </c>
      <c r="AE657" s="1" t="s">
        <v>111</v>
      </c>
      <c r="AF657" s="1" t="s">
        <v>111</v>
      </c>
      <c r="AG657" s="1" t="s">
        <v>111</v>
      </c>
      <c r="AH657" s="1" t="s">
        <v>111</v>
      </c>
      <c r="AI657" s="1">
        <v>80.436000000000007</v>
      </c>
      <c r="AJ657" s="1" t="s">
        <v>111</v>
      </c>
      <c r="AK657" s="1"/>
      <c r="AL657" s="1" t="s">
        <v>111</v>
      </c>
      <c r="AM657" s="1"/>
      <c r="AN657" s="1" t="s">
        <v>111</v>
      </c>
      <c r="AO657" s="1"/>
      <c r="AP657" s="1" t="s">
        <v>111</v>
      </c>
      <c r="AQ657" s="1" t="s">
        <v>111</v>
      </c>
    </row>
    <row r="658" spans="1:43" x14ac:dyDescent="0.25">
      <c r="A658" s="1">
        <v>370</v>
      </c>
      <c r="B658" s="1" t="s">
        <v>407</v>
      </c>
      <c r="C658" s="1" t="s">
        <v>103</v>
      </c>
      <c r="D658" s="1" t="s">
        <v>420</v>
      </c>
      <c r="E658" s="1" t="s">
        <v>332</v>
      </c>
      <c r="F658" s="1" t="s">
        <v>106</v>
      </c>
      <c r="G658" s="1" t="s">
        <v>107</v>
      </c>
      <c r="H658" s="1" t="s">
        <v>108</v>
      </c>
      <c r="I658" s="1">
        <v>24.067</v>
      </c>
      <c r="J658" s="1">
        <v>24.100999999999999</v>
      </c>
      <c r="K658" s="1">
        <v>6.3E-2</v>
      </c>
      <c r="L658" s="1"/>
      <c r="M658" s="1"/>
      <c r="N658" s="1"/>
      <c r="O658" s="1"/>
      <c r="P658" s="1"/>
      <c r="Q658" s="1"/>
      <c r="R658" s="1"/>
      <c r="S658" s="1" t="s">
        <v>109</v>
      </c>
      <c r="T658" s="1">
        <v>0.47599999999999998</v>
      </c>
      <c r="U658" s="1" t="s">
        <v>109</v>
      </c>
      <c r="V658" s="1">
        <v>3</v>
      </c>
      <c r="W658" s="1">
        <v>17</v>
      </c>
      <c r="X658" s="1" t="s">
        <v>110</v>
      </c>
      <c r="Y658" s="1"/>
      <c r="Z658" s="1">
        <v>0.98299999999999998</v>
      </c>
      <c r="AA658" s="1" t="s">
        <v>111</v>
      </c>
      <c r="AB658" s="1" t="s">
        <v>111</v>
      </c>
      <c r="AC658" s="1" t="s">
        <v>111</v>
      </c>
      <c r="AD658" s="1" t="s">
        <v>111</v>
      </c>
      <c r="AE658" s="1" t="s">
        <v>111</v>
      </c>
      <c r="AF658" s="1" t="s">
        <v>111</v>
      </c>
      <c r="AG658" s="1" t="s">
        <v>111</v>
      </c>
      <c r="AH658" s="1" t="s">
        <v>111</v>
      </c>
      <c r="AI658" s="1">
        <v>80.436000000000007</v>
      </c>
      <c r="AJ658" s="1" t="s">
        <v>111</v>
      </c>
      <c r="AK658" s="1"/>
      <c r="AL658" s="1" t="s">
        <v>111</v>
      </c>
      <c r="AM658" s="1"/>
      <c r="AN658" s="1" t="s">
        <v>111</v>
      </c>
      <c r="AO658" s="1"/>
      <c r="AP658" s="1" t="s">
        <v>111</v>
      </c>
      <c r="AQ658" s="1" t="s">
        <v>111</v>
      </c>
    </row>
    <row r="659" spans="1:43" x14ac:dyDescent="0.25">
      <c r="A659" s="1">
        <v>371</v>
      </c>
      <c r="B659" s="1" t="s">
        <v>408</v>
      </c>
      <c r="C659" s="1" t="s">
        <v>103</v>
      </c>
      <c r="D659" s="1" t="s">
        <v>421</v>
      </c>
      <c r="E659" s="1" t="s">
        <v>332</v>
      </c>
      <c r="F659" s="1" t="s">
        <v>106</v>
      </c>
      <c r="G659" s="1" t="s">
        <v>107</v>
      </c>
      <c r="H659" s="1" t="s">
        <v>108</v>
      </c>
      <c r="I659" s="1">
        <v>23.309000000000001</v>
      </c>
      <c r="J659" s="1">
        <v>23.239000000000001</v>
      </c>
      <c r="K659" s="1">
        <v>9.2999999999999999E-2</v>
      </c>
      <c r="L659" s="1"/>
      <c r="M659" s="1"/>
      <c r="N659" s="1"/>
      <c r="O659" s="1"/>
      <c r="P659" s="1"/>
      <c r="Q659" s="1"/>
      <c r="R659" s="1"/>
      <c r="S659" s="1" t="s">
        <v>109</v>
      </c>
      <c r="T659" s="1">
        <v>0.47599999999999998</v>
      </c>
      <c r="U659" s="1" t="s">
        <v>109</v>
      </c>
      <c r="V659" s="1">
        <v>3</v>
      </c>
      <c r="W659" s="1">
        <v>17</v>
      </c>
      <c r="X659" s="1" t="s">
        <v>110</v>
      </c>
      <c r="Y659" s="1"/>
      <c r="Z659" s="1">
        <v>0.98</v>
      </c>
      <c r="AA659" s="1" t="s">
        <v>111</v>
      </c>
      <c r="AB659" s="1" t="s">
        <v>111</v>
      </c>
      <c r="AC659" s="1" t="s">
        <v>111</v>
      </c>
      <c r="AD659" s="1" t="s">
        <v>111</v>
      </c>
      <c r="AE659" s="1" t="s">
        <v>111</v>
      </c>
      <c r="AF659" s="1" t="s">
        <v>111</v>
      </c>
      <c r="AG659" s="1" t="s">
        <v>111</v>
      </c>
      <c r="AH659" s="1" t="s">
        <v>111</v>
      </c>
      <c r="AI659" s="1">
        <v>80.436000000000007</v>
      </c>
      <c r="AJ659" s="1" t="s">
        <v>111</v>
      </c>
      <c r="AK659" s="1"/>
      <c r="AL659" s="1" t="s">
        <v>111</v>
      </c>
      <c r="AM659" s="1"/>
      <c r="AN659" s="1" t="s">
        <v>111</v>
      </c>
      <c r="AO659" s="1"/>
      <c r="AP659" s="1" t="s">
        <v>111</v>
      </c>
      <c r="AQ659" s="1" t="s">
        <v>111</v>
      </c>
    </row>
    <row r="660" spans="1:43" x14ac:dyDescent="0.25">
      <c r="A660" s="1">
        <v>372</v>
      </c>
      <c r="B660" s="1" t="s">
        <v>409</v>
      </c>
      <c r="C660" s="1" t="s">
        <v>103</v>
      </c>
      <c r="D660" s="1" t="s">
        <v>421</v>
      </c>
      <c r="E660" s="1" t="s">
        <v>332</v>
      </c>
      <c r="F660" s="1" t="s">
        <v>106</v>
      </c>
      <c r="G660" s="1" t="s">
        <v>107</v>
      </c>
      <c r="H660" s="1" t="s">
        <v>108</v>
      </c>
      <c r="I660" s="1">
        <v>23.111000000000001</v>
      </c>
      <c r="J660" s="1">
        <v>23.239000000000001</v>
      </c>
      <c r="K660" s="1">
        <v>9.2999999999999999E-2</v>
      </c>
      <c r="L660" s="1"/>
      <c r="M660" s="1"/>
      <c r="N660" s="1"/>
      <c r="O660" s="1"/>
      <c r="P660" s="1"/>
      <c r="Q660" s="1"/>
      <c r="R660" s="1"/>
      <c r="S660" s="1" t="s">
        <v>109</v>
      </c>
      <c r="T660" s="1">
        <v>0.47599999999999998</v>
      </c>
      <c r="U660" s="1" t="s">
        <v>109</v>
      </c>
      <c r="V660" s="1">
        <v>3</v>
      </c>
      <c r="W660" s="1">
        <v>16</v>
      </c>
      <c r="X660" s="1" t="s">
        <v>110</v>
      </c>
      <c r="Y660" s="1"/>
      <c r="Z660" s="1">
        <v>0.98299999999999998</v>
      </c>
      <c r="AA660" s="1" t="s">
        <v>111</v>
      </c>
      <c r="AB660" s="1" t="s">
        <v>111</v>
      </c>
      <c r="AC660" s="1" t="s">
        <v>111</v>
      </c>
      <c r="AD660" s="1" t="s">
        <v>111</v>
      </c>
      <c r="AE660" s="1" t="s">
        <v>111</v>
      </c>
      <c r="AF660" s="1" t="s">
        <v>111</v>
      </c>
      <c r="AG660" s="1" t="s">
        <v>111</v>
      </c>
      <c r="AH660" s="1" t="s">
        <v>111</v>
      </c>
      <c r="AI660" s="1">
        <v>80.436000000000007</v>
      </c>
      <c r="AJ660" s="1" t="s">
        <v>111</v>
      </c>
      <c r="AK660" s="1"/>
      <c r="AL660" s="1" t="s">
        <v>111</v>
      </c>
      <c r="AM660" s="1"/>
      <c r="AN660" s="1" t="s">
        <v>111</v>
      </c>
      <c r="AO660" s="1"/>
      <c r="AP660" s="1" t="s">
        <v>111</v>
      </c>
      <c r="AQ660" s="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8EE0-A5E2-4970-924C-94999F29B2BB}">
  <dimension ref="B4:DV200"/>
  <sheetViews>
    <sheetView topLeftCell="CH28" zoomScale="80" zoomScaleNormal="80" workbookViewId="0">
      <selection activeCell="DD4" sqref="DD4:DI75"/>
    </sheetView>
  </sheetViews>
  <sheetFormatPr defaultRowHeight="15" x14ac:dyDescent="0.25"/>
  <cols>
    <col min="5" max="5" width="46.28515625" customWidth="1"/>
    <col min="72" max="72" width="50.42578125" customWidth="1"/>
  </cols>
  <sheetData>
    <row r="4" spans="2:125" x14ac:dyDescent="0.25">
      <c r="B4" s="1">
        <v>1</v>
      </c>
      <c r="C4" s="1" t="s">
        <v>102</v>
      </c>
      <c r="D4" s="1" t="s">
        <v>103</v>
      </c>
      <c r="E4" s="1" t="s">
        <v>104</v>
      </c>
      <c r="F4" s="1" t="s">
        <v>105</v>
      </c>
      <c r="G4" s="1" t="s">
        <v>106</v>
      </c>
      <c r="H4" s="1" t="s">
        <v>107</v>
      </c>
      <c r="I4" s="1" t="s">
        <v>108</v>
      </c>
      <c r="J4" s="1">
        <v>21.99</v>
      </c>
      <c r="M4" s="1">
        <v>17</v>
      </c>
      <c r="N4" s="1" t="s">
        <v>128</v>
      </c>
      <c r="O4" s="1" t="s">
        <v>103</v>
      </c>
      <c r="P4" s="1" t="s">
        <v>104</v>
      </c>
      <c r="Q4" s="1" t="s">
        <v>129</v>
      </c>
      <c r="R4" s="1" t="s">
        <v>106</v>
      </c>
      <c r="S4" s="1" t="s">
        <v>107</v>
      </c>
      <c r="T4" s="1" t="s">
        <v>108</v>
      </c>
      <c r="U4" s="1">
        <v>18.398</v>
      </c>
      <c r="X4" s="1">
        <v>49</v>
      </c>
      <c r="Y4" s="1" t="s">
        <v>157</v>
      </c>
      <c r="Z4" s="1" t="s">
        <v>103</v>
      </c>
      <c r="AA4" s="1" t="s">
        <v>104</v>
      </c>
      <c r="AB4" s="1" t="s">
        <v>158</v>
      </c>
      <c r="AC4" s="1" t="s">
        <v>106</v>
      </c>
      <c r="AD4" s="1" t="s">
        <v>107</v>
      </c>
      <c r="AE4" s="1" t="s">
        <v>108</v>
      </c>
      <c r="AF4" s="1">
        <v>16.344000000000001</v>
      </c>
      <c r="AI4" s="1">
        <v>97</v>
      </c>
      <c r="AJ4" s="1" t="s">
        <v>190</v>
      </c>
      <c r="AK4" s="1" t="s">
        <v>103</v>
      </c>
      <c r="AL4" s="1" t="s">
        <v>104</v>
      </c>
      <c r="AM4" s="1" t="s">
        <v>191</v>
      </c>
      <c r="AN4" s="1" t="s">
        <v>106</v>
      </c>
      <c r="AO4" s="1" t="s">
        <v>107</v>
      </c>
      <c r="AP4" s="1" t="s">
        <v>108</v>
      </c>
      <c r="AQ4" s="1">
        <v>22.907</v>
      </c>
      <c r="AT4" s="1">
        <v>113</v>
      </c>
      <c r="AU4" s="1" t="s">
        <v>203</v>
      </c>
      <c r="AV4" s="1" t="s">
        <v>103</v>
      </c>
      <c r="AW4" s="1" t="s">
        <v>104</v>
      </c>
      <c r="AX4" s="1" t="s">
        <v>204</v>
      </c>
      <c r="AY4" s="1" t="s">
        <v>106</v>
      </c>
      <c r="AZ4" s="1" t="s">
        <v>107</v>
      </c>
      <c r="BA4" s="1" t="s">
        <v>108</v>
      </c>
      <c r="BB4" s="1">
        <v>30.41</v>
      </c>
      <c r="BE4" s="1">
        <v>145</v>
      </c>
      <c r="BF4" s="1" t="s">
        <v>233</v>
      </c>
      <c r="BG4" s="1" t="s">
        <v>103</v>
      </c>
      <c r="BH4" s="1" t="s">
        <v>104</v>
      </c>
      <c r="BI4" s="1" t="s">
        <v>234</v>
      </c>
      <c r="BJ4" s="1" t="s">
        <v>106</v>
      </c>
      <c r="BK4" s="1" t="s">
        <v>107</v>
      </c>
      <c r="BL4" s="1" t="s">
        <v>108</v>
      </c>
      <c r="BM4" s="1" t="s">
        <v>235</v>
      </c>
      <c r="BQ4" s="1">
        <v>193</v>
      </c>
      <c r="BR4" s="1" t="s">
        <v>268</v>
      </c>
      <c r="BS4" s="1" t="s">
        <v>103</v>
      </c>
      <c r="BT4" s="1" t="s">
        <v>104</v>
      </c>
      <c r="BU4" s="1" t="s">
        <v>269</v>
      </c>
      <c r="BV4" s="1" t="s">
        <v>106</v>
      </c>
      <c r="BW4" s="1" t="s">
        <v>107</v>
      </c>
      <c r="BX4" s="1" t="s">
        <v>108</v>
      </c>
      <c r="BY4" s="1">
        <v>31.681999999999999</v>
      </c>
      <c r="CC4" s="1">
        <v>209</v>
      </c>
      <c r="CD4" s="1" t="s">
        <v>281</v>
      </c>
      <c r="CE4" s="1" t="s">
        <v>103</v>
      </c>
      <c r="CF4" s="1" t="s">
        <v>282</v>
      </c>
      <c r="CG4" s="1" t="s">
        <v>105</v>
      </c>
      <c r="CH4" s="1" t="s">
        <v>106</v>
      </c>
      <c r="CI4" s="1" t="s">
        <v>107</v>
      </c>
      <c r="CJ4" s="1" t="s">
        <v>108</v>
      </c>
      <c r="CK4" s="1" t="s">
        <v>235</v>
      </c>
      <c r="CO4" s="1">
        <v>241</v>
      </c>
      <c r="CP4" s="1" t="s">
        <v>310</v>
      </c>
      <c r="CQ4" s="1" t="s">
        <v>103</v>
      </c>
      <c r="CR4" s="1" t="s">
        <v>104</v>
      </c>
      <c r="CS4" s="1" t="s">
        <v>311</v>
      </c>
      <c r="CT4" s="1" t="s">
        <v>106</v>
      </c>
      <c r="CU4" s="1" t="s">
        <v>107</v>
      </c>
      <c r="CV4" s="1" t="s">
        <v>108</v>
      </c>
      <c r="CW4" s="1" t="s">
        <v>235</v>
      </c>
      <c r="DA4" s="1">
        <v>289</v>
      </c>
      <c r="DB4" s="1" t="s">
        <v>354</v>
      </c>
      <c r="DC4" s="1" t="s">
        <v>103</v>
      </c>
      <c r="DD4" s="1" t="s">
        <v>104</v>
      </c>
      <c r="DE4" s="1" t="s">
        <v>328</v>
      </c>
      <c r="DF4" s="1" t="s">
        <v>106</v>
      </c>
      <c r="DG4" s="1" t="s">
        <v>107</v>
      </c>
      <c r="DH4" s="1" t="s">
        <v>108</v>
      </c>
      <c r="DI4" s="1">
        <v>33.584000000000003</v>
      </c>
      <c r="DM4" s="1">
        <v>337</v>
      </c>
      <c r="DN4" s="1" t="s">
        <v>386</v>
      </c>
      <c r="DO4" s="1" t="s">
        <v>103</v>
      </c>
      <c r="DP4" s="1" t="s">
        <v>104</v>
      </c>
      <c r="DQ4" s="1" t="s">
        <v>332</v>
      </c>
      <c r="DR4" s="1" t="s">
        <v>106</v>
      </c>
      <c r="DS4" s="1" t="s">
        <v>107</v>
      </c>
      <c r="DT4" s="1" t="s">
        <v>108</v>
      </c>
      <c r="DU4" s="1">
        <v>23.096</v>
      </c>
    </row>
    <row r="5" spans="2:125" x14ac:dyDescent="0.25">
      <c r="B5" s="1">
        <v>1</v>
      </c>
      <c r="C5" s="1" t="s">
        <v>137</v>
      </c>
      <c r="D5" s="1" t="s">
        <v>103</v>
      </c>
      <c r="E5" s="1" t="s">
        <v>104</v>
      </c>
      <c r="F5" s="1" t="s">
        <v>105</v>
      </c>
      <c r="G5" s="1" t="s">
        <v>106</v>
      </c>
      <c r="H5" s="1" t="s">
        <v>107</v>
      </c>
      <c r="I5" s="1" t="s">
        <v>108</v>
      </c>
      <c r="J5" s="1">
        <v>21.968</v>
      </c>
      <c r="M5" s="1">
        <v>45</v>
      </c>
      <c r="N5" s="1" t="s">
        <v>153</v>
      </c>
      <c r="O5" s="1" t="s">
        <v>103</v>
      </c>
      <c r="P5" s="1" t="s">
        <v>117</v>
      </c>
      <c r="Q5" s="1" t="s">
        <v>129</v>
      </c>
      <c r="R5" s="1" t="s">
        <v>106</v>
      </c>
      <c r="S5" s="1" t="s">
        <v>107</v>
      </c>
      <c r="T5" s="1" t="s">
        <v>108</v>
      </c>
      <c r="U5" s="1">
        <v>17.760999999999999</v>
      </c>
      <c r="X5" s="1">
        <v>73</v>
      </c>
      <c r="Y5" s="1" t="s">
        <v>174</v>
      </c>
      <c r="Z5" s="1" t="s">
        <v>103</v>
      </c>
      <c r="AA5" s="1" t="s">
        <v>104</v>
      </c>
      <c r="AB5" s="1" t="s">
        <v>158</v>
      </c>
      <c r="AC5" s="1" t="s">
        <v>106</v>
      </c>
      <c r="AD5" s="1" t="s">
        <v>107</v>
      </c>
      <c r="AE5" s="1" t="s">
        <v>108</v>
      </c>
      <c r="AF5" s="1">
        <v>16.472999999999999</v>
      </c>
      <c r="AI5" s="1">
        <v>121</v>
      </c>
      <c r="AJ5" s="1" t="s">
        <v>213</v>
      </c>
      <c r="AK5" s="1" t="s">
        <v>103</v>
      </c>
      <c r="AL5" s="1" t="s">
        <v>104</v>
      </c>
      <c r="AM5" s="1" t="s">
        <v>191</v>
      </c>
      <c r="AN5" s="1" t="s">
        <v>106</v>
      </c>
      <c r="AO5" s="1" t="s">
        <v>107</v>
      </c>
      <c r="AP5" s="1" t="s">
        <v>108</v>
      </c>
      <c r="AQ5" s="1">
        <v>22.937000000000001</v>
      </c>
      <c r="AT5" s="1">
        <v>141</v>
      </c>
      <c r="AU5" s="1" t="s">
        <v>229</v>
      </c>
      <c r="AV5" s="1" t="s">
        <v>103</v>
      </c>
      <c r="AW5" s="1" t="s">
        <v>117</v>
      </c>
      <c r="AX5" s="1" t="s">
        <v>204</v>
      </c>
      <c r="AY5" s="1" t="s">
        <v>106</v>
      </c>
      <c r="AZ5" s="1" t="s">
        <v>107</v>
      </c>
      <c r="BA5" s="1" t="s">
        <v>108</v>
      </c>
      <c r="BB5" s="1">
        <v>27.617000000000001</v>
      </c>
      <c r="BE5" s="1">
        <v>169</v>
      </c>
      <c r="BF5" s="1" t="s">
        <v>252</v>
      </c>
      <c r="BG5" s="1" t="s">
        <v>103</v>
      </c>
      <c r="BH5" s="1" t="s">
        <v>104</v>
      </c>
      <c r="BI5" s="1" t="s">
        <v>234</v>
      </c>
      <c r="BJ5" s="1" t="s">
        <v>106</v>
      </c>
      <c r="BK5" s="1" t="s">
        <v>107</v>
      </c>
      <c r="BL5" s="1" t="s">
        <v>108</v>
      </c>
      <c r="BM5" s="1" t="s">
        <v>235</v>
      </c>
      <c r="BQ5" s="1">
        <v>217</v>
      </c>
      <c r="BR5" s="1" t="s">
        <v>290</v>
      </c>
      <c r="BS5" s="1" t="s">
        <v>103</v>
      </c>
      <c r="BT5" s="1" t="s">
        <v>104</v>
      </c>
      <c r="BU5" s="1" t="s">
        <v>269</v>
      </c>
      <c r="BV5" s="1" t="s">
        <v>106</v>
      </c>
      <c r="BW5" s="1" t="s">
        <v>107</v>
      </c>
      <c r="BX5" s="1" t="s">
        <v>108</v>
      </c>
      <c r="BY5" s="1">
        <v>31.613</v>
      </c>
      <c r="CC5" s="1">
        <v>237</v>
      </c>
      <c r="CD5" s="1" t="s">
        <v>306</v>
      </c>
      <c r="CE5" s="1" t="s">
        <v>103</v>
      </c>
      <c r="CF5" s="1" t="s">
        <v>282</v>
      </c>
      <c r="CG5" s="1" t="s">
        <v>191</v>
      </c>
      <c r="CH5" s="1" t="s">
        <v>106</v>
      </c>
      <c r="CI5" s="1" t="s">
        <v>107</v>
      </c>
      <c r="CJ5" s="1" t="s">
        <v>108</v>
      </c>
      <c r="CK5" s="1" t="s">
        <v>235</v>
      </c>
      <c r="CO5" s="1">
        <v>265</v>
      </c>
      <c r="CP5" s="1" t="s">
        <v>334</v>
      </c>
      <c r="CQ5" s="1" t="s">
        <v>103</v>
      </c>
      <c r="CR5" s="1" t="s">
        <v>104</v>
      </c>
      <c r="CS5" s="1" t="s">
        <v>311</v>
      </c>
      <c r="CT5" s="1" t="s">
        <v>106</v>
      </c>
      <c r="CU5" s="1" t="s">
        <v>107</v>
      </c>
      <c r="CV5" s="1" t="s">
        <v>108</v>
      </c>
      <c r="CW5" s="1">
        <v>33.639000000000003</v>
      </c>
      <c r="DA5" s="1">
        <v>313</v>
      </c>
      <c r="DB5" s="1" t="s">
        <v>370</v>
      </c>
      <c r="DC5" s="1" t="s">
        <v>103</v>
      </c>
      <c r="DD5" s="1" t="s">
        <v>104</v>
      </c>
      <c r="DE5" s="1" t="s">
        <v>328</v>
      </c>
      <c r="DF5" s="1" t="s">
        <v>106</v>
      </c>
      <c r="DG5" s="1" t="s">
        <v>107</v>
      </c>
      <c r="DH5" s="1" t="s">
        <v>108</v>
      </c>
      <c r="DI5" s="1" t="s">
        <v>235</v>
      </c>
      <c r="DM5" s="1">
        <v>361</v>
      </c>
      <c r="DN5" s="1" t="s">
        <v>398</v>
      </c>
      <c r="DO5" s="1" t="s">
        <v>103</v>
      </c>
      <c r="DP5" s="1" t="s">
        <v>104</v>
      </c>
      <c r="DQ5" s="1" t="s">
        <v>332</v>
      </c>
      <c r="DR5" s="1" t="s">
        <v>106</v>
      </c>
      <c r="DS5" s="1" t="s">
        <v>107</v>
      </c>
      <c r="DT5" s="1" t="s">
        <v>108</v>
      </c>
      <c r="DU5" s="1">
        <v>23.042999999999999</v>
      </c>
    </row>
    <row r="6" spans="2:125" x14ac:dyDescent="0.25">
      <c r="B6" s="1">
        <v>2</v>
      </c>
      <c r="C6" s="1" t="s">
        <v>112</v>
      </c>
      <c r="D6" s="1" t="s">
        <v>103</v>
      </c>
      <c r="E6" s="1" t="s">
        <v>104</v>
      </c>
      <c r="F6" s="1" t="s">
        <v>105</v>
      </c>
      <c r="G6" s="1" t="s">
        <v>106</v>
      </c>
      <c r="H6" s="1" t="s">
        <v>107</v>
      </c>
      <c r="I6" s="1" t="s">
        <v>108</v>
      </c>
      <c r="J6" s="1">
        <v>22.038</v>
      </c>
      <c r="M6" s="1">
        <v>18</v>
      </c>
      <c r="N6" s="1" t="s">
        <v>130</v>
      </c>
      <c r="O6" s="1" t="s">
        <v>103</v>
      </c>
      <c r="P6" s="1" t="s">
        <v>104</v>
      </c>
      <c r="Q6" s="1" t="s">
        <v>129</v>
      </c>
      <c r="R6" s="1" t="s">
        <v>106</v>
      </c>
      <c r="S6" s="1" t="s">
        <v>107</v>
      </c>
      <c r="T6" s="1" t="s">
        <v>108</v>
      </c>
      <c r="U6" s="1">
        <v>18.318999999999999</v>
      </c>
      <c r="X6" s="1">
        <v>50</v>
      </c>
      <c r="Y6" s="1" t="s">
        <v>159</v>
      </c>
      <c r="Z6" s="1" t="s">
        <v>103</v>
      </c>
      <c r="AA6" s="1" t="s">
        <v>104</v>
      </c>
      <c r="AB6" s="1" t="s">
        <v>158</v>
      </c>
      <c r="AC6" s="1" t="s">
        <v>106</v>
      </c>
      <c r="AD6" s="1" t="s">
        <v>107</v>
      </c>
      <c r="AE6" s="1" t="s">
        <v>108</v>
      </c>
      <c r="AF6" s="1">
        <v>16.542000000000002</v>
      </c>
      <c r="AI6" s="1">
        <v>98</v>
      </c>
      <c r="AJ6" s="1" t="s">
        <v>192</v>
      </c>
      <c r="AK6" s="1" t="s">
        <v>103</v>
      </c>
      <c r="AL6" s="1" t="s">
        <v>104</v>
      </c>
      <c r="AM6" s="1" t="s">
        <v>191</v>
      </c>
      <c r="AN6" s="1" t="s">
        <v>106</v>
      </c>
      <c r="AO6" s="1" t="s">
        <v>107</v>
      </c>
      <c r="AP6" s="1" t="s">
        <v>108</v>
      </c>
      <c r="AQ6" s="1">
        <v>22.992999999999999</v>
      </c>
      <c r="AT6" s="1">
        <v>114</v>
      </c>
      <c r="AU6" s="1" t="s">
        <v>206</v>
      </c>
      <c r="AV6" s="1" t="s">
        <v>103</v>
      </c>
      <c r="AW6" s="1" t="s">
        <v>104</v>
      </c>
      <c r="AX6" s="1" t="s">
        <v>204</v>
      </c>
      <c r="AY6" s="1" t="s">
        <v>106</v>
      </c>
      <c r="AZ6" s="1" t="s">
        <v>107</v>
      </c>
      <c r="BA6" s="1" t="s">
        <v>108</v>
      </c>
      <c r="BB6" s="1">
        <v>31.62</v>
      </c>
      <c r="BE6" s="1">
        <v>146</v>
      </c>
      <c r="BF6" s="1" t="s">
        <v>237</v>
      </c>
      <c r="BG6" s="1" t="s">
        <v>103</v>
      </c>
      <c r="BH6" s="1" t="s">
        <v>104</v>
      </c>
      <c r="BI6" s="1" t="s">
        <v>234</v>
      </c>
      <c r="BJ6" s="1" t="s">
        <v>106</v>
      </c>
      <c r="BK6" s="1" t="s">
        <v>107</v>
      </c>
      <c r="BL6" s="1" t="s">
        <v>108</v>
      </c>
      <c r="BM6" s="1" t="s">
        <v>235</v>
      </c>
      <c r="BQ6" s="1">
        <v>194</v>
      </c>
      <c r="BR6" s="1" t="s">
        <v>270</v>
      </c>
      <c r="BS6" s="1" t="s">
        <v>103</v>
      </c>
      <c r="BT6" s="1" t="s">
        <v>104</v>
      </c>
      <c r="BU6" s="1" t="s">
        <v>269</v>
      </c>
      <c r="BV6" s="1" t="s">
        <v>106</v>
      </c>
      <c r="BW6" s="1" t="s">
        <v>107</v>
      </c>
      <c r="BX6" s="1" t="s">
        <v>108</v>
      </c>
      <c r="BY6" s="1">
        <v>32.695999999999998</v>
      </c>
      <c r="CC6" s="1">
        <v>210</v>
      </c>
      <c r="CD6" s="1" t="s">
        <v>283</v>
      </c>
      <c r="CE6" s="1" t="s">
        <v>103</v>
      </c>
      <c r="CF6" s="1" t="s">
        <v>282</v>
      </c>
      <c r="CG6" s="1" t="s">
        <v>105</v>
      </c>
      <c r="CH6" s="1" t="s">
        <v>106</v>
      </c>
      <c r="CI6" s="1" t="s">
        <v>107</v>
      </c>
      <c r="CJ6" s="1" t="s">
        <v>108</v>
      </c>
      <c r="CK6" s="1" t="s">
        <v>235</v>
      </c>
      <c r="CO6" s="1">
        <v>242</v>
      </c>
      <c r="CP6" s="1" t="s">
        <v>312</v>
      </c>
      <c r="CQ6" s="1" t="s">
        <v>103</v>
      </c>
      <c r="CR6" s="1" t="s">
        <v>104</v>
      </c>
      <c r="CS6" s="1" t="s">
        <v>311</v>
      </c>
      <c r="CT6" s="1" t="s">
        <v>106</v>
      </c>
      <c r="CU6" s="1" t="s">
        <v>107</v>
      </c>
      <c r="CV6" s="1" t="s">
        <v>108</v>
      </c>
      <c r="CW6" s="1">
        <v>33.564</v>
      </c>
      <c r="DA6" s="1">
        <v>290</v>
      </c>
      <c r="DB6" s="1" t="s">
        <v>355</v>
      </c>
      <c r="DC6" s="1" t="s">
        <v>103</v>
      </c>
      <c r="DD6" s="1" t="s">
        <v>104</v>
      </c>
      <c r="DE6" s="1" t="s">
        <v>328</v>
      </c>
      <c r="DF6" s="1" t="s">
        <v>106</v>
      </c>
      <c r="DG6" s="1" t="s">
        <v>107</v>
      </c>
      <c r="DH6" s="1" t="s">
        <v>108</v>
      </c>
      <c r="DI6" s="1" t="s">
        <v>235</v>
      </c>
      <c r="DM6" s="1">
        <v>338</v>
      </c>
      <c r="DN6" s="1" t="s">
        <v>387</v>
      </c>
      <c r="DO6" s="1" t="s">
        <v>103</v>
      </c>
      <c r="DP6" s="1" t="s">
        <v>104</v>
      </c>
      <c r="DQ6" s="1" t="s">
        <v>332</v>
      </c>
      <c r="DR6" s="1" t="s">
        <v>106</v>
      </c>
      <c r="DS6" s="1" t="s">
        <v>107</v>
      </c>
      <c r="DT6" s="1" t="s">
        <v>108</v>
      </c>
      <c r="DU6" s="1">
        <v>23.064</v>
      </c>
    </row>
    <row r="7" spans="2:125" x14ac:dyDescent="0.25">
      <c r="B7" s="1">
        <v>2</v>
      </c>
      <c r="C7" s="1" t="s">
        <v>138</v>
      </c>
      <c r="D7" s="1" t="s">
        <v>103</v>
      </c>
      <c r="E7" s="1" t="s">
        <v>104</v>
      </c>
      <c r="F7" s="1" t="s">
        <v>105</v>
      </c>
      <c r="G7" s="1" t="s">
        <v>106</v>
      </c>
      <c r="H7" s="1" t="s">
        <v>107</v>
      </c>
      <c r="I7" s="1" t="s">
        <v>108</v>
      </c>
      <c r="J7" s="1">
        <v>22.009</v>
      </c>
      <c r="M7" s="1">
        <v>46</v>
      </c>
      <c r="N7" s="1" t="s">
        <v>154</v>
      </c>
      <c r="O7" s="1" t="s">
        <v>103</v>
      </c>
      <c r="P7" s="1" t="s">
        <v>117</v>
      </c>
      <c r="Q7" s="1" t="s">
        <v>129</v>
      </c>
      <c r="R7" s="1" t="s">
        <v>106</v>
      </c>
      <c r="S7" s="1" t="s">
        <v>107</v>
      </c>
      <c r="T7" s="1" t="s">
        <v>108</v>
      </c>
      <c r="U7" s="1">
        <v>17.635999999999999</v>
      </c>
      <c r="X7" s="1">
        <v>74</v>
      </c>
      <c r="Y7" s="1" t="s">
        <v>175</v>
      </c>
      <c r="Z7" s="1" t="s">
        <v>103</v>
      </c>
      <c r="AA7" s="1" t="s">
        <v>104</v>
      </c>
      <c r="AB7" s="1" t="s">
        <v>158</v>
      </c>
      <c r="AC7" s="1" t="s">
        <v>106</v>
      </c>
      <c r="AD7" s="1" t="s">
        <v>107</v>
      </c>
      <c r="AE7" s="1" t="s">
        <v>108</v>
      </c>
      <c r="AF7" s="1">
        <v>16.600999999999999</v>
      </c>
      <c r="AI7" s="1">
        <v>122</v>
      </c>
      <c r="AJ7" s="1" t="s">
        <v>214</v>
      </c>
      <c r="AK7" s="1" t="s">
        <v>103</v>
      </c>
      <c r="AL7" s="1" t="s">
        <v>104</v>
      </c>
      <c r="AM7" s="1" t="s">
        <v>191</v>
      </c>
      <c r="AN7" s="1" t="s">
        <v>106</v>
      </c>
      <c r="AO7" s="1" t="s">
        <v>107</v>
      </c>
      <c r="AP7" s="1" t="s">
        <v>108</v>
      </c>
      <c r="AQ7" s="1">
        <v>22.966999999999999</v>
      </c>
      <c r="AT7" s="1">
        <v>142</v>
      </c>
      <c r="AU7" s="1" t="s">
        <v>230</v>
      </c>
      <c r="AV7" s="1" t="s">
        <v>103</v>
      </c>
      <c r="AW7" s="1" t="s">
        <v>117</v>
      </c>
      <c r="AX7" s="1" t="s">
        <v>204</v>
      </c>
      <c r="AY7" s="1" t="s">
        <v>106</v>
      </c>
      <c r="AZ7" s="1" t="s">
        <v>107</v>
      </c>
      <c r="BA7" s="1" t="s">
        <v>108</v>
      </c>
      <c r="BB7" s="1">
        <v>28.042000000000002</v>
      </c>
      <c r="BE7" s="1">
        <v>170</v>
      </c>
      <c r="BF7" s="1" t="s">
        <v>253</v>
      </c>
      <c r="BG7" s="1" t="s">
        <v>103</v>
      </c>
      <c r="BH7" s="1" t="s">
        <v>104</v>
      </c>
      <c r="BI7" s="1" t="s">
        <v>234</v>
      </c>
      <c r="BJ7" s="1" t="s">
        <v>106</v>
      </c>
      <c r="BK7" s="1" t="s">
        <v>107</v>
      </c>
      <c r="BL7" s="1" t="s">
        <v>108</v>
      </c>
      <c r="BM7" s="1" t="s">
        <v>235</v>
      </c>
      <c r="BQ7" s="1">
        <v>218</v>
      </c>
      <c r="BR7" s="1" t="s">
        <v>291</v>
      </c>
      <c r="BS7" s="1" t="s">
        <v>103</v>
      </c>
      <c r="BT7" s="1" t="s">
        <v>104</v>
      </c>
      <c r="BU7" s="1" t="s">
        <v>269</v>
      </c>
      <c r="BV7" s="1" t="s">
        <v>106</v>
      </c>
      <c r="BW7" s="1" t="s">
        <v>107</v>
      </c>
      <c r="BX7" s="1" t="s">
        <v>108</v>
      </c>
      <c r="BY7" s="1">
        <v>32.716999999999999</v>
      </c>
      <c r="CC7" s="1">
        <v>238</v>
      </c>
      <c r="CD7" s="1" t="s">
        <v>307</v>
      </c>
      <c r="CE7" s="1" t="s">
        <v>103</v>
      </c>
      <c r="CF7" s="1" t="s">
        <v>282</v>
      </c>
      <c r="CG7" s="1" t="s">
        <v>191</v>
      </c>
      <c r="CH7" s="1" t="s">
        <v>106</v>
      </c>
      <c r="CI7" s="1" t="s">
        <v>107</v>
      </c>
      <c r="CJ7" s="1" t="s">
        <v>108</v>
      </c>
      <c r="CK7" s="1" t="s">
        <v>235</v>
      </c>
      <c r="CO7" s="1">
        <v>266</v>
      </c>
      <c r="CP7" s="1" t="s">
        <v>335</v>
      </c>
      <c r="CQ7" s="1" t="s">
        <v>103</v>
      </c>
      <c r="CR7" s="1" t="s">
        <v>104</v>
      </c>
      <c r="CS7" s="1" t="s">
        <v>311</v>
      </c>
      <c r="CT7" s="1" t="s">
        <v>106</v>
      </c>
      <c r="CU7" s="1" t="s">
        <v>107</v>
      </c>
      <c r="CV7" s="1" t="s">
        <v>108</v>
      </c>
      <c r="CW7" s="1" t="s">
        <v>235</v>
      </c>
      <c r="DA7" s="1">
        <v>314</v>
      </c>
      <c r="DB7" s="1" t="s">
        <v>371</v>
      </c>
      <c r="DC7" s="1" t="s">
        <v>103</v>
      </c>
      <c r="DD7" s="1" t="s">
        <v>104</v>
      </c>
      <c r="DE7" s="1" t="s">
        <v>328</v>
      </c>
      <c r="DF7" s="1" t="s">
        <v>106</v>
      </c>
      <c r="DG7" s="1" t="s">
        <v>107</v>
      </c>
      <c r="DH7" s="1" t="s">
        <v>108</v>
      </c>
      <c r="DI7" s="1" t="s">
        <v>235</v>
      </c>
      <c r="DM7" s="1">
        <v>362</v>
      </c>
      <c r="DN7" s="1" t="s">
        <v>399</v>
      </c>
      <c r="DO7" s="1" t="s">
        <v>103</v>
      </c>
      <c r="DP7" s="1" t="s">
        <v>104</v>
      </c>
      <c r="DQ7" s="1" t="s">
        <v>332</v>
      </c>
      <c r="DR7" s="1" t="s">
        <v>106</v>
      </c>
      <c r="DS7" s="1" t="s">
        <v>107</v>
      </c>
      <c r="DT7" s="1" t="s">
        <v>108</v>
      </c>
      <c r="DU7" s="1">
        <v>23.084</v>
      </c>
    </row>
    <row r="8" spans="2:125" x14ac:dyDescent="0.25">
      <c r="B8" s="1">
        <v>3</v>
      </c>
      <c r="C8" s="1" t="s">
        <v>113</v>
      </c>
      <c r="D8" s="1" t="s">
        <v>103</v>
      </c>
      <c r="E8" s="1" t="s">
        <v>114</v>
      </c>
      <c r="F8" s="1" t="s">
        <v>105</v>
      </c>
      <c r="G8" s="1" t="s">
        <v>106</v>
      </c>
      <c r="H8" s="1" t="s">
        <v>107</v>
      </c>
      <c r="I8" s="1" t="s">
        <v>108</v>
      </c>
      <c r="J8" s="1">
        <v>21.664999999999999</v>
      </c>
      <c r="M8" s="1">
        <v>19</v>
      </c>
      <c r="N8" s="1" t="s">
        <v>131</v>
      </c>
      <c r="O8" s="1" t="s">
        <v>103</v>
      </c>
      <c r="P8" s="1" t="s">
        <v>114</v>
      </c>
      <c r="Q8" s="1" t="s">
        <v>129</v>
      </c>
      <c r="R8" s="1" t="s">
        <v>106</v>
      </c>
      <c r="S8" s="1" t="s">
        <v>107</v>
      </c>
      <c r="T8" s="1" t="s">
        <v>108</v>
      </c>
      <c r="U8" s="1">
        <v>18.141999999999999</v>
      </c>
      <c r="X8" s="1">
        <v>51</v>
      </c>
      <c r="Y8" s="1" t="s">
        <v>160</v>
      </c>
      <c r="Z8" s="1" t="s">
        <v>103</v>
      </c>
      <c r="AA8" s="1" t="s">
        <v>114</v>
      </c>
      <c r="AB8" s="1" t="s">
        <v>158</v>
      </c>
      <c r="AC8" s="1" t="s">
        <v>106</v>
      </c>
      <c r="AD8" s="1" t="s">
        <v>107</v>
      </c>
      <c r="AE8" s="1" t="s">
        <v>108</v>
      </c>
      <c r="AF8" s="1">
        <v>16.225000000000001</v>
      </c>
      <c r="AI8" s="1">
        <v>99</v>
      </c>
      <c r="AJ8" s="1" t="s">
        <v>193</v>
      </c>
      <c r="AK8" s="1" t="s">
        <v>103</v>
      </c>
      <c r="AL8" s="1" t="s">
        <v>114</v>
      </c>
      <c r="AM8" s="1" t="s">
        <v>191</v>
      </c>
      <c r="AN8" s="1" t="s">
        <v>106</v>
      </c>
      <c r="AO8" s="1" t="s">
        <v>107</v>
      </c>
      <c r="AP8" s="1" t="s">
        <v>108</v>
      </c>
      <c r="AQ8" s="1">
        <v>22.687000000000001</v>
      </c>
      <c r="AT8" s="1">
        <v>115</v>
      </c>
      <c r="AU8" s="1" t="s">
        <v>207</v>
      </c>
      <c r="AV8" s="1" t="s">
        <v>103</v>
      </c>
      <c r="AW8" s="1" t="s">
        <v>114</v>
      </c>
      <c r="AX8" s="1" t="s">
        <v>204</v>
      </c>
      <c r="AY8" s="1" t="s">
        <v>106</v>
      </c>
      <c r="AZ8" s="1" t="s">
        <v>107</v>
      </c>
      <c r="BA8" s="1" t="s">
        <v>108</v>
      </c>
      <c r="BB8" s="1">
        <v>30.327000000000002</v>
      </c>
      <c r="BE8" s="1">
        <v>147</v>
      </c>
      <c r="BF8" s="1" t="s">
        <v>238</v>
      </c>
      <c r="BG8" s="1" t="s">
        <v>103</v>
      </c>
      <c r="BH8" s="1" t="s">
        <v>114</v>
      </c>
      <c r="BI8" s="1" t="s">
        <v>234</v>
      </c>
      <c r="BJ8" s="1" t="s">
        <v>106</v>
      </c>
      <c r="BK8" s="1" t="s">
        <v>107</v>
      </c>
      <c r="BL8" s="1" t="s">
        <v>108</v>
      </c>
      <c r="BM8" s="1" t="s">
        <v>235</v>
      </c>
      <c r="BQ8" s="1">
        <v>195</v>
      </c>
      <c r="BR8" s="1" t="s">
        <v>271</v>
      </c>
      <c r="BS8" s="1" t="s">
        <v>103</v>
      </c>
      <c r="BT8" s="1" t="s">
        <v>114</v>
      </c>
      <c r="BU8" s="1" t="s">
        <v>269</v>
      </c>
      <c r="BV8" s="1" t="s">
        <v>106</v>
      </c>
      <c r="BW8" s="1" t="s">
        <v>107</v>
      </c>
      <c r="BX8" s="1" t="s">
        <v>108</v>
      </c>
      <c r="BY8" s="1">
        <v>32.316000000000003</v>
      </c>
      <c r="CC8" s="1">
        <v>211</v>
      </c>
      <c r="CD8" s="1" t="s">
        <v>284</v>
      </c>
      <c r="CE8" s="1" t="s">
        <v>103</v>
      </c>
      <c r="CF8" s="1" t="s">
        <v>282</v>
      </c>
      <c r="CG8" s="1" t="s">
        <v>158</v>
      </c>
      <c r="CH8" s="1" t="s">
        <v>106</v>
      </c>
      <c r="CI8" s="1" t="s">
        <v>107</v>
      </c>
      <c r="CJ8" s="1" t="s">
        <v>108</v>
      </c>
      <c r="CK8" s="1">
        <v>35.116</v>
      </c>
      <c r="CO8" s="1">
        <v>243</v>
      </c>
      <c r="CP8" s="1" t="s">
        <v>313</v>
      </c>
      <c r="CQ8" s="1" t="s">
        <v>103</v>
      </c>
      <c r="CR8" s="1" t="s">
        <v>114</v>
      </c>
      <c r="CS8" s="1" t="s">
        <v>311</v>
      </c>
      <c r="CT8" s="1" t="s">
        <v>106</v>
      </c>
      <c r="CU8" s="1" t="s">
        <v>107</v>
      </c>
      <c r="CV8" s="1" t="s">
        <v>108</v>
      </c>
      <c r="CW8" s="1">
        <v>32.262999999999998</v>
      </c>
      <c r="DA8" s="1">
        <v>291</v>
      </c>
      <c r="DB8" s="1" t="s">
        <v>356</v>
      </c>
      <c r="DC8" s="1" t="s">
        <v>103</v>
      </c>
      <c r="DD8" s="1" t="s">
        <v>114</v>
      </c>
      <c r="DE8" s="1" t="s">
        <v>328</v>
      </c>
      <c r="DF8" s="1" t="s">
        <v>106</v>
      </c>
      <c r="DG8" s="1" t="s">
        <v>107</v>
      </c>
      <c r="DH8" s="1" t="s">
        <v>108</v>
      </c>
      <c r="DI8" s="1">
        <v>33.777999999999999</v>
      </c>
      <c r="DM8" s="1">
        <v>339</v>
      </c>
      <c r="DN8" s="1" t="s">
        <v>388</v>
      </c>
      <c r="DO8" s="1" t="s">
        <v>103</v>
      </c>
      <c r="DP8" s="1" t="s">
        <v>114</v>
      </c>
      <c r="DQ8" s="1" t="s">
        <v>332</v>
      </c>
      <c r="DR8" s="1" t="s">
        <v>106</v>
      </c>
      <c r="DS8" s="1" t="s">
        <v>107</v>
      </c>
      <c r="DT8" s="1" t="s">
        <v>108</v>
      </c>
      <c r="DU8" s="1">
        <v>22.887</v>
      </c>
    </row>
    <row r="9" spans="2:125" x14ac:dyDescent="0.25">
      <c r="B9" s="1">
        <v>3</v>
      </c>
      <c r="C9" s="1" t="s">
        <v>139</v>
      </c>
      <c r="D9" s="1" t="s">
        <v>103</v>
      </c>
      <c r="E9" s="1" t="s">
        <v>114</v>
      </c>
      <c r="F9" s="1" t="s">
        <v>105</v>
      </c>
      <c r="G9" s="1" t="s">
        <v>106</v>
      </c>
      <c r="H9" s="1" t="s">
        <v>107</v>
      </c>
      <c r="I9" s="1" t="s">
        <v>108</v>
      </c>
      <c r="J9" s="1">
        <v>21.702999999999999</v>
      </c>
      <c r="M9" s="1">
        <v>47</v>
      </c>
      <c r="N9" s="1" t="s">
        <v>155</v>
      </c>
      <c r="O9" s="1" t="s">
        <v>103</v>
      </c>
      <c r="P9" s="1" t="s">
        <v>120</v>
      </c>
      <c r="Q9" s="1" t="s">
        <v>129</v>
      </c>
      <c r="R9" s="1" t="s">
        <v>106</v>
      </c>
      <c r="S9" s="1" t="s">
        <v>107</v>
      </c>
      <c r="T9" s="1" t="s">
        <v>108</v>
      </c>
      <c r="U9" s="1">
        <v>17.535</v>
      </c>
      <c r="X9" s="1">
        <v>75</v>
      </c>
      <c r="Y9" s="1" t="s">
        <v>176</v>
      </c>
      <c r="Z9" s="1" t="s">
        <v>103</v>
      </c>
      <c r="AA9" s="1" t="s">
        <v>114</v>
      </c>
      <c r="AB9" s="1" t="s">
        <v>158</v>
      </c>
      <c r="AC9" s="1" t="s">
        <v>106</v>
      </c>
      <c r="AD9" s="1" t="s">
        <v>107</v>
      </c>
      <c r="AE9" s="1" t="s">
        <v>108</v>
      </c>
      <c r="AF9" s="1">
        <v>16.353999999999999</v>
      </c>
      <c r="AI9" s="1">
        <v>123</v>
      </c>
      <c r="AJ9" s="1" t="s">
        <v>215</v>
      </c>
      <c r="AK9" s="1" t="s">
        <v>103</v>
      </c>
      <c r="AL9" s="1" t="s">
        <v>114</v>
      </c>
      <c r="AM9" s="1" t="s">
        <v>191</v>
      </c>
      <c r="AN9" s="1" t="s">
        <v>106</v>
      </c>
      <c r="AO9" s="1" t="s">
        <v>107</v>
      </c>
      <c r="AP9" s="1" t="s">
        <v>108</v>
      </c>
      <c r="AQ9" s="1">
        <v>22.853000000000002</v>
      </c>
      <c r="AT9" s="1">
        <v>143</v>
      </c>
      <c r="AU9" s="1" t="s">
        <v>231</v>
      </c>
      <c r="AV9" s="1" t="s">
        <v>103</v>
      </c>
      <c r="AW9" s="1" t="s">
        <v>120</v>
      </c>
      <c r="AX9" s="1" t="s">
        <v>204</v>
      </c>
      <c r="AY9" s="1" t="s">
        <v>106</v>
      </c>
      <c r="AZ9" s="1" t="s">
        <v>107</v>
      </c>
      <c r="BA9" s="1" t="s">
        <v>108</v>
      </c>
      <c r="BB9" s="1">
        <v>27.719000000000001</v>
      </c>
      <c r="BE9" s="1">
        <v>171</v>
      </c>
      <c r="BF9" s="1" t="s">
        <v>254</v>
      </c>
      <c r="BG9" s="1" t="s">
        <v>103</v>
      </c>
      <c r="BH9" s="1" t="s">
        <v>114</v>
      </c>
      <c r="BI9" s="1" t="s">
        <v>234</v>
      </c>
      <c r="BJ9" s="1" t="s">
        <v>106</v>
      </c>
      <c r="BK9" s="1" t="s">
        <v>107</v>
      </c>
      <c r="BL9" s="1" t="s">
        <v>108</v>
      </c>
      <c r="BM9" s="1" t="s">
        <v>235</v>
      </c>
      <c r="BQ9" s="1">
        <v>219</v>
      </c>
      <c r="BR9" s="1" t="s">
        <v>292</v>
      </c>
      <c r="BS9" s="1" t="s">
        <v>103</v>
      </c>
      <c r="BT9" s="1" t="s">
        <v>114</v>
      </c>
      <c r="BU9" s="1" t="s">
        <v>269</v>
      </c>
      <c r="BV9" s="1" t="s">
        <v>106</v>
      </c>
      <c r="BW9" s="1" t="s">
        <v>107</v>
      </c>
      <c r="BX9" s="1" t="s">
        <v>108</v>
      </c>
      <c r="BY9" s="1">
        <v>31.529</v>
      </c>
      <c r="CC9" s="1">
        <v>239</v>
      </c>
      <c r="CD9" s="1" t="s">
        <v>308</v>
      </c>
      <c r="CE9" s="1" t="s">
        <v>103</v>
      </c>
      <c r="CF9" s="1" t="s">
        <v>282</v>
      </c>
      <c r="CG9" s="1" t="s">
        <v>234</v>
      </c>
      <c r="CH9" s="1" t="s">
        <v>106</v>
      </c>
      <c r="CI9" s="1" t="s">
        <v>107</v>
      </c>
      <c r="CJ9" s="1" t="s">
        <v>108</v>
      </c>
      <c r="CK9" s="1">
        <v>20.937000000000001</v>
      </c>
      <c r="CO9" s="1">
        <v>267</v>
      </c>
      <c r="CP9" s="1" t="s">
        <v>336</v>
      </c>
      <c r="CQ9" s="1" t="s">
        <v>103</v>
      </c>
      <c r="CR9" s="1" t="s">
        <v>114</v>
      </c>
      <c r="CS9" s="1" t="s">
        <v>311</v>
      </c>
      <c r="CT9" s="1" t="s">
        <v>106</v>
      </c>
      <c r="CU9" s="1" t="s">
        <v>107</v>
      </c>
      <c r="CV9" s="1" t="s">
        <v>108</v>
      </c>
      <c r="CW9" s="1" t="s">
        <v>235</v>
      </c>
      <c r="DA9" s="1">
        <v>315</v>
      </c>
      <c r="DB9" s="1" t="s">
        <v>372</v>
      </c>
      <c r="DC9" s="1" t="s">
        <v>103</v>
      </c>
      <c r="DD9" s="1" t="s">
        <v>114</v>
      </c>
      <c r="DE9" s="1" t="s">
        <v>328</v>
      </c>
      <c r="DF9" s="1" t="s">
        <v>106</v>
      </c>
      <c r="DG9" s="1" t="s">
        <v>107</v>
      </c>
      <c r="DH9" s="1" t="s">
        <v>108</v>
      </c>
      <c r="DI9" s="1">
        <v>33.570999999999998</v>
      </c>
      <c r="DM9" s="1">
        <v>363</v>
      </c>
      <c r="DN9" s="1" t="s">
        <v>400</v>
      </c>
      <c r="DO9" s="1" t="s">
        <v>103</v>
      </c>
      <c r="DP9" s="1" t="s">
        <v>114</v>
      </c>
      <c r="DQ9" s="1" t="s">
        <v>332</v>
      </c>
      <c r="DR9" s="1" t="s">
        <v>106</v>
      </c>
      <c r="DS9" s="1" t="s">
        <v>107</v>
      </c>
      <c r="DT9" s="1" t="s">
        <v>108</v>
      </c>
      <c r="DU9" s="1">
        <v>22.777999999999999</v>
      </c>
    </row>
    <row r="10" spans="2:125" x14ac:dyDescent="0.25">
      <c r="B10" s="1">
        <v>4</v>
      </c>
      <c r="C10" s="1" t="s">
        <v>115</v>
      </c>
      <c r="D10" s="1" t="s">
        <v>103</v>
      </c>
      <c r="E10" s="1" t="s">
        <v>114</v>
      </c>
      <c r="F10" s="1" t="s">
        <v>105</v>
      </c>
      <c r="G10" s="1" t="s">
        <v>106</v>
      </c>
      <c r="H10" s="1" t="s">
        <v>107</v>
      </c>
      <c r="I10" s="1" t="s">
        <v>108</v>
      </c>
      <c r="J10" s="1">
        <v>21.715</v>
      </c>
      <c r="M10" s="1">
        <v>20</v>
      </c>
      <c r="N10" s="1" t="s">
        <v>132</v>
      </c>
      <c r="O10" s="1" t="s">
        <v>103</v>
      </c>
      <c r="P10" s="1" t="s">
        <v>114</v>
      </c>
      <c r="Q10" s="1" t="s">
        <v>129</v>
      </c>
      <c r="R10" s="1" t="s">
        <v>106</v>
      </c>
      <c r="S10" s="1" t="s">
        <v>107</v>
      </c>
      <c r="T10" s="1" t="s">
        <v>108</v>
      </c>
      <c r="U10" s="1">
        <v>18.117000000000001</v>
      </c>
      <c r="X10" s="1">
        <v>52</v>
      </c>
      <c r="Y10" s="1" t="s">
        <v>161</v>
      </c>
      <c r="Z10" s="1" t="s">
        <v>103</v>
      </c>
      <c r="AA10" s="1" t="s">
        <v>114</v>
      </c>
      <c r="AB10" s="1" t="s">
        <v>158</v>
      </c>
      <c r="AC10" s="1" t="s">
        <v>106</v>
      </c>
      <c r="AD10" s="1" t="s">
        <v>107</v>
      </c>
      <c r="AE10" s="1" t="s">
        <v>108</v>
      </c>
      <c r="AF10" s="1">
        <v>16.286999999999999</v>
      </c>
      <c r="AI10" s="1">
        <v>100</v>
      </c>
      <c r="AJ10" s="1" t="s">
        <v>194</v>
      </c>
      <c r="AK10" s="1" t="s">
        <v>103</v>
      </c>
      <c r="AL10" s="1" t="s">
        <v>114</v>
      </c>
      <c r="AM10" s="1" t="s">
        <v>191</v>
      </c>
      <c r="AN10" s="1" t="s">
        <v>106</v>
      </c>
      <c r="AO10" s="1" t="s">
        <v>107</v>
      </c>
      <c r="AP10" s="1" t="s">
        <v>108</v>
      </c>
      <c r="AQ10" s="1">
        <v>22.824000000000002</v>
      </c>
      <c r="AT10" s="1">
        <v>116</v>
      </c>
      <c r="AU10" s="1" t="s">
        <v>208</v>
      </c>
      <c r="AV10" s="1" t="s">
        <v>103</v>
      </c>
      <c r="AW10" s="1" t="s">
        <v>114</v>
      </c>
      <c r="AX10" s="1" t="s">
        <v>204</v>
      </c>
      <c r="AY10" s="1" t="s">
        <v>106</v>
      </c>
      <c r="AZ10" s="1" t="s">
        <v>107</v>
      </c>
      <c r="BA10" s="1" t="s">
        <v>108</v>
      </c>
      <c r="BB10" s="1">
        <v>30.936</v>
      </c>
      <c r="BE10" s="1">
        <v>148</v>
      </c>
      <c r="BF10" s="1" t="s">
        <v>239</v>
      </c>
      <c r="BG10" s="1" t="s">
        <v>103</v>
      </c>
      <c r="BH10" s="1" t="s">
        <v>114</v>
      </c>
      <c r="BI10" s="1" t="s">
        <v>234</v>
      </c>
      <c r="BJ10" s="1" t="s">
        <v>106</v>
      </c>
      <c r="BK10" s="1" t="s">
        <v>107</v>
      </c>
      <c r="BL10" s="1" t="s">
        <v>108</v>
      </c>
      <c r="BM10" s="1" t="s">
        <v>235</v>
      </c>
      <c r="BQ10" s="1">
        <v>196</v>
      </c>
      <c r="BR10" s="1" t="s">
        <v>272</v>
      </c>
      <c r="BS10" s="1" t="s">
        <v>103</v>
      </c>
      <c r="BT10" s="1" t="s">
        <v>114</v>
      </c>
      <c r="BU10" s="1" t="s">
        <v>269</v>
      </c>
      <c r="BV10" s="1" t="s">
        <v>106</v>
      </c>
      <c r="BW10" s="1" t="s">
        <v>107</v>
      </c>
      <c r="BX10" s="1" t="s">
        <v>108</v>
      </c>
      <c r="BY10" s="1">
        <v>31.62</v>
      </c>
      <c r="CC10" s="1">
        <v>212</v>
      </c>
      <c r="CD10" s="1" t="s">
        <v>285</v>
      </c>
      <c r="CE10" s="1" t="s">
        <v>103</v>
      </c>
      <c r="CF10" s="1" t="s">
        <v>282</v>
      </c>
      <c r="CG10" s="1" t="s">
        <v>158</v>
      </c>
      <c r="CH10" s="1" t="s">
        <v>106</v>
      </c>
      <c r="CI10" s="1" t="s">
        <v>107</v>
      </c>
      <c r="CJ10" s="1" t="s">
        <v>108</v>
      </c>
      <c r="CK10" s="1" t="s">
        <v>235</v>
      </c>
      <c r="CO10" s="1">
        <v>244</v>
      </c>
      <c r="CP10" s="1" t="s">
        <v>314</v>
      </c>
      <c r="CQ10" s="1" t="s">
        <v>103</v>
      </c>
      <c r="CR10" s="1" t="s">
        <v>114</v>
      </c>
      <c r="CS10" s="1" t="s">
        <v>311</v>
      </c>
      <c r="CT10" s="1" t="s">
        <v>106</v>
      </c>
      <c r="CU10" s="1" t="s">
        <v>107</v>
      </c>
      <c r="CV10" s="1" t="s">
        <v>108</v>
      </c>
      <c r="CW10" s="1">
        <v>32.465000000000003</v>
      </c>
      <c r="DA10" s="1">
        <v>292</v>
      </c>
      <c r="DB10" s="1" t="s">
        <v>357</v>
      </c>
      <c r="DC10" s="1" t="s">
        <v>103</v>
      </c>
      <c r="DD10" s="1" t="s">
        <v>114</v>
      </c>
      <c r="DE10" s="1" t="s">
        <v>328</v>
      </c>
      <c r="DF10" s="1" t="s">
        <v>106</v>
      </c>
      <c r="DG10" s="1" t="s">
        <v>107</v>
      </c>
      <c r="DH10" s="1" t="s">
        <v>108</v>
      </c>
      <c r="DI10" s="1">
        <v>33.738</v>
      </c>
      <c r="DM10" s="1">
        <v>340</v>
      </c>
      <c r="DN10" s="1" t="s">
        <v>389</v>
      </c>
      <c r="DO10" s="1" t="s">
        <v>103</v>
      </c>
      <c r="DP10" s="1" t="s">
        <v>114</v>
      </c>
      <c r="DQ10" s="1" t="s">
        <v>332</v>
      </c>
      <c r="DR10" s="1" t="s">
        <v>106</v>
      </c>
      <c r="DS10" s="1" t="s">
        <v>107</v>
      </c>
      <c r="DT10" s="1" t="s">
        <v>108</v>
      </c>
      <c r="DU10" s="1">
        <v>22.84</v>
      </c>
    </row>
    <row r="11" spans="2:125" x14ac:dyDescent="0.25">
      <c r="B11" s="1">
        <v>4</v>
      </c>
      <c r="C11" s="1" t="s">
        <v>140</v>
      </c>
      <c r="D11" s="1" t="s">
        <v>103</v>
      </c>
      <c r="E11" s="1" t="s">
        <v>114</v>
      </c>
      <c r="F11" s="1" t="s">
        <v>105</v>
      </c>
      <c r="G11" s="1" t="s">
        <v>106</v>
      </c>
      <c r="H11" s="1" t="s">
        <v>107</v>
      </c>
      <c r="I11" s="1" t="s">
        <v>108</v>
      </c>
      <c r="J11" s="1">
        <v>21.645</v>
      </c>
      <c r="M11" s="1">
        <v>48</v>
      </c>
      <c r="N11" s="1" t="s">
        <v>156</v>
      </c>
      <c r="O11" s="1" t="s">
        <v>103</v>
      </c>
      <c r="P11" s="1" t="s">
        <v>120</v>
      </c>
      <c r="Q11" s="1" t="s">
        <v>129</v>
      </c>
      <c r="R11" s="1" t="s">
        <v>106</v>
      </c>
      <c r="S11" s="1" t="s">
        <v>107</v>
      </c>
      <c r="T11" s="1" t="s">
        <v>108</v>
      </c>
      <c r="U11" s="1">
        <v>17.716999999999999</v>
      </c>
      <c r="X11" s="1">
        <v>76</v>
      </c>
      <c r="Y11" s="1" t="s">
        <v>177</v>
      </c>
      <c r="Z11" s="1" t="s">
        <v>103</v>
      </c>
      <c r="AA11" s="1" t="s">
        <v>114</v>
      </c>
      <c r="AB11" s="1" t="s">
        <v>158</v>
      </c>
      <c r="AC11" s="1" t="s">
        <v>106</v>
      </c>
      <c r="AD11" s="1" t="s">
        <v>107</v>
      </c>
      <c r="AE11" s="1" t="s">
        <v>108</v>
      </c>
      <c r="AF11" s="1">
        <v>16.388000000000002</v>
      </c>
      <c r="AI11" s="1">
        <v>124</v>
      </c>
      <c r="AJ11" s="1" t="s">
        <v>216</v>
      </c>
      <c r="AK11" s="1" t="s">
        <v>103</v>
      </c>
      <c r="AL11" s="1" t="s">
        <v>114</v>
      </c>
      <c r="AM11" s="1" t="s">
        <v>191</v>
      </c>
      <c r="AN11" s="1" t="s">
        <v>106</v>
      </c>
      <c r="AO11" s="1" t="s">
        <v>107</v>
      </c>
      <c r="AP11" s="1" t="s">
        <v>108</v>
      </c>
      <c r="AQ11" s="1">
        <v>22.715</v>
      </c>
      <c r="AT11" s="1">
        <v>144</v>
      </c>
      <c r="AU11" s="1" t="s">
        <v>232</v>
      </c>
      <c r="AV11" s="1" t="s">
        <v>103</v>
      </c>
      <c r="AW11" s="1" t="s">
        <v>120</v>
      </c>
      <c r="AX11" s="1" t="s">
        <v>204</v>
      </c>
      <c r="AY11" s="1" t="s">
        <v>106</v>
      </c>
      <c r="AZ11" s="1" t="s">
        <v>107</v>
      </c>
      <c r="BA11" s="1" t="s">
        <v>108</v>
      </c>
      <c r="BB11" s="1">
        <v>27.62</v>
      </c>
      <c r="BE11" s="1">
        <v>172</v>
      </c>
      <c r="BF11" s="1" t="s">
        <v>255</v>
      </c>
      <c r="BG11" s="1" t="s">
        <v>103</v>
      </c>
      <c r="BH11" s="1" t="s">
        <v>114</v>
      </c>
      <c r="BI11" s="1" t="s">
        <v>234</v>
      </c>
      <c r="BJ11" s="1" t="s">
        <v>106</v>
      </c>
      <c r="BK11" s="1" t="s">
        <v>107</v>
      </c>
      <c r="BL11" s="1" t="s">
        <v>108</v>
      </c>
      <c r="BM11" s="1" t="s">
        <v>235</v>
      </c>
      <c r="BQ11" s="1">
        <v>220</v>
      </c>
      <c r="BR11" s="1" t="s">
        <v>293</v>
      </c>
      <c r="BS11" s="1" t="s">
        <v>103</v>
      </c>
      <c r="BT11" s="1" t="s">
        <v>114</v>
      </c>
      <c r="BU11" s="1" t="s">
        <v>269</v>
      </c>
      <c r="BV11" s="1" t="s">
        <v>106</v>
      </c>
      <c r="BW11" s="1" t="s">
        <v>107</v>
      </c>
      <c r="BX11" s="1" t="s">
        <v>108</v>
      </c>
      <c r="BY11" s="1">
        <v>32.494</v>
      </c>
      <c r="CC11" s="1">
        <v>240</v>
      </c>
      <c r="CD11" s="1" t="s">
        <v>309</v>
      </c>
      <c r="CE11" s="1" t="s">
        <v>103</v>
      </c>
      <c r="CF11" s="1" t="s">
        <v>282</v>
      </c>
      <c r="CG11" s="1" t="s">
        <v>234</v>
      </c>
      <c r="CH11" s="1" t="s">
        <v>106</v>
      </c>
      <c r="CI11" s="1" t="s">
        <v>107</v>
      </c>
      <c r="CJ11" s="1" t="s">
        <v>108</v>
      </c>
      <c r="CK11" s="1">
        <v>36.341999999999999</v>
      </c>
      <c r="CO11" s="1">
        <v>268</v>
      </c>
      <c r="CP11" s="1" t="s">
        <v>337</v>
      </c>
      <c r="CQ11" s="1" t="s">
        <v>103</v>
      </c>
      <c r="CR11" s="1" t="s">
        <v>114</v>
      </c>
      <c r="CS11" s="1" t="s">
        <v>311</v>
      </c>
      <c r="CT11" s="1" t="s">
        <v>106</v>
      </c>
      <c r="CU11" s="1" t="s">
        <v>107</v>
      </c>
      <c r="CV11" s="1" t="s">
        <v>108</v>
      </c>
      <c r="CW11" s="1" t="s">
        <v>235</v>
      </c>
      <c r="DA11" s="1">
        <v>316</v>
      </c>
      <c r="DB11" s="1" t="s">
        <v>373</v>
      </c>
      <c r="DC11" s="1" t="s">
        <v>103</v>
      </c>
      <c r="DD11" s="1" t="s">
        <v>114</v>
      </c>
      <c r="DE11" s="1" t="s">
        <v>328</v>
      </c>
      <c r="DF11" s="1" t="s">
        <v>106</v>
      </c>
      <c r="DG11" s="1" t="s">
        <v>107</v>
      </c>
      <c r="DH11" s="1" t="s">
        <v>108</v>
      </c>
      <c r="DI11" s="1" t="s">
        <v>235</v>
      </c>
      <c r="DM11" s="1">
        <v>364</v>
      </c>
      <c r="DN11" s="1" t="s">
        <v>401</v>
      </c>
      <c r="DO11" s="1" t="s">
        <v>103</v>
      </c>
      <c r="DP11" s="1" t="s">
        <v>114</v>
      </c>
      <c r="DQ11" s="1" t="s">
        <v>332</v>
      </c>
      <c r="DR11" s="1" t="s">
        <v>106</v>
      </c>
      <c r="DS11" s="1" t="s">
        <v>107</v>
      </c>
      <c r="DT11" s="1" t="s">
        <v>108</v>
      </c>
      <c r="DU11" s="1">
        <v>22.766999999999999</v>
      </c>
    </row>
    <row r="12" spans="2:125" x14ac:dyDescent="0.25">
      <c r="B12" s="1">
        <v>5</v>
      </c>
      <c r="C12" s="1" t="s">
        <v>116</v>
      </c>
      <c r="D12" s="1" t="s">
        <v>103</v>
      </c>
      <c r="E12" s="1" t="s">
        <v>117</v>
      </c>
      <c r="F12" s="1" t="s">
        <v>105</v>
      </c>
      <c r="G12" s="1" t="s">
        <v>106</v>
      </c>
      <c r="H12" s="1" t="s">
        <v>107</v>
      </c>
      <c r="I12" s="1" t="s">
        <v>108</v>
      </c>
      <c r="J12" s="1">
        <v>23.535</v>
      </c>
      <c r="M12" s="1">
        <v>21</v>
      </c>
      <c r="N12" s="1" t="s">
        <v>133</v>
      </c>
      <c r="O12" s="1" t="s">
        <v>103</v>
      </c>
      <c r="P12" s="1" t="s">
        <v>117</v>
      </c>
      <c r="Q12" s="1" t="s">
        <v>129</v>
      </c>
      <c r="R12" s="1" t="s">
        <v>106</v>
      </c>
      <c r="S12" s="1" t="s">
        <v>107</v>
      </c>
      <c r="T12" s="1" t="s">
        <v>108</v>
      </c>
      <c r="U12" s="1">
        <v>17.544</v>
      </c>
      <c r="X12" s="1">
        <v>53</v>
      </c>
      <c r="Y12" s="1" t="s">
        <v>162</v>
      </c>
      <c r="Z12" s="1" t="s">
        <v>103</v>
      </c>
      <c r="AA12" s="1" t="s">
        <v>117</v>
      </c>
      <c r="AB12" s="1" t="s">
        <v>158</v>
      </c>
      <c r="AC12" s="1" t="s">
        <v>106</v>
      </c>
      <c r="AD12" s="1" t="s">
        <v>107</v>
      </c>
      <c r="AE12" s="1" t="s">
        <v>108</v>
      </c>
      <c r="AF12" s="1">
        <v>18.847999999999999</v>
      </c>
      <c r="AI12" s="1">
        <v>101</v>
      </c>
      <c r="AJ12" s="1" t="s">
        <v>195</v>
      </c>
      <c r="AK12" s="1" t="s">
        <v>103</v>
      </c>
      <c r="AL12" s="1" t="s">
        <v>117</v>
      </c>
      <c r="AM12" s="1" t="s">
        <v>191</v>
      </c>
      <c r="AN12" s="1" t="s">
        <v>106</v>
      </c>
      <c r="AO12" s="1" t="s">
        <v>107</v>
      </c>
      <c r="AP12" s="1" t="s">
        <v>108</v>
      </c>
      <c r="AQ12" s="1">
        <v>20.744</v>
      </c>
      <c r="AT12" s="1">
        <v>117</v>
      </c>
      <c r="AU12" s="1" t="s">
        <v>209</v>
      </c>
      <c r="AV12" s="1" t="s">
        <v>103</v>
      </c>
      <c r="AW12" s="1" t="s">
        <v>117</v>
      </c>
      <c r="AX12" s="1" t="s">
        <v>204</v>
      </c>
      <c r="AY12" s="1" t="s">
        <v>106</v>
      </c>
      <c r="AZ12" s="1" t="s">
        <v>107</v>
      </c>
      <c r="BA12" s="1" t="s">
        <v>108</v>
      </c>
      <c r="BB12" s="1">
        <v>28.061</v>
      </c>
      <c r="BE12" s="1">
        <v>149</v>
      </c>
      <c r="BF12" s="1" t="s">
        <v>240</v>
      </c>
      <c r="BG12" s="1" t="s">
        <v>103</v>
      </c>
      <c r="BH12" s="1" t="s">
        <v>117</v>
      </c>
      <c r="BI12" s="1" t="s">
        <v>234</v>
      </c>
      <c r="BJ12" s="1" t="s">
        <v>106</v>
      </c>
      <c r="BK12" s="1" t="s">
        <v>107</v>
      </c>
      <c r="BL12" s="1" t="s">
        <v>108</v>
      </c>
      <c r="BM12" s="1">
        <v>32.381999999999998</v>
      </c>
      <c r="BQ12" s="1">
        <v>197</v>
      </c>
      <c r="BR12" s="1" t="s">
        <v>273</v>
      </c>
      <c r="BS12" s="1" t="s">
        <v>103</v>
      </c>
      <c r="BT12" s="1" t="s">
        <v>117</v>
      </c>
      <c r="BU12" s="1" t="s">
        <v>269</v>
      </c>
      <c r="BV12" s="1" t="s">
        <v>106</v>
      </c>
      <c r="BW12" s="1" t="s">
        <v>107</v>
      </c>
      <c r="BX12" s="1" t="s">
        <v>108</v>
      </c>
      <c r="BY12" s="1">
        <v>25.65</v>
      </c>
      <c r="CC12" s="1">
        <v>213</v>
      </c>
      <c r="CD12" s="1" t="s">
        <v>286</v>
      </c>
      <c r="CE12" s="1" t="s">
        <v>103</v>
      </c>
      <c r="CF12" s="1" t="s">
        <v>282</v>
      </c>
      <c r="CG12" s="1" t="s">
        <v>191</v>
      </c>
      <c r="CH12" s="1" t="s">
        <v>106</v>
      </c>
      <c r="CI12" s="1" t="s">
        <v>107</v>
      </c>
      <c r="CJ12" s="1" t="s">
        <v>108</v>
      </c>
      <c r="CK12" s="1" t="s">
        <v>235</v>
      </c>
      <c r="CO12" s="1">
        <v>245</v>
      </c>
      <c r="CP12" s="1" t="s">
        <v>315</v>
      </c>
      <c r="CQ12" s="1" t="s">
        <v>103</v>
      </c>
      <c r="CR12" s="1" t="s">
        <v>117</v>
      </c>
      <c r="CS12" s="1" t="s">
        <v>311</v>
      </c>
      <c r="CT12" s="1" t="s">
        <v>106</v>
      </c>
      <c r="CU12" s="1" t="s">
        <v>107</v>
      </c>
      <c r="CV12" s="1" t="s">
        <v>108</v>
      </c>
      <c r="CW12" s="1">
        <v>31.548999999999999</v>
      </c>
      <c r="DA12" s="1">
        <v>293</v>
      </c>
      <c r="DB12" s="1" t="s">
        <v>358</v>
      </c>
      <c r="DC12" s="1" t="s">
        <v>103</v>
      </c>
      <c r="DD12" s="1" t="s">
        <v>117</v>
      </c>
      <c r="DE12" s="1" t="s">
        <v>328</v>
      </c>
      <c r="DF12" s="1" t="s">
        <v>106</v>
      </c>
      <c r="DG12" s="1" t="s">
        <v>107</v>
      </c>
      <c r="DH12" s="1" t="s">
        <v>108</v>
      </c>
      <c r="DI12" s="1" t="s">
        <v>235</v>
      </c>
      <c r="DM12" s="1">
        <v>341</v>
      </c>
      <c r="DN12" s="1" t="s">
        <v>390</v>
      </c>
      <c r="DO12" s="1" t="s">
        <v>103</v>
      </c>
      <c r="DP12" s="1" t="s">
        <v>117</v>
      </c>
      <c r="DQ12" s="1" t="s">
        <v>332</v>
      </c>
      <c r="DR12" s="1" t="s">
        <v>106</v>
      </c>
      <c r="DS12" s="1" t="s">
        <v>107</v>
      </c>
      <c r="DT12" s="1" t="s">
        <v>108</v>
      </c>
      <c r="DU12" s="1">
        <v>22.46</v>
      </c>
    </row>
    <row r="13" spans="2:125" x14ac:dyDescent="0.25">
      <c r="B13" s="1">
        <v>5</v>
      </c>
      <c r="C13" s="1" t="s">
        <v>141</v>
      </c>
      <c r="D13" s="1" t="s">
        <v>103</v>
      </c>
      <c r="E13" s="1" t="s">
        <v>117</v>
      </c>
      <c r="F13" s="1" t="s">
        <v>105</v>
      </c>
      <c r="G13" s="1" t="s">
        <v>106</v>
      </c>
      <c r="H13" s="1" t="s">
        <v>107</v>
      </c>
      <c r="I13" s="1" t="s">
        <v>108</v>
      </c>
      <c r="J13" s="1">
        <v>23.558</v>
      </c>
      <c r="M13" s="1">
        <v>65</v>
      </c>
      <c r="N13" s="1" t="s">
        <v>170</v>
      </c>
      <c r="O13" s="1" t="s">
        <v>103</v>
      </c>
      <c r="P13" s="1" t="s">
        <v>123</v>
      </c>
      <c r="Q13" s="1" t="s">
        <v>129</v>
      </c>
      <c r="R13" s="1" t="s">
        <v>106</v>
      </c>
      <c r="S13" s="1" t="s">
        <v>107</v>
      </c>
      <c r="T13" s="1" t="s">
        <v>108</v>
      </c>
      <c r="U13" s="1">
        <v>18.623999999999999</v>
      </c>
      <c r="X13" s="1">
        <v>77</v>
      </c>
      <c r="Y13" s="1" t="s">
        <v>178</v>
      </c>
      <c r="Z13" s="1" t="s">
        <v>103</v>
      </c>
      <c r="AA13" s="1" t="s">
        <v>117</v>
      </c>
      <c r="AB13" s="1" t="s">
        <v>158</v>
      </c>
      <c r="AC13" s="1" t="s">
        <v>106</v>
      </c>
      <c r="AD13" s="1" t="s">
        <v>107</v>
      </c>
      <c r="AE13" s="1" t="s">
        <v>108</v>
      </c>
      <c r="AF13" s="1">
        <v>18.785</v>
      </c>
      <c r="AI13" s="1">
        <v>125</v>
      </c>
      <c r="AJ13" s="1" t="s">
        <v>217</v>
      </c>
      <c r="AK13" s="1" t="s">
        <v>103</v>
      </c>
      <c r="AL13" s="1" t="s">
        <v>117</v>
      </c>
      <c r="AM13" s="1" t="s">
        <v>191</v>
      </c>
      <c r="AN13" s="1" t="s">
        <v>106</v>
      </c>
      <c r="AO13" s="1" t="s">
        <v>107</v>
      </c>
      <c r="AP13" s="1" t="s">
        <v>108</v>
      </c>
      <c r="AQ13" s="1">
        <v>20.817</v>
      </c>
      <c r="AT13" s="1">
        <v>161</v>
      </c>
      <c r="AU13" s="1" t="s">
        <v>248</v>
      </c>
      <c r="AV13" s="1" t="s">
        <v>103</v>
      </c>
      <c r="AW13" s="1" t="s">
        <v>123</v>
      </c>
      <c r="AX13" s="1" t="s">
        <v>204</v>
      </c>
      <c r="AY13" s="1" t="s">
        <v>106</v>
      </c>
      <c r="AZ13" s="1" t="s">
        <v>107</v>
      </c>
      <c r="BA13" s="1" t="s">
        <v>108</v>
      </c>
      <c r="BB13" s="1">
        <v>27.856999999999999</v>
      </c>
      <c r="BE13" s="1">
        <v>173</v>
      </c>
      <c r="BF13" s="1" t="s">
        <v>256</v>
      </c>
      <c r="BG13" s="1" t="s">
        <v>103</v>
      </c>
      <c r="BH13" s="1" t="s">
        <v>117</v>
      </c>
      <c r="BI13" s="1" t="s">
        <v>234</v>
      </c>
      <c r="BJ13" s="1" t="s">
        <v>106</v>
      </c>
      <c r="BK13" s="1" t="s">
        <v>107</v>
      </c>
      <c r="BL13" s="1" t="s">
        <v>108</v>
      </c>
      <c r="BM13" s="1">
        <v>33.448999999999998</v>
      </c>
      <c r="BQ13" s="1">
        <v>221</v>
      </c>
      <c r="BR13" s="1" t="s">
        <v>294</v>
      </c>
      <c r="BS13" s="1" t="s">
        <v>103</v>
      </c>
      <c r="BT13" s="1" t="s">
        <v>117</v>
      </c>
      <c r="BU13" s="1" t="s">
        <v>269</v>
      </c>
      <c r="BV13" s="1" t="s">
        <v>106</v>
      </c>
      <c r="BW13" s="1" t="s">
        <v>107</v>
      </c>
      <c r="BX13" s="1" t="s">
        <v>108</v>
      </c>
      <c r="BY13" s="1">
        <v>25.667999999999999</v>
      </c>
      <c r="CC13" s="1">
        <v>257</v>
      </c>
      <c r="CD13" s="1" t="s">
        <v>323</v>
      </c>
      <c r="CE13" s="1" t="s">
        <v>103</v>
      </c>
      <c r="CF13" s="1" t="s">
        <v>282</v>
      </c>
      <c r="CG13" s="1" t="s">
        <v>269</v>
      </c>
      <c r="CH13" s="1" t="s">
        <v>106</v>
      </c>
      <c r="CI13" s="1" t="s">
        <v>107</v>
      </c>
      <c r="CJ13" s="1" t="s">
        <v>108</v>
      </c>
      <c r="CK13" s="1" t="s">
        <v>235</v>
      </c>
      <c r="CO13" s="1">
        <v>269</v>
      </c>
      <c r="CP13" s="1" t="s">
        <v>338</v>
      </c>
      <c r="CQ13" s="1" t="s">
        <v>103</v>
      </c>
      <c r="CR13" s="1" t="s">
        <v>117</v>
      </c>
      <c r="CS13" s="1" t="s">
        <v>311</v>
      </c>
      <c r="CT13" s="1" t="s">
        <v>106</v>
      </c>
      <c r="CU13" s="1" t="s">
        <v>107</v>
      </c>
      <c r="CV13" s="1" t="s">
        <v>108</v>
      </c>
      <c r="CW13" s="1" t="s">
        <v>235</v>
      </c>
      <c r="DA13" s="1">
        <v>317</v>
      </c>
      <c r="DB13" s="1" t="s">
        <v>374</v>
      </c>
      <c r="DC13" s="1" t="s">
        <v>103</v>
      </c>
      <c r="DD13" s="1" t="s">
        <v>117</v>
      </c>
      <c r="DE13" s="1" t="s">
        <v>328</v>
      </c>
      <c r="DF13" s="1" t="s">
        <v>106</v>
      </c>
      <c r="DG13" s="1" t="s">
        <v>107</v>
      </c>
      <c r="DH13" s="1" t="s">
        <v>108</v>
      </c>
      <c r="DI13" s="1">
        <v>33.548000000000002</v>
      </c>
      <c r="DM13" s="1">
        <v>365</v>
      </c>
      <c r="DN13" s="1" t="s">
        <v>402</v>
      </c>
      <c r="DO13" s="1" t="s">
        <v>103</v>
      </c>
      <c r="DP13" s="1" t="s">
        <v>117</v>
      </c>
      <c r="DQ13" s="1" t="s">
        <v>332</v>
      </c>
      <c r="DR13" s="1" t="s">
        <v>106</v>
      </c>
      <c r="DS13" s="1" t="s">
        <v>107</v>
      </c>
      <c r="DT13" s="1" t="s">
        <v>108</v>
      </c>
      <c r="DU13" s="1">
        <v>22.52</v>
      </c>
    </row>
    <row r="14" spans="2:125" x14ac:dyDescent="0.25">
      <c r="B14" s="1">
        <v>6</v>
      </c>
      <c r="C14" s="1" t="s">
        <v>118</v>
      </c>
      <c r="D14" s="1" t="s">
        <v>103</v>
      </c>
      <c r="E14" s="1" t="s">
        <v>117</v>
      </c>
      <c r="F14" s="1" t="s">
        <v>105</v>
      </c>
      <c r="G14" s="1" t="s">
        <v>106</v>
      </c>
      <c r="H14" s="1" t="s">
        <v>107</v>
      </c>
      <c r="I14" s="1" t="s">
        <v>108</v>
      </c>
      <c r="J14" s="1">
        <v>23.795999999999999</v>
      </c>
      <c r="M14" s="1">
        <v>22</v>
      </c>
      <c r="N14" s="1" t="s">
        <v>134</v>
      </c>
      <c r="O14" s="1" t="s">
        <v>103</v>
      </c>
      <c r="P14" s="1" t="s">
        <v>117</v>
      </c>
      <c r="Q14" s="1" t="s">
        <v>129</v>
      </c>
      <c r="R14" s="1" t="s">
        <v>106</v>
      </c>
      <c r="S14" s="1" t="s">
        <v>107</v>
      </c>
      <c r="T14" s="1" t="s">
        <v>108</v>
      </c>
      <c r="U14" s="1">
        <v>17.477</v>
      </c>
      <c r="X14" s="1">
        <v>54</v>
      </c>
      <c r="Y14" s="1" t="s">
        <v>163</v>
      </c>
      <c r="Z14" s="1" t="s">
        <v>103</v>
      </c>
      <c r="AA14" s="1" t="s">
        <v>117</v>
      </c>
      <c r="AB14" s="1" t="s">
        <v>158</v>
      </c>
      <c r="AC14" s="1" t="s">
        <v>106</v>
      </c>
      <c r="AD14" s="1" t="s">
        <v>107</v>
      </c>
      <c r="AE14" s="1" t="s">
        <v>108</v>
      </c>
      <c r="AF14" s="1">
        <v>18.715</v>
      </c>
      <c r="AI14" s="1">
        <v>102</v>
      </c>
      <c r="AJ14" s="1" t="s">
        <v>196</v>
      </c>
      <c r="AK14" s="1" t="s">
        <v>103</v>
      </c>
      <c r="AL14" s="1" t="s">
        <v>117</v>
      </c>
      <c r="AM14" s="1" t="s">
        <v>191</v>
      </c>
      <c r="AN14" s="1" t="s">
        <v>106</v>
      </c>
      <c r="AO14" s="1" t="s">
        <v>107</v>
      </c>
      <c r="AP14" s="1" t="s">
        <v>108</v>
      </c>
      <c r="AQ14" s="1">
        <v>20.762</v>
      </c>
      <c r="AT14" s="1">
        <v>118</v>
      </c>
      <c r="AU14" s="1" t="s">
        <v>210</v>
      </c>
      <c r="AV14" s="1" t="s">
        <v>103</v>
      </c>
      <c r="AW14" s="1" t="s">
        <v>117</v>
      </c>
      <c r="AX14" s="1" t="s">
        <v>204</v>
      </c>
      <c r="AY14" s="1" t="s">
        <v>106</v>
      </c>
      <c r="AZ14" s="1" t="s">
        <v>107</v>
      </c>
      <c r="BA14" s="1" t="s">
        <v>108</v>
      </c>
      <c r="BB14" s="1">
        <v>28.076000000000001</v>
      </c>
      <c r="BE14" s="1">
        <v>150</v>
      </c>
      <c r="BF14" s="1" t="s">
        <v>241</v>
      </c>
      <c r="BG14" s="1" t="s">
        <v>103</v>
      </c>
      <c r="BH14" s="1" t="s">
        <v>117</v>
      </c>
      <c r="BI14" s="1" t="s">
        <v>234</v>
      </c>
      <c r="BJ14" s="1" t="s">
        <v>106</v>
      </c>
      <c r="BK14" s="1" t="s">
        <v>107</v>
      </c>
      <c r="BL14" s="1" t="s">
        <v>108</v>
      </c>
      <c r="BM14" s="1">
        <v>31.878</v>
      </c>
      <c r="BQ14" s="1">
        <v>198</v>
      </c>
      <c r="BR14" s="1" t="s">
        <v>274</v>
      </c>
      <c r="BS14" s="1" t="s">
        <v>103</v>
      </c>
      <c r="BT14" s="1" t="s">
        <v>117</v>
      </c>
      <c r="BU14" s="1" t="s">
        <v>269</v>
      </c>
      <c r="BV14" s="1" t="s">
        <v>106</v>
      </c>
      <c r="BW14" s="1" t="s">
        <v>107</v>
      </c>
      <c r="BX14" s="1" t="s">
        <v>108</v>
      </c>
      <c r="BY14" s="1">
        <v>25.745999999999999</v>
      </c>
      <c r="CC14" s="1">
        <v>214</v>
      </c>
      <c r="CD14" s="1" t="s">
        <v>287</v>
      </c>
      <c r="CE14" s="1" t="s">
        <v>103</v>
      </c>
      <c r="CF14" s="1" t="s">
        <v>282</v>
      </c>
      <c r="CG14" s="1" t="s">
        <v>191</v>
      </c>
      <c r="CH14" s="1" t="s">
        <v>106</v>
      </c>
      <c r="CI14" s="1" t="s">
        <v>107</v>
      </c>
      <c r="CJ14" s="1" t="s">
        <v>108</v>
      </c>
      <c r="CK14" s="1" t="s">
        <v>235</v>
      </c>
      <c r="CO14" s="1">
        <v>246</v>
      </c>
      <c r="CP14" s="1" t="s">
        <v>316</v>
      </c>
      <c r="CQ14" s="1" t="s">
        <v>103</v>
      </c>
      <c r="CR14" s="1" t="s">
        <v>117</v>
      </c>
      <c r="CS14" s="1" t="s">
        <v>311</v>
      </c>
      <c r="CT14" s="1" t="s">
        <v>106</v>
      </c>
      <c r="CU14" s="1" t="s">
        <v>107</v>
      </c>
      <c r="CV14" s="1" t="s">
        <v>108</v>
      </c>
      <c r="CW14" s="1" t="s">
        <v>235</v>
      </c>
      <c r="DA14" s="1">
        <v>294</v>
      </c>
      <c r="DB14" s="1" t="s">
        <v>359</v>
      </c>
      <c r="DC14" s="1" t="s">
        <v>103</v>
      </c>
      <c r="DD14" s="1" t="s">
        <v>117</v>
      </c>
      <c r="DE14" s="1" t="s">
        <v>328</v>
      </c>
      <c r="DF14" s="1" t="s">
        <v>106</v>
      </c>
      <c r="DG14" s="1" t="s">
        <v>107</v>
      </c>
      <c r="DH14" s="1" t="s">
        <v>108</v>
      </c>
      <c r="DI14" s="1" t="s">
        <v>235</v>
      </c>
      <c r="DM14" s="1">
        <v>342</v>
      </c>
      <c r="DN14" s="1" t="s">
        <v>391</v>
      </c>
      <c r="DO14" s="1" t="s">
        <v>103</v>
      </c>
      <c r="DP14" s="1" t="s">
        <v>117</v>
      </c>
      <c r="DQ14" s="1" t="s">
        <v>332</v>
      </c>
      <c r="DR14" s="1" t="s">
        <v>106</v>
      </c>
      <c r="DS14" s="1" t="s">
        <v>107</v>
      </c>
      <c r="DT14" s="1" t="s">
        <v>108</v>
      </c>
      <c r="DU14" s="1">
        <v>22.559000000000001</v>
      </c>
    </row>
    <row r="15" spans="2:125" x14ac:dyDescent="0.25">
      <c r="B15" s="1">
        <v>6</v>
      </c>
      <c r="C15" s="1" t="s">
        <v>142</v>
      </c>
      <c r="D15" s="1" t="s">
        <v>103</v>
      </c>
      <c r="E15" s="1" t="s">
        <v>117</v>
      </c>
      <c r="F15" s="1" t="s">
        <v>105</v>
      </c>
      <c r="G15" s="1" t="s">
        <v>106</v>
      </c>
      <c r="H15" s="1" t="s">
        <v>107</v>
      </c>
      <c r="I15" s="1" t="s">
        <v>108</v>
      </c>
      <c r="J15" s="1">
        <v>23.282</v>
      </c>
      <c r="M15" s="1">
        <v>66</v>
      </c>
      <c r="N15" s="1" t="s">
        <v>171</v>
      </c>
      <c r="O15" s="1" t="s">
        <v>103</v>
      </c>
      <c r="P15" s="1" t="s">
        <v>123</v>
      </c>
      <c r="Q15" s="1" t="s">
        <v>129</v>
      </c>
      <c r="R15" s="1" t="s">
        <v>106</v>
      </c>
      <c r="S15" s="1" t="s">
        <v>107</v>
      </c>
      <c r="T15" s="1" t="s">
        <v>108</v>
      </c>
      <c r="U15" s="1">
        <v>18.457000000000001</v>
      </c>
      <c r="X15" s="1">
        <v>78</v>
      </c>
      <c r="Y15" s="1" t="s">
        <v>179</v>
      </c>
      <c r="Z15" s="1" t="s">
        <v>103</v>
      </c>
      <c r="AA15" s="1" t="s">
        <v>117</v>
      </c>
      <c r="AB15" s="1" t="s">
        <v>158</v>
      </c>
      <c r="AC15" s="1" t="s">
        <v>106</v>
      </c>
      <c r="AD15" s="1" t="s">
        <v>107</v>
      </c>
      <c r="AE15" s="1" t="s">
        <v>108</v>
      </c>
      <c r="AF15" s="1">
        <v>18.649000000000001</v>
      </c>
      <c r="AI15" s="1">
        <v>126</v>
      </c>
      <c r="AJ15" s="1" t="s">
        <v>218</v>
      </c>
      <c r="AK15" s="1" t="s">
        <v>103</v>
      </c>
      <c r="AL15" s="1" t="s">
        <v>117</v>
      </c>
      <c r="AM15" s="1" t="s">
        <v>191</v>
      </c>
      <c r="AN15" s="1" t="s">
        <v>106</v>
      </c>
      <c r="AO15" s="1" t="s">
        <v>107</v>
      </c>
      <c r="AP15" s="1" t="s">
        <v>108</v>
      </c>
      <c r="AQ15" s="1">
        <v>20.7</v>
      </c>
      <c r="AT15" s="1">
        <v>162</v>
      </c>
      <c r="AU15" s="1" t="s">
        <v>249</v>
      </c>
      <c r="AV15" s="1" t="s">
        <v>103</v>
      </c>
      <c r="AW15" s="1" t="s">
        <v>123</v>
      </c>
      <c r="AX15" s="1" t="s">
        <v>204</v>
      </c>
      <c r="AY15" s="1" t="s">
        <v>106</v>
      </c>
      <c r="AZ15" s="1" t="s">
        <v>107</v>
      </c>
      <c r="BA15" s="1" t="s">
        <v>108</v>
      </c>
      <c r="BB15" s="1">
        <v>27.992000000000001</v>
      </c>
      <c r="BE15" s="1">
        <v>174</v>
      </c>
      <c r="BF15" s="1" t="s">
        <v>257</v>
      </c>
      <c r="BG15" s="1" t="s">
        <v>103</v>
      </c>
      <c r="BH15" s="1" t="s">
        <v>117</v>
      </c>
      <c r="BI15" s="1" t="s">
        <v>234</v>
      </c>
      <c r="BJ15" s="1" t="s">
        <v>106</v>
      </c>
      <c r="BK15" s="1" t="s">
        <v>107</v>
      </c>
      <c r="BL15" s="1" t="s">
        <v>108</v>
      </c>
      <c r="BM15" s="1">
        <v>33.970999999999997</v>
      </c>
      <c r="BQ15" s="1">
        <v>222</v>
      </c>
      <c r="BR15" s="1" t="s">
        <v>295</v>
      </c>
      <c r="BS15" s="1" t="s">
        <v>103</v>
      </c>
      <c r="BT15" s="1" t="s">
        <v>117</v>
      </c>
      <c r="BU15" s="1" t="s">
        <v>269</v>
      </c>
      <c r="BV15" s="1" t="s">
        <v>106</v>
      </c>
      <c r="BW15" s="1" t="s">
        <v>107</v>
      </c>
      <c r="BX15" s="1" t="s">
        <v>108</v>
      </c>
      <c r="BY15" s="1">
        <v>25.751999999999999</v>
      </c>
      <c r="CC15" s="1">
        <v>258</v>
      </c>
      <c r="CD15" s="1" t="s">
        <v>324</v>
      </c>
      <c r="CE15" s="1" t="s">
        <v>103</v>
      </c>
      <c r="CF15" s="1" t="s">
        <v>282</v>
      </c>
      <c r="CG15" s="1" t="s">
        <v>269</v>
      </c>
      <c r="CH15" s="1" t="s">
        <v>106</v>
      </c>
      <c r="CI15" s="1" t="s">
        <v>107</v>
      </c>
      <c r="CJ15" s="1" t="s">
        <v>108</v>
      </c>
      <c r="CK15" s="1" t="s">
        <v>235</v>
      </c>
      <c r="CO15" s="1">
        <v>270</v>
      </c>
      <c r="CP15" s="1" t="s">
        <v>339</v>
      </c>
      <c r="CQ15" s="1" t="s">
        <v>103</v>
      </c>
      <c r="CR15" s="1" t="s">
        <v>117</v>
      </c>
      <c r="CS15" s="1" t="s">
        <v>311</v>
      </c>
      <c r="CT15" s="1" t="s">
        <v>106</v>
      </c>
      <c r="CU15" s="1" t="s">
        <v>107</v>
      </c>
      <c r="CV15" s="1" t="s">
        <v>108</v>
      </c>
      <c r="CW15" s="1" t="s">
        <v>235</v>
      </c>
      <c r="DA15" s="1">
        <v>318</v>
      </c>
      <c r="DB15" s="1" t="s">
        <v>375</v>
      </c>
      <c r="DC15" s="1" t="s">
        <v>103</v>
      </c>
      <c r="DD15" s="1" t="s">
        <v>117</v>
      </c>
      <c r="DE15" s="1" t="s">
        <v>328</v>
      </c>
      <c r="DF15" s="1" t="s">
        <v>106</v>
      </c>
      <c r="DG15" s="1" t="s">
        <v>107</v>
      </c>
      <c r="DH15" s="1" t="s">
        <v>108</v>
      </c>
      <c r="DI15" s="1" t="s">
        <v>235</v>
      </c>
      <c r="DM15" s="1">
        <v>366</v>
      </c>
      <c r="DN15" s="1" t="s">
        <v>403</v>
      </c>
      <c r="DO15" s="1" t="s">
        <v>103</v>
      </c>
      <c r="DP15" s="1" t="s">
        <v>117</v>
      </c>
      <c r="DQ15" s="1" t="s">
        <v>332</v>
      </c>
      <c r="DR15" s="1" t="s">
        <v>106</v>
      </c>
      <c r="DS15" s="1" t="s">
        <v>107</v>
      </c>
      <c r="DT15" s="1" t="s">
        <v>108</v>
      </c>
      <c r="DU15" s="1">
        <v>22.594999999999999</v>
      </c>
    </row>
    <row r="16" spans="2:125" x14ac:dyDescent="0.25">
      <c r="B16" s="1">
        <v>7</v>
      </c>
      <c r="C16" s="1" t="s">
        <v>119</v>
      </c>
      <c r="D16" s="1" t="s">
        <v>103</v>
      </c>
      <c r="E16" s="1" t="s">
        <v>120</v>
      </c>
      <c r="F16" s="1" t="s">
        <v>105</v>
      </c>
      <c r="G16" s="1" t="s">
        <v>106</v>
      </c>
      <c r="H16" s="1" t="s">
        <v>107</v>
      </c>
      <c r="I16" s="1" t="s">
        <v>108</v>
      </c>
      <c r="J16" s="1">
        <v>23.664999999999999</v>
      </c>
      <c r="M16" s="1">
        <v>23</v>
      </c>
      <c r="N16" s="1" t="s">
        <v>135</v>
      </c>
      <c r="O16" s="1" t="s">
        <v>103</v>
      </c>
      <c r="P16" s="1" t="s">
        <v>120</v>
      </c>
      <c r="Q16" s="1" t="s">
        <v>129</v>
      </c>
      <c r="R16" s="1" t="s">
        <v>106</v>
      </c>
      <c r="S16" s="1" t="s">
        <v>107</v>
      </c>
      <c r="T16" s="1" t="s">
        <v>108</v>
      </c>
      <c r="U16" s="1">
        <v>17.564</v>
      </c>
      <c r="X16" s="1">
        <v>55</v>
      </c>
      <c r="Y16" s="1" t="s">
        <v>164</v>
      </c>
      <c r="Z16" s="1" t="s">
        <v>103</v>
      </c>
      <c r="AA16" s="1" t="s">
        <v>120</v>
      </c>
      <c r="AB16" s="1" t="s">
        <v>158</v>
      </c>
      <c r="AC16" s="1" t="s">
        <v>106</v>
      </c>
      <c r="AD16" s="1" t="s">
        <v>107</v>
      </c>
      <c r="AE16" s="1" t="s">
        <v>108</v>
      </c>
      <c r="AF16" s="1">
        <v>18.881</v>
      </c>
      <c r="AI16" s="1">
        <v>103</v>
      </c>
      <c r="AJ16" s="1" t="s">
        <v>197</v>
      </c>
      <c r="AK16" s="1" t="s">
        <v>103</v>
      </c>
      <c r="AL16" s="1" t="s">
        <v>120</v>
      </c>
      <c r="AM16" s="1" t="s">
        <v>191</v>
      </c>
      <c r="AN16" s="1" t="s">
        <v>106</v>
      </c>
      <c r="AO16" s="1" t="s">
        <v>107</v>
      </c>
      <c r="AP16" s="1" t="s">
        <v>108</v>
      </c>
      <c r="AQ16" s="1">
        <v>20.864000000000001</v>
      </c>
      <c r="AT16" s="1">
        <v>119</v>
      </c>
      <c r="AU16" s="1" t="s">
        <v>211</v>
      </c>
      <c r="AV16" s="1" t="s">
        <v>103</v>
      </c>
      <c r="AW16" s="1" t="s">
        <v>120</v>
      </c>
      <c r="AX16" s="1" t="s">
        <v>204</v>
      </c>
      <c r="AY16" s="1" t="s">
        <v>106</v>
      </c>
      <c r="AZ16" s="1" t="s">
        <v>107</v>
      </c>
      <c r="BA16" s="1" t="s">
        <v>108</v>
      </c>
      <c r="BB16" s="1">
        <v>27.548999999999999</v>
      </c>
      <c r="BE16" s="1">
        <v>151</v>
      </c>
      <c r="BF16" s="1" t="s">
        <v>242</v>
      </c>
      <c r="BG16" s="1" t="s">
        <v>103</v>
      </c>
      <c r="BH16" s="1" t="s">
        <v>120</v>
      </c>
      <c r="BI16" s="1" t="s">
        <v>234</v>
      </c>
      <c r="BJ16" s="1" t="s">
        <v>106</v>
      </c>
      <c r="BK16" s="1" t="s">
        <v>107</v>
      </c>
      <c r="BL16" s="1" t="s">
        <v>108</v>
      </c>
      <c r="BM16" s="1">
        <v>32.207999999999998</v>
      </c>
      <c r="BQ16" s="1">
        <v>199</v>
      </c>
      <c r="BR16" s="1" t="s">
        <v>275</v>
      </c>
      <c r="BS16" s="1" t="s">
        <v>103</v>
      </c>
      <c r="BT16" s="1" t="s">
        <v>120</v>
      </c>
      <c r="BU16" s="1" t="s">
        <v>269</v>
      </c>
      <c r="BV16" s="1" t="s">
        <v>106</v>
      </c>
      <c r="BW16" s="1" t="s">
        <v>107</v>
      </c>
      <c r="BX16" s="1" t="s">
        <v>108</v>
      </c>
      <c r="BY16" s="1">
        <v>25.837</v>
      </c>
      <c r="CC16" s="1">
        <v>215</v>
      </c>
      <c r="CD16" s="1" t="s">
        <v>288</v>
      </c>
      <c r="CE16" s="1" t="s">
        <v>103</v>
      </c>
      <c r="CF16" s="1" t="s">
        <v>282</v>
      </c>
      <c r="CG16" s="1" t="s">
        <v>234</v>
      </c>
      <c r="CH16" s="1" t="s">
        <v>106</v>
      </c>
      <c r="CI16" s="1" t="s">
        <v>107</v>
      </c>
      <c r="CJ16" s="1" t="s">
        <v>108</v>
      </c>
      <c r="CK16" s="1" t="s">
        <v>235</v>
      </c>
      <c r="CO16" s="1">
        <v>247</v>
      </c>
      <c r="CP16" s="1" t="s">
        <v>317</v>
      </c>
      <c r="CQ16" s="1" t="s">
        <v>103</v>
      </c>
      <c r="CR16" s="1" t="s">
        <v>120</v>
      </c>
      <c r="CS16" s="1" t="s">
        <v>311</v>
      </c>
      <c r="CT16" s="1" t="s">
        <v>106</v>
      </c>
      <c r="CU16" s="1" t="s">
        <v>107</v>
      </c>
      <c r="CV16" s="1" t="s">
        <v>108</v>
      </c>
      <c r="CW16" s="1">
        <v>33.695999999999998</v>
      </c>
      <c r="DA16" s="1">
        <v>295</v>
      </c>
      <c r="DB16" s="1" t="s">
        <v>360</v>
      </c>
      <c r="DC16" s="1" t="s">
        <v>103</v>
      </c>
      <c r="DD16" s="1" t="s">
        <v>120</v>
      </c>
      <c r="DE16" s="1" t="s">
        <v>328</v>
      </c>
      <c r="DF16" s="1" t="s">
        <v>106</v>
      </c>
      <c r="DG16" s="1" t="s">
        <v>107</v>
      </c>
      <c r="DH16" s="1" t="s">
        <v>108</v>
      </c>
      <c r="DI16" s="1" t="s">
        <v>235</v>
      </c>
      <c r="DM16" s="1">
        <v>343</v>
      </c>
      <c r="DN16" s="1" t="s">
        <v>392</v>
      </c>
      <c r="DO16" s="1" t="s">
        <v>103</v>
      </c>
      <c r="DP16" s="1" t="s">
        <v>120</v>
      </c>
      <c r="DQ16" s="1" t="s">
        <v>332</v>
      </c>
      <c r="DR16" s="1" t="s">
        <v>106</v>
      </c>
      <c r="DS16" s="1" t="s">
        <v>107</v>
      </c>
      <c r="DT16" s="1" t="s">
        <v>108</v>
      </c>
      <c r="DU16" s="1">
        <v>22.733000000000001</v>
      </c>
    </row>
    <row r="17" spans="2:126" x14ac:dyDescent="0.25">
      <c r="B17" s="1">
        <v>7</v>
      </c>
      <c r="C17" s="1" t="s">
        <v>143</v>
      </c>
      <c r="D17" s="1" t="s">
        <v>103</v>
      </c>
      <c r="E17" s="1" t="s">
        <v>120</v>
      </c>
      <c r="F17" s="1" t="s">
        <v>105</v>
      </c>
      <c r="G17" s="1" t="s">
        <v>106</v>
      </c>
      <c r="H17" s="1" t="s">
        <v>107</v>
      </c>
      <c r="I17" s="1" t="s">
        <v>108</v>
      </c>
      <c r="J17" s="1">
        <v>23.689</v>
      </c>
      <c r="M17" s="1">
        <v>67</v>
      </c>
      <c r="N17" s="1" t="s">
        <v>172</v>
      </c>
      <c r="O17" s="1" t="s">
        <v>103</v>
      </c>
      <c r="P17" s="1" t="s">
        <v>126</v>
      </c>
      <c r="Q17" s="1" t="s">
        <v>129</v>
      </c>
      <c r="R17" s="1" t="s">
        <v>106</v>
      </c>
      <c r="S17" s="1" t="s">
        <v>107</v>
      </c>
      <c r="T17" s="1" t="s">
        <v>108</v>
      </c>
      <c r="U17" s="1">
        <v>18.567</v>
      </c>
      <c r="X17" s="1">
        <v>79</v>
      </c>
      <c r="Y17" s="1" t="s">
        <v>180</v>
      </c>
      <c r="Z17" s="1" t="s">
        <v>103</v>
      </c>
      <c r="AA17" s="1" t="s">
        <v>120</v>
      </c>
      <c r="AB17" s="1" t="s">
        <v>158</v>
      </c>
      <c r="AC17" s="1" t="s">
        <v>106</v>
      </c>
      <c r="AD17" s="1" t="s">
        <v>107</v>
      </c>
      <c r="AE17" s="1" t="s">
        <v>108</v>
      </c>
      <c r="AF17" s="1">
        <v>19.004999999999999</v>
      </c>
      <c r="AI17" s="1">
        <v>127</v>
      </c>
      <c r="AJ17" s="1" t="s">
        <v>219</v>
      </c>
      <c r="AK17" s="1" t="s">
        <v>103</v>
      </c>
      <c r="AL17" s="1" t="s">
        <v>120</v>
      </c>
      <c r="AM17" s="1" t="s">
        <v>191</v>
      </c>
      <c r="AN17" s="1" t="s">
        <v>106</v>
      </c>
      <c r="AO17" s="1" t="s">
        <v>107</v>
      </c>
      <c r="AP17" s="1" t="s">
        <v>108</v>
      </c>
      <c r="AQ17" s="1">
        <v>21.036000000000001</v>
      </c>
      <c r="AT17" s="1">
        <v>163</v>
      </c>
      <c r="AU17" s="1" t="s">
        <v>250</v>
      </c>
      <c r="AV17" s="1" t="s">
        <v>103</v>
      </c>
      <c r="AW17" s="1" t="s">
        <v>126</v>
      </c>
      <c r="AX17" s="1" t="s">
        <v>204</v>
      </c>
      <c r="AY17" s="1" t="s">
        <v>106</v>
      </c>
      <c r="AZ17" s="1" t="s">
        <v>107</v>
      </c>
      <c r="BA17" s="1" t="s">
        <v>108</v>
      </c>
      <c r="BB17" s="1">
        <v>27.821000000000002</v>
      </c>
      <c r="BE17" s="1">
        <v>175</v>
      </c>
      <c r="BF17" s="1" t="s">
        <v>258</v>
      </c>
      <c r="BG17" s="1" t="s">
        <v>103</v>
      </c>
      <c r="BH17" s="1" t="s">
        <v>120</v>
      </c>
      <c r="BI17" s="1" t="s">
        <v>234</v>
      </c>
      <c r="BJ17" s="1" t="s">
        <v>106</v>
      </c>
      <c r="BK17" s="1" t="s">
        <v>107</v>
      </c>
      <c r="BL17" s="1" t="s">
        <v>108</v>
      </c>
      <c r="BM17" s="1">
        <v>31.202000000000002</v>
      </c>
      <c r="BQ17" s="1">
        <v>223</v>
      </c>
      <c r="BR17" s="1" t="s">
        <v>296</v>
      </c>
      <c r="BS17" s="1" t="s">
        <v>103</v>
      </c>
      <c r="BT17" s="1" t="s">
        <v>120</v>
      </c>
      <c r="BU17" s="1" t="s">
        <v>269</v>
      </c>
      <c r="BV17" s="1" t="s">
        <v>106</v>
      </c>
      <c r="BW17" s="1" t="s">
        <v>107</v>
      </c>
      <c r="BX17" s="1" t="s">
        <v>108</v>
      </c>
      <c r="BY17" s="1">
        <v>25.827999999999999</v>
      </c>
      <c r="CC17" s="1">
        <v>259</v>
      </c>
      <c r="CD17" s="1" t="s">
        <v>325</v>
      </c>
      <c r="CE17" s="1" t="s">
        <v>103</v>
      </c>
      <c r="CF17" s="1" t="s">
        <v>282</v>
      </c>
      <c r="CG17" s="1" t="s">
        <v>311</v>
      </c>
      <c r="CH17" s="1" t="s">
        <v>106</v>
      </c>
      <c r="CI17" s="1" t="s">
        <v>107</v>
      </c>
      <c r="CJ17" s="1" t="s">
        <v>108</v>
      </c>
      <c r="CK17" s="1" t="s">
        <v>235</v>
      </c>
      <c r="CO17" s="1">
        <v>271</v>
      </c>
      <c r="CP17" s="1" t="s">
        <v>340</v>
      </c>
      <c r="CQ17" s="1" t="s">
        <v>103</v>
      </c>
      <c r="CR17" s="1" t="s">
        <v>120</v>
      </c>
      <c r="CS17" s="1" t="s">
        <v>311</v>
      </c>
      <c r="CT17" s="1" t="s">
        <v>106</v>
      </c>
      <c r="CU17" s="1" t="s">
        <v>107</v>
      </c>
      <c r="CV17" s="1" t="s">
        <v>108</v>
      </c>
      <c r="CW17" s="1">
        <v>36.433</v>
      </c>
      <c r="DA17" s="1">
        <v>319</v>
      </c>
      <c r="DB17" s="1" t="s">
        <v>376</v>
      </c>
      <c r="DC17" s="1" t="s">
        <v>103</v>
      </c>
      <c r="DD17" s="1" t="s">
        <v>120</v>
      </c>
      <c r="DE17" s="1" t="s">
        <v>328</v>
      </c>
      <c r="DF17" s="1" t="s">
        <v>106</v>
      </c>
      <c r="DG17" s="1" t="s">
        <v>107</v>
      </c>
      <c r="DH17" s="1" t="s">
        <v>108</v>
      </c>
      <c r="DI17" s="1">
        <v>33.643999999999998</v>
      </c>
      <c r="DM17" s="1">
        <v>367</v>
      </c>
      <c r="DN17" s="1" t="s">
        <v>404</v>
      </c>
      <c r="DO17" s="1" t="s">
        <v>103</v>
      </c>
      <c r="DP17" s="1" t="s">
        <v>120</v>
      </c>
      <c r="DQ17" s="1" t="s">
        <v>332</v>
      </c>
      <c r="DR17" s="1" t="s">
        <v>106</v>
      </c>
      <c r="DS17" s="1" t="s">
        <v>107</v>
      </c>
      <c r="DT17" s="1" t="s">
        <v>108</v>
      </c>
      <c r="DU17" s="1">
        <v>22.678000000000001</v>
      </c>
    </row>
    <row r="18" spans="2:126" x14ac:dyDescent="0.25">
      <c r="B18" s="1">
        <v>8</v>
      </c>
      <c r="C18" s="1" t="s">
        <v>121</v>
      </c>
      <c r="D18" s="1" t="s">
        <v>103</v>
      </c>
      <c r="E18" s="1" t="s">
        <v>120</v>
      </c>
      <c r="F18" s="1" t="s">
        <v>105</v>
      </c>
      <c r="G18" s="1" t="s">
        <v>106</v>
      </c>
      <c r="H18" s="1" t="s">
        <v>107</v>
      </c>
      <c r="I18" s="1" t="s">
        <v>108</v>
      </c>
      <c r="J18" s="1">
        <v>23.762</v>
      </c>
      <c r="M18" s="1">
        <v>24</v>
      </c>
      <c r="N18" s="1" t="s">
        <v>136</v>
      </c>
      <c r="O18" s="1" t="s">
        <v>103</v>
      </c>
      <c r="P18" s="1" t="s">
        <v>120</v>
      </c>
      <c r="Q18" s="1" t="s">
        <v>129</v>
      </c>
      <c r="R18" s="1" t="s">
        <v>106</v>
      </c>
      <c r="S18" s="1" t="s">
        <v>107</v>
      </c>
      <c r="T18" s="1" t="s">
        <v>108</v>
      </c>
      <c r="U18" s="1">
        <v>17.882999999999999</v>
      </c>
      <c r="X18" s="1">
        <v>56</v>
      </c>
      <c r="Y18" s="1" t="s">
        <v>165</v>
      </c>
      <c r="Z18" s="1" t="s">
        <v>103</v>
      </c>
      <c r="AA18" s="1" t="s">
        <v>120</v>
      </c>
      <c r="AB18" s="1" t="s">
        <v>158</v>
      </c>
      <c r="AC18" s="1" t="s">
        <v>106</v>
      </c>
      <c r="AD18" s="1" t="s">
        <v>107</v>
      </c>
      <c r="AE18" s="1" t="s">
        <v>108</v>
      </c>
      <c r="AF18" s="1">
        <v>19.105</v>
      </c>
      <c r="AI18" s="1">
        <v>104</v>
      </c>
      <c r="AJ18" s="1" t="s">
        <v>198</v>
      </c>
      <c r="AK18" s="1" t="s">
        <v>103</v>
      </c>
      <c r="AL18" s="1" t="s">
        <v>120</v>
      </c>
      <c r="AM18" s="1" t="s">
        <v>191</v>
      </c>
      <c r="AN18" s="1" t="s">
        <v>106</v>
      </c>
      <c r="AO18" s="1" t="s">
        <v>107</v>
      </c>
      <c r="AP18" s="1" t="s">
        <v>108</v>
      </c>
      <c r="AQ18" s="1">
        <v>20.97</v>
      </c>
      <c r="AT18" s="1">
        <v>120</v>
      </c>
      <c r="AU18" s="1" t="s">
        <v>212</v>
      </c>
      <c r="AV18" s="1" t="s">
        <v>103</v>
      </c>
      <c r="AW18" s="1" t="s">
        <v>120</v>
      </c>
      <c r="AX18" s="1" t="s">
        <v>204</v>
      </c>
      <c r="AY18" s="1" t="s">
        <v>106</v>
      </c>
      <c r="AZ18" s="1" t="s">
        <v>107</v>
      </c>
      <c r="BA18" s="1" t="s">
        <v>108</v>
      </c>
      <c r="BB18" s="1">
        <v>28.167000000000002</v>
      </c>
      <c r="BE18" s="1">
        <v>152</v>
      </c>
      <c r="BF18" s="1" t="s">
        <v>243</v>
      </c>
      <c r="BG18" s="1" t="s">
        <v>103</v>
      </c>
      <c r="BH18" s="1" t="s">
        <v>120</v>
      </c>
      <c r="BI18" s="1" t="s">
        <v>234</v>
      </c>
      <c r="BJ18" s="1" t="s">
        <v>106</v>
      </c>
      <c r="BK18" s="1" t="s">
        <v>107</v>
      </c>
      <c r="BL18" s="1" t="s">
        <v>108</v>
      </c>
      <c r="BM18" s="1">
        <v>32.965000000000003</v>
      </c>
      <c r="BQ18" s="1">
        <v>200</v>
      </c>
      <c r="BR18" s="1" t="s">
        <v>276</v>
      </c>
      <c r="BS18" s="1" t="s">
        <v>103</v>
      </c>
      <c r="BT18" s="1" t="s">
        <v>120</v>
      </c>
      <c r="BU18" s="1" t="s">
        <v>269</v>
      </c>
      <c r="BV18" s="1" t="s">
        <v>106</v>
      </c>
      <c r="BW18" s="1" t="s">
        <v>107</v>
      </c>
      <c r="BX18" s="1" t="s">
        <v>108</v>
      </c>
      <c r="BY18" s="1">
        <v>25.777000000000001</v>
      </c>
      <c r="CC18" s="1">
        <v>216</v>
      </c>
      <c r="CD18" s="1" t="s">
        <v>289</v>
      </c>
      <c r="CE18" s="1" t="s">
        <v>103</v>
      </c>
      <c r="CF18" s="1" t="s">
        <v>282</v>
      </c>
      <c r="CG18" s="1" t="s">
        <v>234</v>
      </c>
      <c r="CH18" s="1" t="s">
        <v>106</v>
      </c>
      <c r="CI18" s="1" t="s">
        <v>107</v>
      </c>
      <c r="CJ18" s="1" t="s">
        <v>108</v>
      </c>
      <c r="CK18" s="1" t="s">
        <v>235</v>
      </c>
      <c r="CO18" s="1">
        <v>248</v>
      </c>
      <c r="CP18" s="1" t="s">
        <v>318</v>
      </c>
      <c r="CQ18" s="1" t="s">
        <v>103</v>
      </c>
      <c r="CR18" s="1" t="s">
        <v>120</v>
      </c>
      <c r="CS18" s="1" t="s">
        <v>311</v>
      </c>
      <c r="CT18" s="1" t="s">
        <v>106</v>
      </c>
      <c r="CU18" s="1" t="s">
        <v>107</v>
      </c>
      <c r="CV18" s="1" t="s">
        <v>108</v>
      </c>
      <c r="CW18" s="1">
        <v>33.982999999999997</v>
      </c>
      <c r="DA18" s="1">
        <v>296</v>
      </c>
      <c r="DB18" s="1" t="s">
        <v>361</v>
      </c>
      <c r="DC18" s="1" t="s">
        <v>103</v>
      </c>
      <c r="DD18" s="1" t="s">
        <v>120</v>
      </c>
      <c r="DE18" s="1" t="s">
        <v>328</v>
      </c>
      <c r="DF18" s="1" t="s">
        <v>106</v>
      </c>
      <c r="DG18" s="1" t="s">
        <v>107</v>
      </c>
      <c r="DH18" s="1" t="s">
        <v>108</v>
      </c>
      <c r="DI18" s="1">
        <v>33.802</v>
      </c>
      <c r="DM18" s="1">
        <v>344</v>
      </c>
      <c r="DN18" s="1" t="s">
        <v>393</v>
      </c>
      <c r="DO18" s="1" t="s">
        <v>103</v>
      </c>
      <c r="DP18" s="1" t="s">
        <v>120</v>
      </c>
      <c r="DQ18" s="1" t="s">
        <v>332</v>
      </c>
      <c r="DR18" s="1" t="s">
        <v>106</v>
      </c>
      <c r="DS18" s="1" t="s">
        <v>107</v>
      </c>
      <c r="DT18" s="1" t="s">
        <v>108</v>
      </c>
      <c r="DU18" s="1">
        <v>22.619</v>
      </c>
    </row>
    <row r="19" spans="2:126" x14ac:dyDescent="0.25">
      <c r="B19" s="1">
        <v>8</v>
      </c>
      <c r="C19" s="1" t="s">
        <v>144</v>
      </c>
      <c r="D19" s="1" t="s">
        <v>103</v>
      </c>
      <c r="E19" s="1" t="s">
        <v>120</v>
      </c>
      <c r="F19" s="1" t="s">
        <v>105</v>
      </c>
      <c r="G19" s="1" t="s">
        <v>106</v>
      </c>
      <c r="H19" s="1" t="s">
        <v>107</v>
      </c>
      <c r="I19" s="1" t="s">
        <v>108</v>
      </c>
      <c r="J19" s="1">
        <v>23.611000000000001</v>
      </c>
      <c r="M19" s="1">
        <v>68</v>
      </c>
      <c r="N19" s="1" t="s">
        <v>173</v>
      </c>
      <c r="O19" s="1" t="s">
        <v>103</v>
      </c>
      <c r="P19" s="1" t="s">
        <v>126</v>
      </c>
      <c r="Q19" s="1" t="s">
        <v>129</v>
      </c>
      <c r="R19" s="1" t="s">
        <v>106</v>
      </c>
      <c r="S19" s="1" t="s">
        <v>107</v>
      </c>
      <c r="T19" s="1" t="s">
        <v>108</v>
      </c>
      <c r="U19" s="1">
        <v>18.332999999999998</v>
      </c>
      <c r="X19" s="1">
        <v>80</v>
      </c>
      <c r="Y19" s="1" t="s">
        <v>181</v>
      </c>
      <c r="Z19" s="1" t="s">
        <v>103</v>
      </c>
      <c r="AA19" s="1" t="s">
        <v>120</v>
      </c>
      <c r="AB19" s="1" t="s">
        <v>158</v>
      </c>
      <c r="AC19" s="1" t="s">
        <v>106</v>
      </c>
      <c r="AD19" s="1" t="s">
        <v>107</v>
      </c>
      <c r="AE19" s="1" t="s">
        <v>108</v>
      </c>
      <c r="AF19" s="1">
        <v>18.933</v>
      </c>
      <c r="AI19" s="1">
        <v>128</v>
      </c>
      <c r="AJ19" s="1" t="s">
        <v>220</v>
      </c>
      <c r="AK19" s="1" t="s">
        <v>103</v>
      </c>
      <c r="AL19" s="1" t="s">
        <v>120</v>
      </c>
      <c r="AM19" s="1" t="s">
        <v>191</v>
      </c>
      <c r="AN19" s="1" t="s">
        <v>106</v>
      </c>
      <c r="AO19" s="1" t="s">
        <v>107</v>
      </c>
      <c r="AP19" s="1" t="s">
        <v>108</v>
      </c>
      <c r="AQ19" s="1">
        <v>20.803000000000001</v>
      </c>
      <c r="AT19" s="1">
        <v>164</v>
      </c>
      <c r="AU19" s="1" t="s">
        <v>251</v>
      </c>
      <c r="AV19" s="1" t="s">
        <v>103</v>
      </c>
      <c r="AW19" s="1" t="s">
        <v>126</v>
      </c>
      <c r="AX19" s="1" t="s">
        <v>204</v>
      </c>
      <c r="AY19" s="1" t="s">
        <v>106</v>
      </c>
      <c r="AZ19" s="1" t="s">
        <v>107</v>
      </c>
      <c r="BA19" s="1" t="s">
        <v>108</v>
      </c>
      <c r="BB19" s="1">
        <v>27.684000000000001</v>
      </c>
      <c r="BE19" s="1">
        <v>176</v>
      </c>
      <c r="BF19" s="1" t="s">
        <v>259</v>
      </c>
      <c r="BG19" s="1" t="s">
        <v>103</v>
      </c>
      <c r="BH19" s="1" t="s">
        <v>120</v>
      </c>
      <c r="BI19" s="1" t="s">
        <v>234</v>
      </c>
      <c r="BJ19" s="1" t="s">
        <v>106</v>
      </c>
      <c r="BK19" s="1" t="s">
        <v>107</v>
      </c>
      <c r="BL19" s="1" t="s">
        <v>108</v>
      </c>
      <c r="BM19" s="1">
        <v>32.29</v>
      </c>
      <c r="BQ19" s="1">
        <v>224</v>
      </c>
      <c r="BR19" s="1" t="s">
        <v>297</v>
      </c>
      <c r="BS19" s="1" t="s">
        <v>103</v>
      </c>
      <c r="BT19" s="1" t="s">
        <v>120</v>
      </c>
      <c r="BU19" s="1" t="s">
        <v>269</v>
      </c>
      <c r="BV19" s="1" t="s">
        <v>106</v>
      </c>
      <c r="BW19" s="1" t="s">
        <v>107</v>
      </c>
      <c r="BX19" s="1" t="s">
        <v>108</v>
      </c>
      <c r="BY19" s="1">
        <v>25.763000000000002</v>
      </c>
      <c r="CC19" s="1">
        <v>260</v>
      </c>
      <c r="CD19" s="1" t="s">
        <v>326</v>
      </c>
      <c r="CE19" s="1" t="s">
        <v>103</v>
      </c>
      <c r="CF19" s="1" t="s">
        <v>282</v>
      </c>
      <c r="CG19" s="1" t="s">
        <v>311</v>
      </c>
      <c r="CH19" s="1" t="s">
        <v>106</v>
      </c>
      <c r="CI19" s="1" t="s">
        <v>107</v>
      </c>
      <c r="CJ19" s="1" t="s">
        <v>108</v>
      </c>
      <c r="CK19" s="1" t="s">
        <v>235</v>
      </c>
      <c r="CO19" s="1">
        <v>272</v>
      </c>
      <c r="CP19" s="1" t="s">
        <v>341</v>
      </c>
      <c r="CQ19" s="1" t="s">
        <v>103</v>
      </c>
      <c r="CR19" s="1" t="s">
        <v>120</v>
      </c>
      <c r="CS19" s="1" t="s">
        <v>311</v>
      </c>
      <c r="CT19" s="1" t="s">
        <v>106</v>
      </c>
      <c r="CU19" s="1" t="s">
        <v>107</v>
      </c>
      <c r="CV19" s="1" t="s">
        <v>108</v>
      </c>
      <c r="CW19" s="1">
        <v>32.078000000000003</v>
      </c>
      <c r="DA19" s="1">
        <v>320</v>
      </c>
      <c r="DB19" s="1" t="s">
        <v>377</v>
      </c>
      <c r="DC19" s="1" t="s">
        <v>103</v>
      </c>
      <c r="DD19" s="1" t="s">
        <v>120</v>
      </c>
      <c r="DE19" s="1" t="s">
        <v>328</v>
      </c>
      <c r="DF19" s="1" t="s">
        <v>106</v>
      </c>
      <c r="DG19" s="1" t="s">
        <v>107</v>
      </c>
      <c r="DH19" s="1" t="s">
        <v>108</v>
      </c>
      <c r="DI19" s="1">
        <v>32.259</v>
      </c>
      <c r="DM19" s="1">
        <v>368</v>
      </c>
      <c r="DN19" s="1" t="s">
        <v>405</v>
      </c>
      <c r="DO19" s="1" t="s">
        <v>103</v>
      </c>
      <c r="DP19" s="1" t="s">
        <v>120</v>
      </c>
      <c r="DQ19" s="1" t="s">
        <v>332</v>
      </c>
      <c r="DR19" s="1" t="s">
        <v>106</v>
      </c>
      <c r="DS19" s="1" t="s">
        <v>107</v>
      </c>
      <c r="DT19" s="1" t="s">
        <v>108</v>
      </c>
      <c r="DU19" s="1">
        <v>22.582000000000001</v>
      </c>
    </row>
    <row r="20" spans="2:126" x14ac:dyDescent="0.25">
      <c r="B20" s="1">
        <v>9</v>
      </c>
      <c r="C20" s="1" t="s">
        <v>122</v>
      </c>
      <c r="D20" s="1" t="s">
        <v>103</v>
      </c>
      <c r="E20" s="1" t="s">
        <v>123</v>
      </c>
      <c r="F20" s="1" t="s">
        <v>105</v>
      </c>
      <c r="G20" s="1" t="s">
        <v>106</v>
      </c>
      <c r="H20" s="1" t="s">
        <v>107</v>
      </c>
      <c r="I20" s="1" t="s">
        <v>108</v>
      </c>
      <c r="J20" s="1">
        <v>24.247</v>
      </c>
      <c r="M20" s="1">
        <v>41</v>
      </c>
      <c r="N20" s="1" t="s">
        <v>149</v>
      </c>
      <c r="O20" s="1" t="s">
        <v>103</v>
      </c>
      <c r="P20" s="1" t="s">
        <v>104</v>
      </c>
      <c r="Q20" s="1" t="s">
        <v>129</v>
      </c>
      <c r="R20" s="1" t="s">
        <v>106</v>
      </c>
      <c r="S20" s="1" t="s">
        <v>107</v>
      </c>
      <c r="T20" s="1" t="s">
        <v>108</v>
      </c>
      <c r="U20" s="1">
        <v>18.263999999999999</v>
      </c>
      <c r="X20" s="1">
        <v>57</v>
      </c>
      <c r="Y20" s="1" t="s">
        <v>166</v>
      </c>
      <c r="Z20" s="1" t="s">
        <v>103</v>
      </c>
      <c r="AA20" s="1" t="s">
        <v>123</v>
      </c>
      <c r="AB20" s="1" t="s">
        <v>158</v>
      </c>
      <c r="AC20" s="1" t="s">
        <v>106</v>
      </c>
      <c r="AD20" s="1" t="s">
        <v>107</v>
      </c>
      <c r="AE20" s="1" t="s">
        <v>108</v>
      </c>
      <c r="AF20" s="1">
        <v>17.315000000000001</v>
      </c>
      <c r="AI20" s="1">
        <v>105</v>
      </c>
      <c r="AJ20" s="1" t="s">
        <v>199</v>
      </c>
      <c r="AK20" s="1" t="s">
        <v>103</v>
      </c>
      <c r="AL20" s="1" t="s">
        <v>123</v>
      </c>
      <c r="AM20" s="1" t="s">
        <v>191</v>
      </c>
      <c r="AN20" s="1" t="s">
        <v>106</v>
      </c>
      <c r="AO20" s="1" t="s">
        <v>107</v>
      </c>
      <c r="AP20" s="1" t="s">
        <v>108</v>
      </c>
      <c r="AQ20" s="1">
        <v>22.98</v>
      </c>
      <c r="AT20" s="1">
        <v>137</v>
      </c>
      <c r="AU20" s="1" t="s">
        <v>225</v>
      </c>
      <c r="AV20" s="1" t="s">
        <v>103</v>
      </c>
      <c r="AW20" s="1" t="s">
        <v>104</v>
      </c>
      <c r="AX20" s="1" t="s">
        <v>204</v>
      </c>
      <c r="AY20" s="1" t="s">
        <v>106</v>
      </c>
      <c r="AZ20" s="1" t="s">
        <v>107</v>
      </c>
      <c r="BA20" s="1" t="s">
        <v>108</v>
      </c>
      <c r="BB20" s="1">
        <v>31.282</v>
      </c>
      <c r="BE20" s="1">
        <v>153</v>
      </c>
      <c r="BF20" s="1" t="s">
        <v>244</v>
      </c>
      <c r="BG20" s="1" t="s">
        <v>103</v>
      </c>
      <c r="BH20" s="1" t="s">
        <v>123</v>
      </c>
      <c r="BI20" s="1" t="s">
        <v>234</v>
      </c>
      <c r="BJ20" s="1" t="s">
        <v>106</v>
      </c>
      <c r="BK20" s="1" t="s">
        <v>107</v>
      </c>
      <c r="BL20" s="1" t="s">
        <v>108</v>
      </c>
      <c r="BM20" s="1">
        <v>30.741</v>
      </c>
      <c r="BQ20" s="1">
        <v>201</v>
      </c>
      <c r="BR20" s="1" t="s">
        <v>277</v>
      </c>
      <c r="BS20" s="1" t="s">
        <v>103</v>
      </c>
      <c r="BT20" s="1" t="s">
        <v>123</v>
      </c>
      <c r="BU20" s="1" t="s">
        <v>269</v>
      </c>
      <c r="BV20" s="1" t="s">
        <v>106</v>
      </c>
      <c r="BW20" s="1" t="s">
        <v>107</v>
      </c>
      <c r="BX20" s="1" t="s">
        <v>108</v>
      </c>
      <c r="BY20" s="1">
        <v>25.884</v>
      </c>
      <c r="CC20" s="1">
        <v>233</v>
      </c>
      <c r="CD20" s="1" t="s">
        <v>302</v>
      </c>
      <c r="CE20" s="1" t="s">
        <v>103</v>
      </c>
      <c r="CF20" s="1" t="s">
        <v>282</v>
      </c>
      <c r="CG20" s="1" t="s">
        <v>105</v>
      </c>
      <c r="CH20" s="1" t="s">
        <v>106</v>
      </c>
      <c r="CI20" s="1" t="s">
        <v>107</v>
      </c>
      <c r="CJ20" s="1" t="s">
        <v>108</v>
      </c>
      <c r="CK20" s="1">
        <v>20.882000000000001</v>
      </c>
      <c r="CO20" s="1">
        <v>249</v>
      </c>
      <c r="CP20" s="1" t="s">
        <v>319</v>
      </c>
      <c r="CQ20" s="1" t="s">
        <v>103</v>
      </c>
      <c r="CR20" s="1" t="s">
        <v>123</v>
      </c>
      <c r="CS20" s="1" t="s">
        <v>311</v>
      </c>
      <c r="CT20" s="1" t="s">
        <v>106</v>
      </c>
      <c r="CU20" s="1" t="s">
        <v>107</v>
      </c>
      <c r="CV20" s="1" t="s">
        <v>108</v>
      </c>
      <c r="CW20" s="1">
        <v>33.643999999999998</v>
      </c>
      <c r="DA20" s="1">
        <v>297</v>
      </c>
      <c r="DB20" s="1" t="s">
        <v>362</v>
      </c>
      <c r="DC20" s="1" t="s">
        <v>103</v>
      </c>
      <c r="DD20" s="1" t="s">
        <v>123</v>
      </c>
      <c r="DE20" s="1" t="s">
        <v>328</v>
      </c>
      <c r="DF20" s="1" t="s">
        <v>106</v>
      </c>
      <c r="DG20" s="1" t="s">
        <v>107</v>
      </c>
      <c r="DH20" s="1" t="s">
        <v>108</v>
      </c>
      <c r="DI20" s="1" t="s">
        <v>235</v>
      </c>
      <c r="DM20" s="1">
        <v>345</v>
      </c>
      <c r="DN20" s="1" t="s">
        <v>394</v>
      </c>
      <c r="DO20" s="1" t="s">
        <v>103</v>
      </c>
      <c r="DP20" s="1" t="s">
        <v>123</v>
      </c>
      <c r="DQ20" s="1" t="s">
        <v>332</v>
      </c>
      <c r="DR20" s="1" t="s">
        <v>106</v>
      </c>
      <c r="DS20" s="1" t="s">
        <v>107</v>
      </c>
      <c r="DT20" s="1" t="s">
        <v>108</v>
      </c>
      <c r="DU20" s="1">
        <v>23.177</v>
      </c>
    </row>
    <row r="21" spans="2:126" x14ac:dyDescent="0.25">
      <c r="B21" s="1">
        <v>9</v>
      </c>
      <c r="C21" s="1" t="s">
        <v>145</v>
      </c>
      <c r="D21" s="1" t="s">
        <v>103</v>
      </c>
      <c r="E21" s="1" t="s">
        <v>123</v>
      </c>
      <c r="F21" s="1" t="s">
        <v>105</v>
      </c>
      <c r="G21" s="1" t="s">
        <v>106</v>
      </c>
      <c r="H21" s="1" t="s">
        <v>107</v>
      </c>
      <c r="I21" s="1" t="s">
        <v>108</v>
      </c>
      <c r="J21" s="1">
        <v>24.454999999999998</v>
      </c>
      <c r="M21" s="1">
        <v>89</v>
      </c>
      <c r="N21" s="1" t="s">
        <v>186</v>
      </c>
      <c r="O21" s="1" t="s">
        <v>103</v>
      </c>
      <c r="P21" s="1" t="s">
        <v>123</v>
      </c>
      <c r="Q21" s="1" t="s">
        <v>129</v>
      </c>
      <c r="R21" s="1" t="s">
        <v>106</v>
      </c>
      <c r="S21" s="1" t="s">
        <v>107</v>
      </c>
      <c r="T21" s="1" t="s">
        <v>108</v>
      </c>
      <c r="U21" s="1">
        <v>18.565999999999999</v>
      </c>
      <c r="X21" s="1">
        <v>81</v>
      </c>
      <c r="Y21" s="1" t="s">
        <v>182</v>
      </c>
      <c r="Z21" s="1" t="s">
        <v>103</v>
      </c>
      <c r="AA21" s="1" t="s">
        <v>123</v>
      </c>
      <c r="AB21" s="1" t="s">
        <v>158</v>
      </c>
      <c r="AC21" s="1" t="s">
        <v>106</v>
      </c>
      <c r="AD21" s="1" t="s">
        <v>107</v>
      </c>
      <c r="AE21" s="1" t="s">
        <v>108</v>
      </c>
      <c r="AF21" s="1">
        <v>17.506</v>
      </c>
      <c r="AI21" s="1">
        <v>129</v>
      </c>
      <c r="AJ21" s="1" t="s">
        <v>221</v>
      </c>
      <c r="AK21" s="1" t="s">
        <v>103</v>
      </c>
      <c r="AL21" s="1" t="s">
        <v>123</v>
      </c>
      <c r="AM21" s="1" t="s">
        <v>191</v>
      </c>
      <c r="AN21" s="1" t="s">
        <v>106</v>
      </c>
      <c r="AO21" s="1" t="s">
        <v>107</v>
      </c>
      <c r="AP21" s="1" t="s">
        <v>108</v>
      </c>
      <c r="AQ21" s="1">
        <v>22.992000000000001</v>
      </c>
      <c r="AT21" s="1">
        <v>185</v>
      </c>
      <c r="AU21" s="1" t="s">
        <v>264</v>
      </c>
      <c r="AV21" s="1" t="s">
        <v>103</v>
      </c>
      <c r="AW21" s="1" t="s">
        <v>123</v>
      </c>
      <c r="AX21" s="1" t="s">
        <v>204</v>
      </c>
      <c r="AY21" s="1" t="s">
        <v>106</v>
      </c>
      <c r="AZ21" s="1" t="s">
        <v>107</v>
      </c>
      <c r="BA21" s="1" t="s">
        <v>108</v>
      </c>
      <c r="BB21" s="1">
        <v>27.905000000000001</v>
      </c>
      <c r="BC21" s="1"/>
      <c r="BD21" s="1"/>
      <c r="BE21" s="1">
        <v>177</v>
      </c>
      <c r="BF21" s="1" t="s">
        <v>260</v>
      </c>
      <c r="BG21" s="1" t="s">
        <v>103</v>
      </c>
      <c r="BH21" s="1" t="s">
        <v>123</v>
      </c>
      <c r="BI21" s="1" t="s">
        <v>234</v>
      </c>
      <c r="BJ21" s="1" t="s">
        <v>106</v>
      </c>
      <c r="BK21" s="1" t="s">
        <v>107</v>
      </c>
      <c r="BL21" s="1" t="s">
        <v>108</v>
      </c>
      <c r="BM21" s="1">
        <v>31.202000000000002</v>
      </c>
      <c r="BQ21" s="1">
        <v>225</v>
      </c>
      <c r="BR21" s="1" t="s">
        <v>298</v>
      </c>
      <c r="BS21" s="1" t="s">
        <v>103</v>
      </c>
      <c r="BT21" s="1" t="s">
        <v>123</v>
      </c>
      <c r="BU21" s="1" t="s">
        <v>269</v>
      </c>
      <c r="BV21" s="1" t="s">
        <v>106</v>
      </c>
      <c r="BW21" s="1" t="s">
        <v>107</v>
      </c>
      <c r="BX21" s="1" t="s">
        <v>108</v>
      </c>
      <c r="BY21" s="1">
        <v>25.899000000000001</v>
      </c>
      <c r="CC21" s="1">
        <v>261</v>
      </c>
      <c r="CD21" s="1" t="s">
        <v>327</v>
      </c>
      <c r="CE21" s="1" t="s">
        <v>103</v>
      </c>
      <c r="CF21" s="1" t="s">
        <v>282</v>
      </c>
      <c r="CG21" s="1" t="s">
        <v>328</v>
      </c>
      <c r="CH21" s="1" t="s">
        <v>106</v>
      </c>
      <c r="CI21" s="1" t="s">
        <v>107</v>
      </c>
      <c r="CJ21" s="1" t="s">
        <v>108</v>
      </c>
      <c r="CK21" s="1" t="s">
        <v>235</v>
      </c>
      <c r="CO21" s="1">
        <v>273</v>
      </c>
      <c r="CP21" s="1" t="s">
        <v>342</v>
      </c>
      <c r="CQ21" s="1" t="s">
        <v>103</v>
      </c>
      <c r="CR21" s="1" t="s">
        <v>123</v>
      </c>
      <c r="CS21" s="1" t="s">
        <v>311</v>
      </c>
      <c r="CT21" s="1" t="s">
        <v>106</v>
      </c>
      <c r="CU21" s="1" t="s">
        <v>107</v>
      </c>
      <c r="CV21" s="1" t="s">
        <v>108</v>
      </c>
      <c r="CW21" s="1" t="s">
        <v>235</v>
      </c>
      <c r="DA21" s="1">
        <v>321</v>
      </c>
      <c r="DB21" s="1" t="s">
        <v>378</v>
      </c>
      <c r="DC21" s="1" t="s">
        <v>103</v>
      </c>
      <c r="DD21" s="1" t="s">
        <v>123</v>
      </c>
      <c r="DE21" s="1" t="s">
        <v>328</v>
      </c>
      <c r="DF21" s="1" t="s">
        <v>106</v>
      </c>
      <c r="DG21" s="1" t="s">
        <v>107</v>
      </c>
      <c r="DH21" s="1" t="s">
        <v>108</v>
      </c>
      <c r="DI21" s="1" t="s">
        <v>235</v>
      </c>
      <c r="DM21" s="1">
        <v>369</v>
      </c>
      <c r="DN21" s="1" t="s">
        <v>406</v>
      </c>
      <c r="DO21" s="1" t="s">
        <v>103</v>
      </c>
      <c r="DP21" s="1" t="s">
        <v>123</v>
      </c>
      <c r="DQ21" s="1" t="s">
        <v>332</v>
      </c>
      <c r="DR21" s="1" t="s">
        <v>106</v>
      </c>
      <c r="DS21" s="1" t="s">
        <v>107</v>
      </c>
      <c r="DT21" s="1" t="s">
        <v>108</v>
      </c>
      <c r="DU21" s="1">
        <v>23.096</v>
      </c>
    </row>
    <row r="22" spans="2:126" x14ac:dyDescent="0.25">
      <c r="B22" s="1">
        <v>10</v>
      </c>
      <c r="C22" s="1" t="s">
        <v>124</v>
      </c>
      <c r="D22" s="1" t="s">
        <v>103</v>
      </c>
      <c r="E22" s="1" t="s">
        <v>123</v>
      </c>
      <c r="F22" s="1" t="s">
        <v>105</v>
      </c>
      <c r="G22" s="1" t="s">
        <v>106</v>
      </c>
      <c r="H22" s="1" t="s">
        <v>107</v>
      </c>
      <c r="I22" s="1" t="s">
        <v>108</v>
      </c>
      <c r="J22" s="1">
        <v>24.245999999999999</v>
      </c>
      <c r="M22" s="1">
        <v>42</v>
      </c>
      <c r="N22" s="1" t="s">
        <v>150</v>
      </c>
      <c r="O22" s="1" t="s">
        <v>103</v>
      </c>
      <c r="P22" s="1" t="s">
        <v>104</v>
      </c>
      <c r="Q22" s="1" t="s">
        <v>129</v>
      </c>
      <c r="R22" s="1" t="s">
        <v>106</v>
      </c>
      <c r="S22" s="1" t="s">
        <v>107</v>
      </c>
      <c r="T22" s="1" t="s">
        <v>108</v>
      </c>
      <c r="U22" s="1">
        <v>18.21</v>
      </c>
      <c r="X22" s="1">
        <v>58</v>
      </c>
      <c r="Y22" s="1" t="s">
        <v>167</v>
      </c>
      <c r="Z22" s="1" t="s">
        <v>103</v>
      </c>
      <c r="AA22" s="1" t="s">
        <v>123</v>
      </c>
      <c r="AB22" s="1" t="s">
        <v>158</v>
      </c>
      <c r="AC22" s="1" t="s">
        <v>106</v>
      </c>
      <c r="AD22" s="1" t="s">
        <v>107</v>
      </c>
      <c r="AE22" s="1" t="s">
        <v>108</v>
      </c>
      <c r="AF22" s="1">
        <v>17.379000000000001</v>
      </c>
      <c r="AI22" s="1">
        <v>106</v>
      </c>
      <c r="AJ22" s="1" t="s">
        <v>200</v>
      </c>
      <c r="AK22" s="1" t="s">
        <v>103</v>
      </c>
      <c r="AL22" s="1" t="s">
        <v>123</v>
      </c>
      <c r="AM22" s="1" t="s">
        <v>191</v>
      </c>
      <c r="AN22" s="1" t="s">
        <v>106</v>
      </c>
      <c r="AO22" s="1" t="s">
        <v>107</v>
      </c>
      <c r="AP22" s="1" t="s">
        <v>108</v>
      </c>
      <c r="AQ22" s="1">
        <v>22.907</v>
      </c>
      <c r="AT22" s="1">
        <v>138</v>
      </c>
      <c r="AU22" s="1" t="s">
        <v>226</v>
      </c>
      <c r="AV22" s="1" t="s">
        <v>103</v>
      </c>
      <c r="AW22" s="1" t="s">
        <v>104</v>
      </c>
      <c r="AX22" s="1" t="s">
        <v>204</v>
      </c>
      <c r="AY22" s="1" t="s">
        <v>106</v>
      </c>
      <c r="AZ22" s="1" t="s">
        <v>107</v>
      </c>
      <c r="BA22" s="1" t="s">
        <v>108</v>
      </c>
      <c r="BB22" s="1">
        <v>30.731000000000002</v>
      </c>
      <c r="BE22" s="1">
        <v>154</v>
      </c>
      <c r="BF22" s="1" t="s">
        <v>245</v>
      </c>
      <c r="BG22" s="1" t="s">
        <v>103</v>
      </c>
      <c r="BH22" s="1" t="s">
        <v>123</v>
      </c>
      <c r="BI22" s="1" t="s">
        <v>234</v>
      </c>
      <c r="BJ22" s="1" t="s">
        <v>106</v>
      </c>
      <c r="BK22" s="1" t="s">
        <v>107</v>
      </c>
      <c r="BL22" s="1" t="s">
        <v>108</v>
      </c>
      <c r="BM22" s="1">
        <v>30.847999999999999</v>
      </c>
      <c r="BQ22" s="1">
        <v>202</v>
      </c>
      <c r="BR22" s="1" t="s">
        <v>278</v>
      </c>
      <c r="BS22" s="1" t="s">
        <v>103</v>
      </c>
      <c r="BT22" s="1" t="s">
        <v>123</v>
      </c>
      <c r="BU22" s="1" t="s">
        <v>269</v>
      </c>
      <c r="BV22" s="1" t="s">
        <v>106</v>
      </c>
      <c r="BW22" s="1" t="s">
        <v>107</v>
      </c>
      <c r="BX22" s="1" t="s">
        <v>108</v>
      </c>
      <c r="BY22" s="1">
        <v>25.966999999999999</v>
      </c>
      <c r="CC22" s="1">
        <v>234</v>
      </c>
      <c r="CD22" s="1" t="s">
        <v>303</v>
      </c>
      <c r="CE22" s="1" t="s">
        <v>103</v>
      </c>
      <c r="CF22" s="1" t="s">
        <v>282</v>
      </c>
      <c r="CG22" s="1" t="s">
        <v>105</v>
      </c>
      <c r="CH22" s="1" t="s">
        <v>106</v>
      </c>
      <c r="CI22" s="1" t="s">
        <v>107</v>
      </c>
      <c r="CJ22" s="1" t="s">
        <v>108</v>
      </c>
      <c r="CK22" s="1">
        <v>24.774000000000001</v>
      </c>
      <c r="CO22" s="1">
        <v>250</v>
      </c>
      <c r="CP22" s="1" t="s">
        <v>320</v>
      </c>
      <c r="CQ22" s="1" t="s">
        <v>103</v>
      </c>
      <c r="CR22" s="1" t="s">
        <v>123</v>
      </c>
      <c r="CS22" s="1" t="s">
        <v>311</v>
      </c>
      <c r="CT22" s="1" t="s">
        <v>106</v>
      </c>
      <c r="CU22" s="1" t="s">
        <v>107</v>
      </c>
      <c r="CV22" s="1" t="s">
        <v>108</v>
      </c>
      <c r="CW22" s="1">
        <v>31.75</v>
      </c>
      <c r="DA22" s="1">
        <v>298</v>
      </c>
      <c r="DB22" s="1" t="s">
        <v>363</v>
      </c>
      <c r="DC22" s="1" t="s">
        <v>103</v>
      </c>
      <c r="DD22" s="1" t="s">
        <v>123</v>
      </c>
      <c r="DE22" s="1" t="s">
        <v>328</v>
      </c>
      <c r="DF22" s="1" t="s">
        <v>106</v>
      </c>
      <c r="DG22" s="1" t="s">
        <v>107</v>
      </c>
      <c r="DH22" s="1" t="s">
        <v>108</v>
      </c>
      <c r="DI22" s="1">
        <v>32.076000000000001</v>
      </c>
      <c r="DM22" s="1">
        <v>346</v>
      </c>
      <c r="DN22" s="1" t="s">
        <v>395</v>
      </c>
      <c r="DO22" s="1" t="s">
        <v>103</v>
      </c>
      <c r="DP22" s="1" t="s">
        <v>123</v>
      </c>
      <c r="DQ22" s="1" t="s">
        <v>332</v>
      </c>
      <c r="DR22" s="1" t="s">
        <v>106</v>
      </c>
      <c r="DS22" s="1" t="s">
        <v>107</v>
      </c>
      <c r="DT22" s="1" t="s">
        <v>108</v>
      </c>
      <c r="DU22" s="1">
        <v>22.966999999999999</v>
      </c>
    </row>
    <row r="23" spans="2:126" x14ac:dyDescent="0.25">
      <c r="B23" s="1">
        <v>10</v>
      </c>
      <c r="C23" s="1" t="s">
        <v>146</v>
      </c>
      <c r="D23" s="1" t="s">
        <v>103</v>
      </c>
      <c r="E23" s="1" t="s">
        <v>123</v>
      </c>
      <c r="F23" s="1" t="s">
        <v>105</v>
      </c>
      <c r="G23" s="1" t="s">
        <v>106</v>
      </c>
      <c r="H23" s="1" t="s">
        <v>107</v>
      </c>
      <c r="I23" s="1" t="s">
        <v>108</v>
      </c>
      <c r="J23" s="1">
        <v>24.215</v>
      </c>
      <c r="M23" s="1">
        <v>90</v>
      </c>
      <c r="N23" s="1" t="s">
        <v>187</v>
      </c>
      <c r="O23" s="1" t="s">
        <v>103</v>
      </c>
      <c r="P23" s="1" t="s">
        <v>123</v>
      </c>
      <c r="Q23" s="1" t="s">
        <v>129</v>
      </c>
      <c r="R23" s="1" t="s">
        <v>106</v>
      </c>
      <c r="S23" s="1" t="s">
        <v>107</v>
      </c>
      <c r="T23" s="1" t="s">
        <v>108</v>
      </c>
      <c r="U23" s="1">
        <v>18.597999999999999</v>
      </c>
      <c r="X23" s="1">
        <v>82</v>
      </c>
      <c r="Y23" s="1" t="s">
        <v>183</v>
      </c>
      <c r="Z23" s="1" t="s">
        <v>103</v>
      </c>
      <c r="AA23" s="1" t="s">
        <v>123</v>
      </c>
      <c r="AB23" s="1" t="s">
        <v>158</v>
      </c>
      <c r="AC23" s="1" t="s">
        <v>106</v>
      </c>
      <c r="AD23" s="1" t="s">
        <v>107</v>
      </c>
      <c r="AE23" s="1" t="s">
        <v>108</v>
      </c>
      <c r="AF23" s="1">
        <v>17.209</v>
      </c>
      <c r="AI23" s="1">
        <v>130</v>
      </c>
      <c r="AJ23" s="1" t="s">
        <v>222</v>
      </c>
      <c r="AK23" s="1" t="s">
        <v>103</v>
      </c>
      <c r="AL23" s="1" t="s">
        <v>123</v>
      </c>
      <c r="AM23" s="1" t="s">
        <v>191</v>
      </c>
      <c r="AN23" s="1" t="s">
        <v>106</v>
      </c>
      <c r="AO23" s="1" t="s">
        <v>107</v>
      </c>
      <c r="AP23" s="1" t="s">
        <v>108</v>
      </c>
      <c r="AQ23" s="1">
        <v>22.876000000000001</v>
      </c>
      <c r="AT23" s="1">
        <v>186</v>
      </c>
      <c r="AU23" s="1" t="s">
        <v>265</v>
      </c>
      <c r="AV23" s="1" t="s">
        <v>103</v>
      </c>
      <c r="AW23" s="1" t="s">
        <v>123</v>
      </c>
      <c r="AX23" s="1" t="s">
        <v>204</v>
      </c>
      <c r="AY23" s="1" t="s">
        <v>106</v>
      </c>
      <c r="AZ23" s="1" t="s">
        <v>107</v>
      </c>
      <c r="BA23" s="1" t="s">
        <v>108</v>
      </c>
      <c r="BB23" s="1">
        <v>27.856999999999999</v>
      </c>
      <c r="BC23" s="1"/>
      <c r="BD23" s="1"/>
      <c r="BE23" s="1">
        <v>178</v>
      </c>
      <c r="BF23" s="1" t="s">
        <v>261</v>
      </c>
      <c r="BG23" s="1" t="s">
        <v>103</v>
      </c>
      <c r="BH23" s="1" t="s">
        <v>123</v>
      </c>
      <c r="BI23" s="1" t="s">
        <v>234</v>
      </c>
      <c r="BJ23" s="1" t="s">
        <v>106</v>
      </c>
      <c r="BK23" s="1" t="s">
        <v>107</v>
      </c>
      <c r="BL23" s="1" t="s">
        <v>108</v>
      </c>
      <c r="BM23" s="1">
        <v>31.547999999999998</v>
      </c>
      <c r="BQ23" s="1">
        <v>226</v>
      </c>
      <c r="BR23" s="1" t="s">
        <v>299</v>
      </c>
      <c r="BS23" s="1" t="s">
        <v>103</v>
      </c>
      <c r="BT23" s="1" t="s">
        <v>123</v>
      </c>
      <c r="BU23" s="1" t="s">
        <v>269</v>
      </c>
      <c r="BV23" s="1" t="s">
        <v>106</v>
      </c>
      <c r="BW23" s="1" t="s">
        <v>107</v>
      </c>
      <c r="BX23" s="1" t="s">
        <v>108</v>
      </c>
      <c r="BY23" s="1">
        <v>25.861000000000001</v>
      </c>
      <c r="CC23" s="1">
        <v>262</v>
      </c>
      <c r="CD23" s="1" t="s">
        <v>329</v>
      </c>
      <c r="CE23" s="1" t="s">
        <v>103</v>
      </c>
      <c r="CF23" s="1" t="s">
        <v>282</v>
      </c>
      <c r="CG23" s="1" t="s">
        <v>328</v>
      </c>
      <c r="CH23" s="1" t="s">
        <v>106</v>
      </c>
      <c r="CI23" s="1" t="s">
        <v>107</v>
      </c>
      <c r="CJ23" s="1" t="s">
        <v>108</v>
      </c>
      <c r="CK23" s="1">
        <v>36.997</v>
      </c>
      <c r="CO23" s="1">
        <v>274</v>
      </c>
      <c r="CP23" s="1" t="s">
        <v>343</v>
      </c>
      <c r="CQ23" s="1" t="s">
        <v>103</v>
      </c>
      <c r="CR23" s="1" t="s">
        <v>123</v>
      </c>
      <c r="CS23" s="1" t="s">
        <v>311</v>
      </c>
      <c r="CT23" s="1" t="s">
        <v>106</v>
      </c>
      <c r="CU23" s="1" t="s">
        <v>107</v>
      </c>
      <c r="CV23" s="1" t="s">
        <v>108</v>
      </c>
      <c r="CW23" s="1">
        <v>32.320999999999998</v>
      </c>
      <c r="DA23" s="1">
        <v>322</v>
      </c>
      <c r="DB23" s="1" t="s">
        <v>379</v>
      </c>
      <c r="DC23" s="1" t="s">
        <v>103</v>
      </c>
      <c r="DD23" s="1" t="s">
        <v>123</v>
      </c>
      <c r="DE23" s="1" t="s">
        <v>328</v>
      </c>
      <c r="DF23" s="1" t="s">
        <v>106</v>
      </c>
      <c r="DG23" s="1" t="s">
        <v>107</v>
      </c>
      <c r="DH23" s="1" t="s">
        <v>108</v>
      </c>
      <c r="DI23" s="1" t="s">
        <v>235</v>
      </c>
      <c r="DM23" s="1">
        <v>370</v>
      </c>
      <c r="DN23" s="1" t="s">
        <v>407</v>
      </c>
      <c r="DO23" s="1" t="s">
        <v>103</v>
      </c>
      <c r="DP23" s="1" t="s">
        <v>123</v>
      </c>
      <c r="DQ23" s="1" t="s">
        <v>332</v>
      </c>
      <c r="DR23" s="1" t="s">
        <v>106</v>
      </c>
      <c r="DS23" s="1" t="s">
        <v>107</v>
      </c>
      <c r="DT23" s="1" t="s">
        <v>108</v>
      </c>
      <c r="DU23" s="1">
        <v>23.094000000000001</v>
      </c>
    </row>
    <row r="24" spans="2:126" x14ac:dyDescent="0.25">
      <c r="B24" s="1">
        <v>11</v>
      </c>
      <c r="C24" s="1" t="s">
        <v>125</v>
      </c>
      <c r="D24" s="1" t="s">
        <v>103</v>
      </c>
      <c r="E24" s="1" t="s">
        <v>126</v>
      </c>
      <c r="F24" s="1" t="s">
        <v>105</v>
      </c>
      <c r="G24" s="1" t="s">
        <v>106</v>
      </c>
      <c r="H24" s="1" t="s">
        <v>107</v>
      </c>
      <c r="I24" s="1" t="s">
        <v>108</v>
      </c>
      <c r="J24" s="1">
        <v>24.271000000000001</v>
      </c>
      <c r="M24" s="1">
        <v>43</v>
      </c>
      <c r="N24" s="1" t="s">
        <v>151</v>
      </c>
      <c r="O24" s="1" t="s">
        <v>103</v>
      </c>
      <c r="P24" s="1" t="s">
        <v>114</v>
      </c>
      <c r="Q24" s="1" t="s">
        <v>129</v>
      </c>
      <c r="R24" s="1" t="s">
        <v>106</v>
      </c>
      <c r="S24" s="1" t="s">
        <v>107</v>
      </c>
      <c r="T24" s="1" t="s">
        <v>108</v>
      </c>
      <c r="U24" s="1">
        <v>18.074000000000002</v>
      </c>
      <c r="X24" s="1">
        <v>59</v>
      </c>
      <c r="Y24" s="1" t="s">
        <v>168</v>
      </c>
      <c r="Z24" s="1" t="s">
        <v>103</v>
      </c>
      <c r="AA24" s="1" t="s">
        <v>126</v>
      </c>
      <c r="AB24" s="1" t="s">
        <v>158</v>
      </c>
      <c r="AC24" s="1" t="s">
        <v>106</v>
      </c>
      <c r="AD24" s="1" t="s">
        <v>107</v>
      </c>
      <c r="AE24" s="1" t="s">
        <v>108</v>
      </c>
      <c r="AF24" s="1">
        <v>17.221</v>
      </c>
      <c r="AI24" s="1">
        <v>107</v>
      </c>
      <c r="AJ24" s="1" t="s">
        <v>201</v>
      </c>
      <c r="AK24" s="1" t="s">
        <v>103</v>
      </c>
      <c r="AL24" s="1" t="s">
        <v>126</v>
      </c>
      <c r="AM24" s="1" t="s">
        <v>191</v>
      </c>
      <c r="AN24" s="1" t="s">
        <v>106</v>
      </c>
      <c r="AO24" s="1" t="s">
        <v>107</v>
      </c>
      <c r="AP24" s="1" t="s">
        <v>108</v>
      </c>
      <c r="AQ24" s="1">
        <v>22.808</v>
      </c>
      <c r="AT24" s="1">
        <v>139</v>
      </c>
      <c r="AU24" s="1" t="s">
        <v>227</v>
      </c>
      <c r="AV24" s="1" t="s">
        <v>103</v>
      </c>
      <c r="AW24" s="1" t="s">
        <v>114</v>
      </c>
      <c r="AX24" s="1" t="s">
        <v>204</v>
      </c>
      <c r="AY24" s="1" t="s">
        <v>106</v>
      </c>
      <c r="AZ24" s="1" t="s">
        <v>107</v>
      </c>
      <c r="BA24" s="1" t="s">
        <v>108</v>
      </c>
      <c r="BB24" s="1">
        <v>30.562000000000001</v>
      </c>
      <c r="BE24" s="1">
        <v>155</v>
      </c>
      <c r="BF24" s="1" t="s">
        <v>246</v>
      </c>
      <c r="BG24" s="1" t="s">
        <v>103</v>
      </c>
      <c r="BH24" s="1" t="s">
        <v>126</v>
      </c>
      <c r="BI24" s="1" t="s">
        <v>234</v>
      </c>
      <c r="BJ24" s="1" t="s">
        <v>106</v>
      </c>
      <c r="BK24" s="1" t="s">
        <v>107</v>
      </c>
      <c r="BL24" s="1" t="s">
        <v>108</v>
      </c>
      <c r="BM24" s="1">
        <v>30.803000000000001</v>
      </c>
      <c r="BQ24" s="1">
        <v>203</v>
      </c>
      <c r="BR24" s="1" t="s">
        <v>279</v>
      </c>
      <c r="BS24" s="1" t="s">
        <v>103</v>
      </c>
      <c r="BT24" s="1" t="s">
        <v>126</v>
      </c>
      <c r="BU24" s="1" t="s">
        <v>269</v>
      </c>
      <c r="BV24" s="1" t="s">
        <v>106</v>
      </c>
      <c r="BW24" s="1" t="s">
        <v>107</v>
      </c>
      <c r="BX24" s="1" t="s">
        <v>108</v>
      </c>
      <c r="BY24" s="1">
        <v>25.7</v>
      </c>
      <c r="CC24" s="1">
        <v>235</v>
      </c>
      <c r="CD24" s="1" t="s">
        <v>304</v>
      </c>
      <c r="CE24" s="1" t="s">
        <v>103</v>
      </c>
      <c r="CF24" s="1" t="s">
        <v>282</v>
      </c>
      <c r="CG24" s="1" t="s">
        <v>158</v>
      </c>
      <c r="CH24" s="1" t="s">
        <v>106</v>
      </c>
      <c r="CI24" s="1" t="s">
        <v>107</v>
      </c>
      <c r="CJ24" s="1" t="s">
        <v>108</v>
      </c>
      <c r="CK24" s="1" t="s">
        <v>235</v>
      </c>
      <c r="CO24" s="1">
        <v>251</v>
      </c>
      <c r="CP24" s="1" t="s">
        <v>321</v>
      </c>
      <c r="CQ24" s="1" t="s">
        <v>103</v>
      </c>
      <c r="CR24" s="1" t="s">
        <v>126</v>
      </c>
      <c r="CS24" s="1" t="s">
        <v>311</v>
      </c>
      <c r="CT24" s="1" t="s">
        <v>106</v>
      </c>
      <c r="CU24" s="1" t="s">
        <v>107</v>
      </c>
      <c r="CV24" s="1" t="s">
        <v>108</v>
      </c>
      <c r="CW24" s="1">
        <v>32.127000000000002</v>
      </c>
      <c r="DA24" s="1">
        <v>299</v>
      </c>
      <c r="DB24" s="1" t="s">
        <v>364</v>
      </c>
      <c r="DC24" s="1" t="s">
        <v>103</v>
      </c>
      <c r="DD24" s="1" t="s">
        <v>126</v>
      </c>
      <c r="DE24" s="1" t="s">
        <v>328</v>
      </c>
      <c r="DF24" s="1" t="s">
        <v>106</v>
      </c>
      <c r="DG24" s="1" t="s">
        <v>107</v>
      </c>
      <c r="DH24" s="1" t="s">
        <v>108</v>
      </c>
      <c r="DI24" s="1">
        <v>32.655000000000001</v>
      </c>
      <c r="DM24" s="1">
        <v>347</v>
      </c>
      <c r="DN24" s="1" t="s">
        <v>396</v>
      </c>
      <c r="DO24" s="1" t="s">
        <v>103</v>
      </c>
      <c r="DP24" s="1" t="s">
        <v>126</v>
      </c>
      <c r="DQ24" s="1" t="s">
        <v>332</v>
      </c>
      <c r="DR24" s="1" t="s">
        <v>106</v>
      </c>
      <c r="DS24" s="1" t="s">
        <v>107</v>
      </c>
      <c r="DT24" s="1" t="s">
        <v>108</v>
      </c>
      <c r="DU24" s="1">
        <v>22.98</v>
      </c>
    </row>
    <row r="25" spans="2:126" x14ac:dyDescent="0.25">
      <c r="B25" s="1">
        <v>11</v>
      </c>
      <c r="C25" s="1" t="s">
        <v>147</v>
      </c>
      <c r="D25" s="1" t="s">
        <v>103</v>
      </c>
      <c r="E25" s="1" t="s">
        <v>126</v>
      </c>
      <c r="F25" s="1" t="s">
        <v>105</v>
      </c>
      <c r="G25" s="1" t="s">
        <v>106</v>
      </c>
      <c r="H25" s="1" t="s">
        <v>107</v>
      </c>
      <c r="I25" s="1" t="s">
        <v>108</v>
      </c>
      <c r="J25" s="1">
        <v>24.207999999999998</v>
      </c>
      <c r="M25" s="1">
        <v>91</v>
      </c>
      <c r="N25" s="1" t="s">
        <v>188</v>
      </c>
      <c r="O25" s="1" t="s">
        <v>103</v>
      </c>
      <c r="P25" s="1" t="s">
        <v>126</v>
      </c>
      <c r="Q25" s="1" t="s">
        <v>129</v>
      </c>
      <c r="R25" s="1" t="s">
        <v>106</v>
      </c>
      <c r="S25" s="1" t="s">
        <v>107</v>
      </c>
      <c r="T25" s="1" t="s">
        <v>108</v>
      </c>
      <c r="U25" s="1">
        <v>18.613</v>
      </c>
      <c r="X25" s="1">
        <v>83</v>
      </c>
      <c r="Y25" s="1" t="s">
        <v>184</v>
      </c>
      <c r="Z25" s="1" t="s">
        <v>103</v>
      </c>
      <c r="AA25" s="1" t="s">
        <v>126</v>
      </c>
      <c r="AB25" s="1" t="s">
        <v>158</v>
      </c>
      <c r="AC25" s="1" t="s">
        <v>106</v>
      </c>
      <c r="AD25" s="1" t="s">
        <v>107</v>
      </c>
      <c r="AE25" s="1" t="s">
        <v>108</v>
      </c>
      <c r="AF25" s="1">
        <v>17.259</v>
      </c>
      <c r="AI25" s="1">
        <v>131</v>
      </c>
      <c r="AJ25" s="1" t="s">
        <v>223</v>
      </c>
      <c r="AK25" s="1" t="s">
        <v>103</v>
      </c>
      <c r="AL25" s="1" t="s">
        <v>126</v>
      </c>
      <c r="AM25" s="1" t="s">
        <v>191</v>
      </c>
      <c r="AN25" s="1" t="s">
        <v>106</v>
      </c>
      <c r="AO25" s="1" t="s">
        <v>107</v>
      </c>
      <c r="AP25" s="1" t="s">
        <v>108</v>
      </c>
      <c r="AQ25" s="1">
        <v>22.734999999999999</v>
      </c>
      <c r="AT25" s="1">
        <v>187</v>
      </c>
      <c r="AU25" s="1" t="s">
        <v>266</v>
      </c>
      <c r="AV25" s="1" t="s">
        <v>103</v>
      </c>
      <c r="AW25" s="1" t="s">
        <v>126</v>
      </c>
      <c r="AX25" s="1" t="s">
        <v>204</v>
      </c>
      <c r="AY25" s="1" t="s">
        <v>106</v>
      </c>
      <c r="AZ25" s="1" t="s">
        <v>107</v>
      </c>
      <c r="BA25" s="1" t="s">
        <v>108</v>
      </c>
      <c r="BB25" s="1">
        <v>27.812999999999999</v>
      </c>
      <c r="BC25" s="1"/>
      <c r="BD25" s="1"/>
      <c r="BE25" s="1">
        <v>179</v>
      </c>
      <c r="BF25" s="1" t="s">
        <v>262</v>
      </c>
      <c r="BG25" s="1" t="s">
        <v>103</v>
      </c>
      <c r="BH25" s="1" t="s">
        <v>126</v>
      </c>
      <c r="BI25" s="1" t="s">
        <v>234</v>
      </c>
      <c r="BJ25" s="1" t="s">
        <v>106</v>
      </c>
      <c r="BK25" s="1" t="s">
        <v>107</v>
      </c>
      <c r="BL25" s="1" t="s">
        <v>108</v>
      </c>
      <c r="BM25" s="1">
        <v>31.49</v>
      </c>
      <c r="BQ25" s="1">
        <v>227</v>
      </c>
      <c r="BR25" s="1" t="s">
        <v>300</v>
      </c>
      <c r="BS25" s="1" t="s">
        <v>103</v>
      </c>
      <c r="BT25" s="1" t="s">
        <v>126</v>
      </c>
      <c r="BU25" s="1" t="s">
        <v>269</v>
      </c>
      <c r="BV25" s="1" t="s">
        <v>106</v>
      </c>
      <c r="BW25" s="1" t="s">
        <v>107</v>
      </c>
      <c r="BX25" s="1" t="s">
        <v>108</v>
      </c>
      <c r="BY25" s="1">
        <v>25.509</v>
      </c>
      <c r="CC25" s="1">
        <v>263</v>
      </c>
      <c r="CD25" s="1" t="s">
        <v>331</v>
      </c>
      <c r="CE25" s="1" t="s">
        <v>103</v>
      </c>
      <c r="CF25" s="1" t="s">
        <v>282</v>
      </c>
      <c r="CG25" s="1" t="s">
        <v>332</v>
      </c>
      <c r="CH25" s="1" t="s">
        <v>106</v>
      </c>
      <c r="CI25" s="1" t="s">
        <v>107</v>
      </c>
      <c r="CJ25" s="1" t="s">
        <v>108</v>
      </c>
      <c r="CK25" s="1" t="s">
        <v>235</v>
      </c>
      <c r="CO25" s="1">
        <v>275</v>
      </c>
      <c r="CP25" s="1" t="s">
        <v>344</v>
      </c>
      <c r="CQ25" s="1" t="s">
        <v>103</v>
      </c>
      <c r="CR25" s="1" t="s">
        <v>126</v>
      </c>
      <c r="CS25" s="1" t="s">
        <v>311</v>
      </c>
      <c r="CT25" s="1" t="s">
        <v>106</v>
      </c>
      <c r="CU25" s="1" t="s">
        <v>107</v>
      </c>
      <c r="CV25" s="1" t="s">
        <v>108</v>
      </c>
      <c r="CW25" s="1">
        <v>32.834000000000003</v>
      </c>
      <c r="DA25" s="1">
        <v>323</v>
      </c>
      <c r="DB25" s="1" t="s">
        <v>380</v>
      </c>
      <c r="DC25" s="1" t="s">
        <v>103</v>
      </c>
      <c r="DD25" s="1" t="s">
        <v>126</v>
      </c>
      <c r="DE25" s="1" t="s">
        <v>328</v>
      </c>
      <c r="DF25" s="1" t="s">
        <v>106</v>
      </c>
      <c r="DG25" s="1" t="s">
        <v>107</v>
      </c>
      <c r="DH25" s="1" t="s">
        <v>108</v>
      </c>
      <c r="DI25" s="1">
        <v>31.722999999999999</v>
      </c>
      <c r="DM25" s="1">
        <v>371</v>
      </c>
      <c r="DN25" s="1" t="s">
        <v>408</v>
      </c>
      <c r="DO25" s="1" t="s">
        <v>103</v>
      </c>
      <c r="DP25" s="1" t="s">
        <v>126</v>
      </c>
      <c r="DQ25" s="1" t="s">
        <v>332</v>
      </c>
      <c r="DR25" s="1" t="s">
        <v>106</v>
      </c>
      <c r="DS25" s="1" t="s">
        <v>107</v>
      </c>
      <c r="DT25" s="1" t="s">
        <v>108</v>
      </c>
      <c r="DU25" s="1">
        <v>22.972000000000001</v>
      </c>
    </row>
    <row r="26" spans="2:126" x14ac:dyDescent="0.25">
      <c r="B26" s="1">
        <v>12</v>
      </c>
      <c r="C26" s="1" t="s">
        <v>127</v>
      </c>
      <c r="D26" s="1" t="s">
        <v>103</v>
      </c>
      <c r="E26" s="1" t="s">
        <v>126</v>
      </c>
      <c r="F26" s="1" t="s">
        <v>105</v>
      </c>
      <c r="G26" s="1" t="s">
        <v>106</v>
      </c>
      <c r="H26" s="1" t="s">
        <v>107</v>
      </c>
      <c r="I26" s="1" t="s">
        <v>108</v>
      </c>
      <c r="J26" s="1">
        <v>24.228000000000002</v>
      </c>
      <c r="M26" s="1">
        <v>44</v>
      </c>
      <c r="N26" s="1" t="s">
        <v>152</v>
      </c>
      <c r="O26" s="1" t="s">
        <v>103</v>
      </c>
      <c r="P26" s="1" t="s">
        <v>114</v>
      </c>
      <c r="Q26" s="1" t="s">
        <v>129</v>
      </c>
      <c r="R26" s="1" t="s">
        <v>106</v>
      </c>
      <c r="S26" s="1" t="s">
        <v>107</v>
      </c>
      <c r="T26" s="1" t="s">
        <v>108</v>
      </c>
      <c r="U26" s="1">
        <v>18.041</v>
      </c>
      <c r="X26" s="1">
        <v>60</v>
      </c>
      <c r="Y26" s="1" t="s">
        <v>169</v>
      </c>
      <c r="Z26" s="1" t="s">
        <v>103</v>
      </c>
      <c r="AA26" s="1" t="s">
        <v>126</v>
      </c>
      <c r="AB26" s="1" t="s">
        <v>158</v>
      </c>
      <c r="AC26" s="1" t="s">
        <v>106</v>
      </c>
      <c r="AD26" s="1" t="s">
        <v>107</v>
      </c>
      <c r="AE26" s="1" t="s">
        <v>108</v>
      </c>
      <c r="AF26" s="1">
        <v>17.117000000000001</v>
      </c>
      <c r="AI26" s="1">
        <v>108</v>
      </c>
      <c r="AJ26" s="1" t="s">
        <v>202</v>
      </c>
      <c r="AK26" s="1" t="s">
        <v>103</v>
      </c>
      <c r="AL26" s="1" t="s">
        <v>126</v>
      </c>
      <c r="AM26" s="1" t="s">
        <v>191</v>
      </c>
      <c r="AN26" s="1" t="s">
        <v>106</v>
      </c>
      <c r="AO26" s="1" t="s">
        <v>107</v>
      </c>
      <c r="AP26" s="1" t="s">
        <v>108</v>
      </c>
      <c r="AQ26" s="1">
        <v>22.815000000000001</v>
      </c>
      <c r="AT26" s="1">
        <v>140</v>
      </c>
      <c r="AU26" s="1" t="s">
        <v>228</v>
      </c>
      <c r="AV26" s="1" t="s">
        <v>103</v>
      </c>
      <c r="AW26" s="1" t="s">
        <v>114</v>
      </c>
      <c r="AX26" s="1" t="s">
        <v>204</v>
      </c>
      <c r="AY26" s="1" t="s">
        <v>106</v>
      </c>
      <c r="AZ26" s="1" t="s">
        <v>107</v>
      </c>
      <c r="BA26" s="1" t="s">
        <v>108</v>
      </c>
      <c r="BB26" s="1">
        <v>30.367999999999999</v>
      </c>
      <c r="BE26" s="1">
        <v>156</v>
      </c>
      <c r="BF26" s="1" t="s">
        <v>247</v>
      </c>
      <c r="BG26" s="1" t="s">
        <v>103</v>
      </c>
      <c r="BH26" s="1" t="s">
        <v>126</v>
      </c>
      <c r="BI26" s="1" t="s">
        <v>234</v>
      </c>
      <c r="BJ26" s="1" t="s">
        <v>106</v>
      </c>
      <c r="BK26" s="1" t="s">
        <v>107</v>
      </c>
      <c r="BL26" s="1" t="s">
        <v>108</v>
      </c>
      <c r="BM26" s="1">
        <v>32.86</v>
      </c>
      <c r="BQ26" s="1">
        <v>204</v>
      </c>
      <c r="BR26" s="1" t="s">
        <v>280</v>
      </c>
      <c r="BS26" s="1" t="s">
        <v>103</v>
      </c>
      <c r="BT26" s="1" t="s">
        <v>126</v>
      </c>
      <c r="BU26" s="1" t="s">
        <v>269</v>
      </c>
      <c r="BV26" s="1" t="s">
        <v>106</v>
      </c>
      <c r="BW26" s="1" t="s">
        <v>107</v>
      </c>
      <c r="BX26" s="1" t="s">
        <v>108</v>
      </c>
      <c r="BY26" s="1">
        <v>25.731000000000002</v>
      </c>
      <c r="CC26" s="1">
        <v>236</v>
      </c>
      <c r="CD26" s="1" t="s">
        <v>305</v>
      </c>
      <c r="CE26" s="1" t="s">
        <v>103</v>
      </c>
      <c r="CF26" s="1" t="s">
        <v>282</v>
      </c>
      <c r="CG26" s="1" t="s">
        <v>158</v>
      </c>
      <c r="CH26" s="1" t="s">
        <v>106</v>
      </c>
      <c r="CI26" s="1" t="s">
        <v>107</v>
      </c>
      <c r="CJ26" s="1" t="s">
        <v>108</v>
      </c>
      <c r="CK26" s="1">
        <v>23.965</v>
      </c>
      <c r="CO26" s="1">
        <v>252</v>
      </c>
      <c r="CP26" s="1" t="s">
        <v>322</v>
      </c>
      <c r="CQ26" s="1" t="s">
        <v>103</v>
      </c>
      <c r="CR26" s="1" t="s">
        <v>126</v>
      </c>
      <c r="CS26" s="1" t="s">
        <v>311</v>
      </c>
      <c r="CT26" s="1" t="s">
        <v>106</v>
      </c>
      <c r="CU26" s="1" t="s">
        <v>107</v>
      </c>
      <c r="CV26" s="1" t="s">
        <v>108</v>
      </c>
      <c r="CW26" s="1">
        <v>31.562000000000001</v>
      </c>
      <c r="DA26" s="1">
        <v>300</v>
      </c>
      <c r="DB26" s="1" t="s">
        <v>365</v>
      </c>
      <c r="DC26" s="1" t="s">
        <v>103</v>
      </c>
      <c r="DD26" s="1" t="s">
        <v>126</v>
      </c>
      <c r="DE26" s="1" t="s">
        <v>328</v>
      </c>
      <c r="DF26" s="1" t="s">
        <v>106</v>
      </c>
      <c r="DG26" s="1" t="s">
        <v>107</v>
      </c>
      <c r="DH26" s="1" t="s">
        <v>108</v>
      </c>
      <c r="DI26" s="1">
        <v>31.076000000000001</v>
      </c>
      <c r="DM26" s="1">
        <v>348</v>
      </c>
      <c r="DN26" s="1" t="s">
        <v>397</v>
      </c>
      <c r="DO26" s="1" t="s">
        <v>103</v>
      </c>
      <c r="DP26" s="1" t="s">
        <v>126</v>
      </c>
      <c r="DQ26" s="1" t="s">
        <v>332</v>
      </c>
      <c r="DR26" s="1" t="s">
        <v>106</v>
      </c>
      <c r="DS26" s="1" t="s">
        <v>107</v>
      </c>
      <c r="DT26" s="1" t="s">
        <v>108</v>
      </c>
      <c r="DU26" s="1">
        <v>22.96</v>
      </c>
    </row>
    <row r="27" spans="2:126" x14ac:dyDescent="0.25">
      <c r="B27" s="1">
        <v>12</v>
      </c>
      <c r="C27" s="1" t="s">
        <v>148</v>
      </c>
      <c r="D27" s="1" t="s">
        <v>103</v>
      </c>
      <c r="E27" s="1" t="s">
        <v>126</v>
      </c>
      <c r="F27" s="1" t="s">
        <v>105</v>
      </c>
      <c r="G27" s="1" t="s">
        <v>106</v>
      </c>
      <c r="H27" s="1" t="s">
        <v>107</v>
      </c>
      <c r="I27" s="1" t="s">
        <v>108</v>
      </c>
      <c r="J27" s="1">
        <v>24.24</v>
      </c>
      <c r="M27" s="1">
        <v>92</v>
      </c>
      <c r="N27" s="1" t="s">
        <v>189</v>
      </c>
      <c r="O27" s="1" t="s">
        <v>103</v>
      </c>
      <c r="P27" s="1" t="s">
        <v>126</v>
      </c>
      <c r="Q27" s="1" t="s">
        <v>129</v>
      </c>
      <c r="R27" s="1" t="s">
        <v>106</v>
      </c>
      <c r="S27" s="1" t="s">
        <v>107</v>
      </c>
      <c r="T27" s="1" t="s">
        <v>108</v>
      </c>
      <c r="U27" s="1">
        <v>18.491</v>
      </c>
      <c r="X27" s="1">
        <v>84</v>
      </c>
      <c r="Y27" s="1" t="s">
        <v>185</v>
      </c>
      <c r="Z27" s="1" t="s">
        <v>103</v>
      </c>
      <c r="AA27" s="1" t="s">
        <v>126</v>
      </c>
      <c r="AB27" s="1" t="s">
        <v>158</v>
      </c>
      <c r="AC27" s="1" t="s">
        <v>106</v>
      </c>
      <c r="AD27" s="1" t="s">
        <v>107</v>
      </c>
      <c r="AE27" s="1" t="s">
        <v>108</v>
      </c>
      <c r="AF27" s="1">
        <v>17.091999999999999</v>
      </c>
      <c r="AI27" s="1">
        <v>132</v>
      </c>
      <c r="AJ27" s="1" t="s">
        <v>224</v>
      </c>
      <c r="AK27" s="1" t="s">
        <v>103</v>
      </c>
      <c r="AL27" s="1" t="s">
        <v>126</v>
      </c>
      <c r="AM27" s="1" t="s">
        <v>191</v>
      </c>
      <c r="AN27" s="1" t="s">
        <v>106</v>
      </c>
      <c r="AO27" s="1" t="s">
        <v>107</v>
      </c>
      <c r="AP27" s="1" t="s">
        <v>108</v>
      </c>
      <c r="AQ27" s="1">
        <v>22.667000000000002</v>
      </c>
      <c r="AT27" s="1">
        <v>188</v>
      </c>
      <c r="AU27" s="1" t="s">
        <v>267</v>
      </c>
      <c r="AV27" s="1" t="s">
        <v>103</v>
      </c>
      <c r="AW27" s="1" t="s">
        <v>126</v>
      </c>
      <c r="AX27" s="1" t="s">
        <v>204</v>
      </c>
      <c r="AY27" s="1" t="s">
        <v>106</v>
      </c>
      <c r="AZ27" s="1" t="s">
        <v>107</v>
      </c>
      <c r="BA27" s="1" t="s">
        <v>108</v>
      </c>
      <c r="BB27" s="1">
        <v>27.489000000000001</v>
      </c>
      <c r="BC27" s="1"/>
      <c r="BD27" s="1"/>
      <c r="BE27" s="1">
        <v>180</v>
      </c>
      <c r="BF27" s="1" t="s">
        <v>263</v>
      </c>
      <c r="BG27" s="1" t="s">
        <v>103</v>
      </c>
      <c r="BH27" s="1" t="s">
        <v>126</v>
      </c>
      <c r="BI27" s="1" t="s">
        <v>234</v>
      </c>
      <c r="BJ27" s="1" t="s">
        <v>106</v>
      </c>
      <c r="BK27" s="1" t="s">
        <v>107</v>
      </c>
      <c r="BL27" s="1" t="s">
        <v>108</v>
      </c>
      <c r="BM27" s="1">
        <v>31.94</v>
      </c>
      <c r="BQ27" s="1">
        <v>228</v>
      </c>
      <c r="BR27" s="1" t="s">
        <v>301</v>
      </c>
      <c r="BS27" s="1" t="s">
        <v>103</v>
      </c>
      <c r="BT27" s="1" t="s">
        <v>126</v>
      </c>
      <c r="BU27" s="1" t="s">
        <v>269</v>
      </c>
      <c r="BV27" s="1" t="s">
        <v>106</v>
      </c>
      <c r="BW27" s="1" t="s">
        <v>107</v>
      </c>
      <c r="BX27" s="1" t="s">
        <v>108</v>
      </c>
      <c r="BY27" s="1">
        <v>25.721</v>
      </c>
      <c r="CC27" s="1">
        <v>264</v>
      </c>
      <c r="CD27" s="1" t="s">
        <v>333</v>
      </c>
      <c r="CE27" s="1" t="s">
        <v>103</v>
      </c>
      <c r="CF27" s="1" t="s">
        <v>282</v>
      </c>
      <c r="CG27" s="1" t="s">
        <v>332</v>
      </c>
      <c r="CH27" s="1" t="s">
        <v>106</v>
      </c>
      <c r="CI27" s="1" t="s">
        <v>107</v>
      </c>
      <c r="CJ27" s="1" t="s">
        <v>108</v>
      </c>
      <c r="CK27" s="1" t="s">
        <v>235</v>
      </c>
      <c r="CO27" s="1">
        <v>276</v>
      </c>
      <c r="CP27" s="1" t="s">
        <v>345</v>
      </c>
      <c r="CQ27" s="1" t="s">
        <v>103</v>
      </c>
      <c r="CR27" s="1" t="s">
        <v>126</v>
      </c>
      <c r="CS27" s="1" t="s">
        <v>311</v>
      </c>
      <c r="CT27" s="1" t="s">
        <v>106</v>
      </c>
      <c r="CU27" s="1" t="s">
        <v>107</v>
      </c>
      <c r="CV27" s="1" t="s">
        <v>108</v>
      </c>
      <c r="CW27" s="1">
        <v>33.572000000000003</v>
      </c>
      <c r="DA27" s="1">
        <v>324</v>
      </c>
      <c r="DB27" s="1" t="s">
        <v>381</v>
      </c>
      <c r="DC27" s="1" t="s">
        <v>103</v>
      </c>
      <c r="DD27" s="1" t="s">
        <v>126</v>
      </c>
      <c r="DE27" s="1" t="s">
        <v>328</v>
      </c>
      <c r="DF27" s="1" t="s">
        <v>106</v>
      </c>
      <c r="DG27" s="1" t="s">
        <v>107</v>
      </c>
      <c r="DH27" s="1" t="s">
        <v>108</v>
      </c>
      <c r="DI27" s="1">
        <v>31.864000000000001</v>
      </c>
      <c r="DM27" s="1">
        <v>372</v>
      </c>
      <c r="DN27" s="1" t="s">
        <v>409</v>
      </c>
      <c r="DO27" s="1" t="s">
        <v>103</v>
      </c>
      <c r="DP27" s="1" t="s">
        <v>126</v>
      </c>
      <c r="DQ27" s="1" t="s">
        <v>332</v>
      </c>
      <c r="DR27" s="1" t="s">
        <v>106</v>
      </c>
      <c r="DS27" s="1" t="s">
        <v>107</v>
      </c>
      <c r="DT27" s="1" t="s">
        <v>108</v>
      </c>
      <c r="DU27" s="1">
        <v>22.937999999999999</v>
      </c>
    </row>
    <row r="28" spans="2:126" x14ac:dyDescent="0.25">
      <c r="B28" s="1">
        <v>13</v>
      </c>
      <c r="C28" s="1" t="s">
        <v>102</v>
      </c>
      <c r="D28" s="1" t="s">
        <v>103</v>
      </c>
      <c r="E28" s="1" t="s">
        <v>416</v>
      </c>
      <c r="F28" s="1" t="s">
        <v>105</v>
      </c>
      <c r="G28" s="1" t="s">
        <v>106</v>
      </c>
      <c r="H28" s="1" t="s">
        <v>107</v>
      </c>
      <c r="I28" s="1" t="s">
        <v>108</v>
      </c>
      <c r="J28" s="1">
        <v>22.887</v>
      </c>
      <c r="M28" s="1">
        <v>17</v>
      </c>
      <c r="N28" s="1" t="s">
        <v>128</v>
      </c>
      <c r="O28" s="1" t="s">
        <v>103</v>
      </c>
      <c r="P28" s="1" t="s">
        <v>416</v>
      </c>
      <c r="Q28" s="1" t="s">
        <v>129</v>
      </c>
      <c r="R28" s="1" t="s">
        <v>106</v>
      </c>
      <c r="S28" s="1" t="s">
        <v>107</v>
      </c>
      <c r="T28" s="1" t="s">
        <v>108</v>
      </c>
      <c r="U28" s="1">
        <v>18.667000000000002</v>
      </c>
      <c r="X28" s="1">
        <v>49</v>
      </c>
      <c r="Y28" s="1" t="s">
        <v>157</v>
      </c>
      <c r="Z28" s="1" t="s">
        <v>103</v>
      </c>
      <c r="AA28" s="1" t="s">
        <v>416</v>
      </c>
      <c r="AB28" s="1" t="s">
        <v>158</v>
      </c>
      <c r="AC28" s="1" t="s">
        <v>106</v>
      </c>
      <c r="AD28" s="1" t="s">
        <v>107</v>
      </c>
      <c r="AE28" s="1" t="s">
        <v>108</v>
      </c>
      <c r="AF28" s="1">
        <v>16.262</v>
      </c>
      <c r="AI28" s="1">
        <v>97</v>
      </c>
      <c r="AJ28" s="1" t="s">
        <v>190</v>
      </c>
      <c r="AK28" s="1" t="s">
        <v>103</v>
      </c>
      <c r="AL28" s="1" t="s">
        <v>416</v>
      </c>
      <c r="AM28" s="1" t="s">
        <v>191</v>
      </c>
      <c r="AN28" s="1" t="s">
        <v>106</v>
      </c>
      <c r="AO28" s="1" t="s">
        <v>107</v>
      </c>
      <c r="AP28" s="1" t="s">
        <v>108</v>
      </c>
      <c r="AQ28" s="1">
        <v>23.042000000000002</v>
      </c>
      <c r="AT28" s="1">
        <v>113</v>
      </c>
      <c r="AU28" s="1" t="s">
        <v>203</v>
      </c>
      <c r="AV28" s="1" t="s">
        <v>103</v>
      </c>
      <c r="AW28" s="1" t="s">
        <v>416</v>
      </c>
      <c r="AX28" s="1" t="s">
        <v>204</v>
      </c>
      <c r="AY28" s="1" t="s">
        <v>106</v>
      </c>
      <c r="AZ28" s="1" t="s">
        <v>107</v>
      </c>
      <c r="BA28" s="1" t="s">
        <v>108</v>
      </c>
      <c r="BB28" s="1">
        <v>30.562000000000001</v>
      </c>
      <c r="BE28" s="1">
        <v>145</v>
      </c>
      <c r="BF28" s="1" t="s">
        <v>233</v>
      </c>
      <c r="BG28" s="1" t="s">
        <v>103</v>
      </c>
      <c r="BH28" s="1" t="s">
        <v>416</v>
      </c>
      <c r="BI28" s="1" t="s">
        <v>234</v>
      </c>
      <c r="BJ28" s="1" t="s">
        <v>106</v>
      </c>
      <c r="BK28" s="1" t="s">
        <v>107</v>
      </c>
      <c r="BL28" s="1" t="s">
        <v>108</v>
      </c>
      <c r="BM28" s="1" t="s">
        <v>235</v>
      </c>
      <c r="BQ28" s="1">
        <v>193</v>
      </c>
      <c r="BR28" s="1" t="s">
        <v>268</v>
      </c>
      <c r="BS28" s="1" t="s">
        <v>103</v>
      </c>
      <c r="BT28" s="1" t="s">
        <v>416</v>
      </c>
      <c r="BU28" s="1" t="s">
        <v>269</v>
      </c>
      <c r="BV28" s="1" t="s">
        <v>106</v>
      </c>
      <c r="BW28" s="1" t="s">
        <v>107</v>
      </c>
      <c r="BX28" s="1" t="s">
        <v>108</v>
      </c>
      <c r="BY28" s="1">
        <v>32.683999999999997</v>
      </c>
      <c r="CC28" s="1">
        <v>281</v>
      </c>
      <c r="CD28" s="1" t="s">
        <v>346</v>
      </c>
      <c r="CE28" s="1" t="s">
        <v>103</v>
      </c>
      <c r="CF28" s="1" t="s">
        <v>282</v>
      </c>
      <c r="CG28" s="1" t="s">
        <v>269</v>
      </c>
      <c r="CH28" s="1" t="s">
        <v>106</v>
      </c>
      <c r="CI28" s="1" t="s">
        <v>107</v>
      </c>
      <c r="CJ28" s="1" t="s">
        <v>108</v>
      </c>
      <c r="CK28" s="1">
        <v>26.852</v>
      </c>
      <c r="CO28" s="1">
        <v>241</v>
      </c>
      <c r="CP28" s="1" t="s">
        <v>310</v>
      </c>
      <c r="CQ28" s="1" t="s">
        <v>103</v>
      </c>
      <c r="CR28" s="1" t="s">
        <v>416</v>
      </c>
      <c r="CS28" s="1" t="s">
        <v>311</v>
      </c>
      <c r="CT28" s="1" t="s">
        <v>106</v>
      </c>
      <c r="CU28" s="1" t="s">
        <v>107</v>
      </c>
      <c r="CV28" s="1" t="s">
        <v>108</v>
      </c>
      <c r="CW28" s="1" t="s">
        <v>235</v>
      </c>
      <c r="DA28" s="1">
        <v>289</v>
      </c>
      <c r="DB28" s="1" t="s">
        <v>354</v>
      </c>
      <c r="DC28" s="1" t="s">
        <v>103</v>
      </c>
      <c r="DD28" s="1" t="s">
        <v>416</v>
      </c>
      <c r="DE28" s="1" t="s">
        <v>328</v>
      </c>
      <c r="DF28" s="1" t="s">
        <v>106</v>
      </c>
      <c r="DG28" s="1" t="s">
        <v>107</v>
      </c>
      <c r="DH28" s="1" t="s">
        <v>108</v>
      </c>
      <c r="DI28" s="1" t="s">
        <v>235</v>
      </c>
      <c r="DM28" s="1">
        <v>337</v>
      </c>
      <c r="DN28" s="1" t="s">
        <v>386</v>
      </c>
      <c r="DO28" s="1" t="s">
        <v>103</v>
      </c>
      <c r="DP28" s="1" t="s">
        <v>416</v>
      </c>
      <c r="DQ28" s="1" t="s">
        <v>332</v>
      </c>
      <c r="DR28" s="1" t="s">
        <v>106</v>
      </c>
      <c r="DS28" s="1" t="s">
        <v>107</v>
      </c>
      <c r="DT28" s="1" t="s">
        <v>108</v>
      </c>
      <c r="DU28" s="1">
        <v>22.983000000000001</v>
      </c>
      <c r="DV28" s="1"/>
    </row>
    <row r="29" spans="2:126" x14ac:dyDescent="0.25">
      <c r="B29" s="1">
        <v>13</v>
      </c>
      <c r="C29" s="1" t="s">
        <v>137</v>
      </c>
      <c r="D29" s="1" t="s">
        <v>103</v>
      </c>
      <c r="E29" s="1" t="s">
        <v>416</v>
      </c>
      <c r="F29" s="1" t="s">
        <v>105</v>
      </c>
      <c r="G29" s="1" t="s">
        <v>106</v>
      </c>
      <c r="H29" s="1" t="s">
        <v>107</v>
      </c>
      <c r="I29" s="1" t="s">
        <v>108</v>
      </c>
      <c r="J29" s="1">
        <v>23.016999999999999</v>
      </c>
      <c r="M29" s="1">
        <v>45</v>
      </c>
      <c r="N29" s="1" t="s">
        <v>153</v>
      </c>
      <c r="O29" s="1" t="s">
        <v>103</v>
      </c>
      <c r="P29" s="1" t="s">
        <v>418</v>
      </c>
      <c r="Q29" s="1" t="s">
        <v>129</v>
      </c>
      <c r="R29" s="1" t="s">
        <v>106</v>
      </c>
      <c r="S29" s="1" t="s">
        <v>107</v>
      </c>
      <c r="T29" s="1" t="s">
        <v>108</v>
      </c>
      <c r="U29" s="1">
        <v>18.193000000000001</v>
      </c>
      <c r="V29" s="1"/>
      <c r="X29" s="1">
        <v>73</v>
      </c>
      <c r="Y29" s="1" t="s">
        <v>174</v>
      </c>
      <c r="Z29" s="1" t="s">
        <v>103</v>
      </c>
      <c r="AA29" s="1" t="s">
        <v>416</v>
      </c>
      <c r="AB29" s="1" t="s">
        <v>158</v>
      </c>
      <c r="AC29" s="1" t="s">
        <v>106</v>
      </c>
      <c r="AD29" s="1" t="s">
        <v>107</v>
      </c>
      <c r="AE29" s="1" t="s">
        <v>108</v>
      </c>
      <c r="AF29" s="1">
        <v>16.349</v>
      </c>
      <c r="AI29" s="1">
        <v>121</v>
      </c>
      <c r="AJ29" s="1" t="s">
        <v>213</v>
      </c>
      <c r="AK29" s="1" t="s">
        <v>103</v>
      </c>
      <c r="AL29" s="1" t="s">
        <v>416</v>
      </c>
      <c r="AM29" s="1" t="s">
        <v>191</v>
      </c>
      <c r="AN29" s="1" t="s">
        <v>106</v>
      </c>
      <c r="AO29" s="1" t="s">
        <v>107</v>
      </c>
      <c r="AP29" s="1" t="s">
        <v>108</v>
      </c>
      <c r="AQ29" s="1">
        <v>23.007999999999999</v>
      </c>
      <c r="AT29" s="1">
        <v>141</v>
      </c>
      <c r="AU29" s="1" t="s">
        <v>229</v>
      </c>
      <c r="AV29" s="1" t="s">
        <v>103</v>
      </c>
      <c r="AW29" s="1" t="s">
        <v>418</v>
      </c>
      <c r="AX29" s="1" t="s">
        <v>204</v>
      </c>
      <c r="AY29" s="1" t="s">
        <v>106</v>
      </c>
      <c r="AZ29" s="1" t="s">
        <v>107</v>
      </c>
      <c r="BA29" s="1" t="s">
        <v>108</v>
      </c>
      <c r="BB29" s="1">
        <v>27.925999999999998</v>
      </c>
      <c r="BE29" s="1">
        <v>169</v>
      </c>
      <c r="BF29" s="1" t="s">
        <v>252</v>
      </c>
      <c r="BG29" s="1" t="s">
        <v>103</v>
      </c>
      <c r="BH29" s="1" t="s">
        <v>416</v>
      </c>
      <c r="BI29" s="1" t="s">
        <v>234</v>
      </c>
      <c r="BJ29" s="1" t="s">
        <v>106</v>
      </c>
      <c r="BK29" s="1" t="s">
        <v>107</v>
      </c>
      <c r="BL29" s="1" t="s">
        <v>108</v>
      </c>
      <c r="BM29" s="1" t="s">
        <v>235</v>
      </c>
      <c r="BQ29" s="1">
        <v>217</v>
      </c>
      <c r="BR29" s="1" t="s">
        <v>290</v>
      </c>
      <c r="BS29" s="1" t="s">
        <v>103</v>
      </c>
      <c r="BT29" s="1" t="s">
        <v>416</v>
      </c>
      <c r="BU29" s="1" t="s">
        <v>269</v>
      </c>
      <c r="BV29" s="1" t="s">
        <v>106</v>
      </c>
      <c r="BW29" s="1" t="s">
        <v>107</v>
      </c>
      <c r="BX29" s="1" t="s">
        <v>108</v>
      </c>
      <c r="BY29" s="1">
        <v>32.335999999999999</v>
      </c>
      <c r="CC29" s="1">
        <v>329</v>
      </c>
      <c r="CD29" s="1" t="s">
        <v>382</v>
      </c>
      <c r="CE29" s="1" t="s">
        <v>103</v>
      </c>
      <c r="CF29" s="1" t="s">
        <v>282</v>
      </c>
      <c r="CG29" s="1" t="s">
        <v>129</v>
      </c>
      <c r="CH29" s="1" t="s">
        <v>106</v>
      </c>
      <c r="CI29" s="1" t="s">
        <v>107</v>
      </c>
      <c r="CJ29" s="1" t="s">
        <v>108</v>
      </c>
      <c r="CK29" s="1">
        <v>23.992000000000001</v>
      </c>
      <c r="CO29" s="1">
        <v>265</v>
      </c>
      <c r="CP29" s="1" t="s">
        <v>334</v>
      </c>
      <c r="CQ29" s="1" t="s">
        <v>103</v>
      </c>
      <c r="CR29" s="1" t="s">
        <v>416</v>
      </c>
      <c r="CS29" s="1" t="s">
        <v>311</v>
      </c>
      <c r="CT29" s="1" t="s">
        <v>106</v>
      </c>
      <c r="CU29" s="1" t="s">
        <v>107</v>
      </c>
      <c r="CV29" s="1" t="s">
        <v>108</v>
      </c>
      <c r="CW29" s="1">
        <v>31.605</v>
      </c>
      <c r="DA29" s="1">
        <v>313</v>
      </c>
      <c r="DB29" s="1" t="s">
        <v>370</v>
      </c>
      <c r="DC29" s="1" t="s">
        <v>103</v>
      </c>
      <c r="DD29" s="1" t="s">
        <v>416</v>
      </c>
      <c r="DE29" s="1" t="s">
        <v>328</v>
      </c>
      <c r="DF29" s="1" t="s">
        <v>106</v>
      </c>
      <c r="DG29" s="1" t="s">
        <v>107</v>
      </c>
      <c r="DH29" s="1" t="s">
        <v>108</v>
      </c>
      <c r="DI29" s="1" t="s">
        <v>235</v>
      </c>
      <c r="DM29" s="1">
        <v>361</v>
      </c>
      <c r="DN29" s="1" t="s">
        <v>398</v>
      </c>
      <c r="DO29" s="1" t="s">
        <v>103</v>
      </c>
      <c r="DP29" s="1" t="s">
        <v>416</v>
      </c>
      <c r="DQ29" s="1" t="s">
        <v>332</v>
      </c>
      <c r="DR29" s="1" t="s">
        <v>106</v>
      </c>
      <c r="DS29" s="1" t="s">
        <v>107</v>
      </c>
      <c r="DT29" s="1" t="s">
        <v>108</v>
      </c>
      <c r="DU29" s="1">
        <v>22.923999999999999</v>
      </c>
      <c r="DV29" s="1"/>
    </row>
    <row r="30" spans="2:126" x14ac:dyDescent="0.25">
      <c r="B30" s="1">
        <v>14</v>
      </c>
      <c r="C30" s="1" t="s">
        <v>112</v>
      </c>
      <c r="D30" s="1" t="s">
        <v>103</v>
      </c>
      <c r="E30" s="1" t="s">
        <v>416</v>
      </c>
      <c r="F30" s="1" t="s">
        <v>105</v>
      </c>
      <c r="G30" s="1" t="s">
        <v>106</v>
      </c>
      <c r="H30" s="1" t="s">
        <v>107</v>
      </c>
      <c r="I30" s="1" t="s">
        <v>108</v>
      </c>
      <c r="J30" s="1">
        <v>22.984999999999999</v>
      </c>
      <c r="M30" s="1">
        <v>18</v>
      </c>
      <c r="N30" s="1" t="s">
        <v>130</v>
      </c>
      <c r="O30" s="1" t="s">
        <v>103</v>
      </c>
      <c r="P30" s="1" t="s">
        <v>416</v>
      </c>
      <c r="Q30" s="1" t="s">
        <v>129</v>
      </c>
      <c r="R30" s="1" t="s">
        <v>106</v>
      </c>
      <c r="S30" s="1" t="s">
        <v>107</v>
      </c>
      <c r="T30" s="1" t="s">
        <v>108</v>
      </c>
      <c r="U30" s="1">
        <v>18.649000000000001</v>
      </c>
      <c r="X30" s="1">
        <v>50</v>
      </c>
      <c r="Y30" s="1" t="s">
        <v>159</v>
      </c>
      <c r="Z30" s="1" t="s">
        <v>103</v>
      </c>
      <c r="AA30" s="1" t="s">
        <v>416</v>
      </c>
      <c r="AB30" s="1" t="s">
        <v>158</v>
      </c>
      <c r="AC30" s="1" t="s">
        <v>106</v>
      </c>
      <c r="AD30" s="1" t="s">
        <v>107</v>
      </c>
      <c r="AE30" s="1" t="s">
        <v>108</v>
      </c>
      <c r="AF30" s="1">
        <v>16.378</v>
      </c>
      <c r="AI30" s="1">
        <v>98</v>
      </c>
      <c r="AJ30" s="1" t="s">
        <v>192</v>
      </c>
      <c r="AK30" s="1" t="s">
        <v>103</v>
      </c>
      <c r="AL30" s="1" t="s">
        <v>416</v>
      </c>
      <c r="AM30" s="1" t="s">
        <v>191</v>
      </c>
      <c r="AN30" s="1" t="s">
        <v>106</v>
      </c>
      <c r="AO30" s="1" t="s">
        <v>107</v>
      </c>
      <c r="AP30" s="1" t="s">
        <v>108</v>
      </c>
      <c r="AQ30" s="1">
        <v>23.25</v>
      </c>
      <c r="AT30" s="1">
        <v>114</v>
      </c>
      <c r="AU30" s="1" t="s">
        <v>206</v>
      </c>
      <c r="AV30" s="1" t="s">
        <v>103</v>
      </c>
      <c r="AW30" s="1" t="s">
        <v>416</v>
      </c>
      <c r="AX30" s="1" t="s">
        <v>204</v>
      </c>
      <c r="AY30" s="1" t="s">
        <v>106</v>
      </c>
      <c r="AZ30" s="1" t="s">
        <v>107</v>
      </c>
      <c r="BA30" s="1" t="s">
        <v>108</v>
      </c>
      <c r="BB30" s="1">
        <v>29.917999999999999</v>
      </c>
      <c r="BE30" s="1">
        <v>146</v>
      </c>
      <c r="BF30" s="1" t="s">
        <v>237</v>
      </c>
      <c r="BG30" s="1" t="s">
        <v>103</v>
      </c>
      <c r="BH30" s="1" t="s">
        <v>416</v>
      </c>
      <c r="BI30" s="1" t="s">
        <v>234</v>
      </c>
      <c r="BJ30" s="1" t="s">
        <v>106</v>
      </c>
      <c r="BK30" s="1" t="s">
        <v>107</v>
      </c>
      <c r="BL30" s="1" t="s">
        <v>108</v>
      </c>
      <c r="BM30" s="1" t="s">
        <v>235</v>
      </c>
      <c r="BQ30" s="1">
        <v>194</v>
      </c>
      <c r="BR30" s="1" t="s">
        <v>270</v>
      </c>
      <c r="BS30" s="1" t="s">
        <v>103</v>
      </c>
      <c r="BT30" s="1" t="s">
        <v>416</v>
      </c>
      <c r="BU30" s="1" t="s">
        <v>269</v>
      </c>
      <c r="BV30" s="1" t="s">
        <v>106</v>
      </c>
      <c r="BW30" s="1" t="s">
        <v>107</v>
      </c>
      <c r="BX30" s="1" t="s">
        <v>108</v>
      </c>
      <c r="BY30" s="1">
        <v>31.948</v>
      </c>
      <c r="CC30" s="1">
        <v>282</v>
      </c>
      <c r="CD30" s="1" t="s">
        <v>347</v>
      </c>
      <c r="CE30" s="1" t="s">
        <v>103</v>
      </c>
      <c r="CF30" s="1" t="s">
        <v>282</v>
      </c>
      <c r="CG30" s="1" t="s">
        <v>269</v>
      </c>
      <c r="CH30" s="1" t="s">
        <v>106</v>
      </c>
      <c r="CI30" s="1" t="s">
        <v>107</v>
      </c>
      <c r="CJ30" s="1" t="s">
        <v>108</v>
      </c>
      <c r="CK30" s="1">
        <v>24.402000000000001</v>
      </c>
      <c r="CO30" s="1">
        <v>242</v>
      </c>
      <c r="CP30" s="1" t="s">
        <v>312</v>
      </c>
      <c r="CQ30" s="1" t="s">
        <v>103</v>
      </c>
      <c r="CR30" s="1" t="s">
        <v>416</v>
      </c>
      <c r="CS30" s="1" t="s">
        <v>311</v>
      </c>
      <c r="CT30" s="1" t="s">
        <v>106</v>
      </c>
      <c r="CU30" s="1" t="s">
        <v>107</v>
      </c>
      <c r="CV30" s="1" t="s">
        <v>108</v>
      </c>
      <c r="CW30" s="1">
        <v>32.776000000000003</v>
      </c>
      <c r="DA30" s="1">
        <v>290</v>
      </c>
      <c r="DB30" s="1" t="s">
        <v>355</v>
      </c>
      <c r="DC30" s="1" t="s">
        <v>103</v>
      </c>
      <c r="DD30" s="1" t="s">
        <v>416</v>
      </c>
      <c r="DE30" s="1" t="s">
        <v>328</v>
      </c>
      <c r="DF30" s="1" t="s">
        <v>106</v>
      </c>
      <c r="DG30" s="1" t="s">
        <v>107</v>
      </c>
      <c r="DH30" s="1" t="s">
        <v>108</v>
      </c>
      <c r="DI30" s="1" t="s">
        <v>235</v>
      </c>
      <c r="DM30" s="1">
        <v>338</v>
      </c>
      <c r="DN30" s="1" t="s">
        <v>387</v>
      </c>
      <c r="DO30" s="1" t="s">
        <v>103</v>
      </c>
      <c r="DP30" s="1" t="s">
        <v>416</v>
      </c>
      <c r="DQ30" s="1" t="s">
        <v>332</v>
      </c>
      <c r="DR30" s="1" t="s">
        <v>106</v>
      </c>
      <c r="DS30" s="1" t="s">
        <v>107</v>
      </c>
      <c r="DT30" s="1" t="s">
        <v>108</v>
      </c>
      <c r="DU30" s="1">
        <v>23.096</v>
      </c>
      <c r="DV30" s="1"/>
    </row>
    <row r="31" spans="2:126" x14ac:dyDescent="0.25">
      <c r="B31" s="1">
        <v>14</v>
      </c>
      <c r="C31" s="1" t="s">
        <v>138</v>
      </c>
      <c r="D31" s="1" t="s">
        <v>103</v>
      </c>
      <c r="E31" s="1" t="s">
        <v>416</v>
      </c>
      <c r="F31" s="1" t="s">
        <v>105</v>
      </c>
      <c r="G31" s="1" t="s">
        <v>106</v>
      </c>
      <c r="H31" s="1" t="s">
        <v>107</v>
      </c>
      <c r="I31" s="1" t="s">
        <v>108</v>
      </c>
      <c r="J31" s="1">
        <v>23.166</v>
      </c>
      <c r="M31" s="1">
        <v>46</v>
      </c>
      <c r="N31" s="1" t="s">
        <v>154</v>
      </c>
      <c r="O31" s="1" t="s">
        <v>103</v>
      </c>
      <c r="P31" s="1" t="s">
        <v>418</v>
      </c>
      <c r="Q31" s="1" t="s">
        <v>129</v>
      </c>
      <c r="R31" s="1" t="s">
        <v>106</v>
      </c>
      <c r="S31" s="1" t="s">
        <v>107</v>
      </c>
      <c r="T31" s="1" t="s">
        <v>108</v>
      </c>
      <c r="U31" s="1">
        <v>18.123000000000001</v>
      </c>
      <c r="V31" s="1"/>
      <c r="X31" s="1">
        <v>74</v>
      </c>
      <c r="Y31" s="1" t="s">
        <v>175</v>
      </c>
      <c r="Z31" s="1" t="s">
        <v>103</v>
      </c>
      <c r="AA31" s="1" t="s">
        <v>416</v>
      </c>
      <c r="AB31" s="1" t="s">
        <v>158</v>
      </c>
      <c r="AC31" s="1" t="s">
        <v>106</v>
      </c>
      <c r="AD31" s="1" t="s">
        <v>107</v>
      </c>
      <c r="AE31" s="1" t="s">
        <v>108</v>
      </c>
      <c r="AF31" s="1">
        <v>16.25</v>
      </c>
      <c r="AI31" s="1">
        <v>122</v>
      </c>
      <c r="AJ31" s="1" t="s">
        <v>214</v>
      </c>
      <c r="AK31" s="1" t="s">
        <v>103</v>
      </c>
      <c r="AL31" s="1" t="s">
        <v>416</v>
      </c>
      <c r="AM31" s="1" t="s">
        <v>191</v>
      </c>
      <c r="AN31" s="1" t="s">
        <v>106</v>
      </c>
      <c r="AO31" s="1" t="s">
        <v>107</v>
      </c>
      <c r="AP31" s="1" t="s">
        <v>108</v>
      </c>
      <c r="AQ31" s="1">
        <v>23.12</v>
      </c>
      <c r="AT31" s="1">
        <v>142</v>
      </c>
      <c r="AU31" s="1" t="s">
        <v>230</v>
      </c>
      <c r="AV31" s="1" t="s">
        <v>103</v>
      </c>
      <c r="AW31" s="1" t="s">
        <v>418</v>
      </c>
      <c r="AX31" s="1" t="s">
        <v>204</v>
      </c>
      <c r="AY31" s="1" t="s">
        <v>106</v>
      </c>
      <c r="AZ31" s="1" t="s">
        <v>107</v>
      </c>
      <c r="BA31" s="1" t="s">
        <v>108</v>
      </c>
      <c r="BB31" s="1">
        <v>27.952999999999999</v>
      </c>
      <c r="BE31" s="1">
        <v>170</v>
      </c>
      <c r="BF31" s="1" t="s">
        <v>253</v>
      </c>
      <c r="BG31" s="1" t="s">
        <v>103</v>
      </c>
      <c r="BH31" s="1" t="s">
        <v>416</v>
      </c>
      <c r="BI31" s="1" t="s">
        <v>234</v>
      </c>
      <c r="BJ31" s="1" t="s">
        <v>106</v>
      </c>
      <c r="BK31" s="1" t="s">
        <v>107</v>
      </c>
      <c r="BL31" s="1" t="s">
        <v>108</v>
      </c>
      <c r="BM31" s="1" t="s">
        <v>235</v>
      </c>
      <c r="BQ31" s="1">
        <v>218</v>
      </c>
      <c r="BR31" s="1" t="s">
        <v>291</v>
      </c>
      <c r="BS31" s="1" t="s">
        <v>103</v>
      </c>
      <c r="BT31" s="1" t="s">
        <v>416</v>
      </c>
      <c r="BU31" s="1" t="s">
        <v>269</v>
      </c>
      <c r="BV31" s="1" t="s">
        <v>106</v>
      </c>
      <c r="BW31" s="1" t="s">
        <v>107</v>
      </c>
      <c r="BX31" s="1" t="s">
        <v>108</v>
      </c>
      <c r="BY31" s="1">
        <v>31.425000000000001</v>
      </c>
      <c r="CC31" s="1">
        <v>330</v>
      </c>
      <c r="CD31" s="1" t="s">
        <v>383</v>
      </c>
      <c r="CE31" s="1" t="s">
        <v>103</v>
      </c>
      <c r="CF31" s="1" t="s">
        <v>282</v>
      </c>
      <c r="CG31" s="1" t="s">
        <v>129</v>
      </c>
      <c r="CH31" s="1" t="s">
        <v>106</v>
      </c>
      <c r="CI31" s="1" t="s">
        <v>107</v>
      </c>
      <c r="CJ31" s="1" t="s">
        <v>108</v>
      </c>
      <c r="CK31" s="1" t="s">
        <v>235</v>
      </c>
      <c r="CO31" s="1">
        <v>266</v>
      </c>
      <c r="CP31" s="1" t="s">
        <v>335</v>
      </c>
      <c r="CQ31" s="1" t="s">
        <v>103</v>
      </c>
      <c r="CR31" s="1" t="s">
        <v>416</v>
      </c>
      <c r="CS31" s="1" t="s">
        <v>311</v>
      </c>
      <c r="CT31" s="1" t="s">
        <v>106</v>
      </c>
      <c r="CU31" s="1" t="s">
        <v>107</v>
      </c>
      <c r="CV31" s="1" t="s">
        <v>108</v>
      </c>
      <c r="CW31" s="1">
        <v>32.646000000000001</v>
      </c>
      <c r="DA31" s="1">
        <v>314</v>
      </c>
      <c r="DB31" s="1" t="s">
        <v>371</v>
      </c>
      <c r="DC31" s="1" t="s">
        <v>103</v>
      </c>
      <c r="DD31" s="1" t="s">
        <v>416</v>
      </c>
      <c r="DE31" s="1" t="s">
        <v>328</v>
      </c>
      <c r="DF31" s="1" t="s">
        <v>106</v>
      </c>
      <c r="DG31" s="1" t="s">
        <v>107</v>
      </c>
      <c r="DH31" s="1" t="s">
        <v>108</v>
      </c>
      <c r="DI31" s="1" t="s">
        <v>235</v>
      </c>
      <c r="DM31" s="1">
        <v>362</v>
      </c>
      <c r="DN31" s="1" t="s">
        <v>399</v>
      </c>
      <c r="DO31" s="1" t="s">
        <v>103</v>
      </c>
      <c r="DP31" s="1" t="s">
        <v>416</v>
      </c>
      <c r="DQ31" s="1" t="s">
        <v>332</v>
      </c>
      <c r="DR31" s="1" t="s">
        <v>106</v>
      </c>
      <c r="DS31" s="1" t="s">
        <v>107</v>
      </c>
      <c r="DT31" s="1" t="s">
        <v>108</v>
      </c>
      <c r="DU31" s="1">
        <v>23.077000000000002</v>
      </c>
      <c r="DV31" s="1"/>
    </row>
    <row r="32" spans="2:126" x14ac:dyDescent="0.25">
      <c r="B32" s="1">
        <v>15</v>
      </c>
      <c r="C32" s="1" t="s">
        <v>113</v>
      </c>
      <c r="D32" s="1" t="s">
        <v>103</v>
      </c>
      <c r="E32" s="1" t="s">
        <v>417</v>
      </c>
      <c r="F32" s="1" t="s">
        <v>105</v>
      </c>
      <c r="G32" s="1" t="s">
        <v>106</v>
      </c>
      <c r="H32" s="1" t="s">
        <v>107</v>
      </c>
      <c r="I32" s="1" t="s">
        <v>108</v>
      </c>
      <c r="J32" s="1">
        <v>22.760999999999999</v>
      </c>
      <c r="M32" s="1">
        <v>19</v>
      </c>
      <c r="N32" s="1" t="s">
        <v>131</v>
      </c>
      <c r="O32" s="1" t="s">
        <v>103</v>
      </c>
      <c r="P32" s="1" t="s">
        <v>417</v>
      </c>
      <c r="Q32" s="1" t="s">
        <v>129</v>
      </c>
      <c r="R32" s="1" t="s">
        <v>106</v>
      </c>
      <c r="S32" s="1" t="s">
        <v>107</v>
      </c>
      <c r="T32" s="1" t="s">
        <v>108</v>
      </c>
      <c r="U32" s="1">
        <v>18.515000000000001</v>
      </c>
      <c r="X32" s="1">
        <v>51</v>
      </c>
      <c r="Y32" s="1" t="s">
        <v>160</v>
      </c>
      <c r="Z32" s="1" t="s">
        <v>103</v>
      </c>
      <c r="AA32" s="1" t="s">
        <v>417</v>
      </c>
      <c r="AB32" s="1" t="s">
        <v>158</v>
      </c>
      <c r="AC32" s="1" t="s">
        <v>106</v>
      </c>
      <c r="AD32" s="1" t="s">
        <v>107</v>
      </c>
      <c r="AE32" s="1" t="s">
        <v>108</v>
      </c>
      <c r="AF32" s="1">
        <v>16.212</v>
      </c>
      <c r="AI32" s="1">
        <v>99</v>
      </c>
      <c r="AJ32" s="1" t="s">
        <v>193</v>
      </c>
      <c r="AK32" s="1" t="s">
        <v>103</v>
      </c>
      <c r="AL32" s="1" t="s">
        <v>417</v>
      </c>
      <c r="AM32" s="1" t="s">
        <v>191</v>
      </c>
      <c r="AN32" s="1" t="s">
        <v>106</v>
      </c>
      <c r="AO32" s="1" t="s">
        <v>107</v>
      </c>
      <c r="AP32" s="1" t="s">
        <v>108</v>
      </c>
      <c r="AQ32" s="1">
        <v>23.37</v>
      </c>
      <c r="AT32" s="1">
        <v>115</v>
      </c>
      <c r="AU32" s="1" t="s">
        <v>207</v>
      </c>
      <c r="AV32" s="1" t="s">
        <v>103</v>
      </c>
      <c r="AW32" s="1" t="s">
        <v>417</v>
      </c>
      <c r="AX32" s="1" t="s">
        <v>204</v>
      </c>
      <c r="AY32" s="1" t="s">
        <v>106</v>
      </c>
      <c r="AZ32" s="1" t="s">
        <v>107</v>
      </c>
      <c r="BA32" s="1" t="s">
        <v>108</v>
      </c>
      <c r="BB32" s="1">
        <v>29.920999999999999</v>
      </c>
      <c r="BE32" s="1">
        <v>147</v>
      </c>
      <c r="BF32" s="1" t="s">
        <v>238</v>
      </c>
      <c r="BG32" s="1" t="s">
        <v>103</v>
      </c>
      <c r="BH32" s="1" t="s">
        <v>417</v>
      </c>
      <c r="BI32" s="1" t="s">
        <v>234</v>
      </c>
      <c r="BJ32" s="1" t="s">
        <v>106</v>
      </c>
      <c r="BK32" s="1" t="s">
        <v>107</v>
      </c>
      <c r="BL32" s="1" t="s">
        <v>108</v>
      </c>
      <c r="BM32" s="1" t="s">
        <v>235</v>
      </c>
      <c r="BQ32" s="1">
        <v>195</v>
      </c>
      <c r="BR32" s="1" t="s">
        <v>271</v>
      </c>
      <c r="BS32" s="1" t="s">
        <v>103</v>
      </c>
      <c r="BT32" s="1" t="s">
        <v>417</v>
      </c>
      <c r="BU32" s="1" t="s">
        <v>269</v>
      </c>
      <c r="BV32" s="1" t="s">
        <v>106</v>
      </c>
      <c r="BW32" s="1" t="s">
        <v>107</v>
      </c>
      <c r="BX32" s="1" t="s">
        <v>108</v>
      </c>
      <c r="BY32" s="1">
        <v>31.626999999999999</v>
      </c>
      <c r="CC32" s="1">
        <v>283</v>
      </c>
      <c r="CD32" s="1" t="s">
        <v>348</v>
      </c>
      <c r="CE32" s="1" t="s">
        <v>103</v>
      </c>
      <c r="CF32" s="1" t="s">
        <v>282</v>
      </c>
      <c r="CG32" s="1" t="s">
        <v>311</v>
      </c>
      <c r="CH32" s="1" t="s">
        <v>106</v>
      </c>
      <c r="CI32" s="1" t="s">
        <v>107</v>
      </c>
      <c r="CJ32" s="1" t="s">
        <v>108</v>
      </c>
      <c r="CK32" s="1" t="s">
        <v>235</v>
      </c>
      <c r="CO32" s="1">
        <v>243</v>
      </c>
      <c r="CP32" s="1" t="s">
        <v>313</v>
      </c>
      <c r="CQ32" s="1" t="s">
        <v>103</v>
      </c>
      <c r="CR32" s="1" t="s">
        <v>417</v>
      </c>
      <c r="CS32" s="1" t="s">
        <v>311</v>
      </c>
      <c r="CT32" s="1" t="s">
        <v>106</v>
      </c>
      <c r="CU32" s="1" t="s">
        <v>107</v>
      </c>
      <c r="CV32" s="1" t="s">
        <v>108</v>
      </c>
      <c r="CW32" s="1" t="s">
        <v>235</v>
      </c>
      <c r="DA32" s="1">
        <v>291</v>
      </c>
      <c r="DB32" s="1" t="s">
        <v>356</v>
      </c>
      <c r="DC32" s="1" t="s">
        <v>103</v>
      </c>
      <c r="DD32" s="1" t="s">
        <v>417</v>
      </c>
      <c r="DE32" s="1" t="s">
        <v>328</v>
      </c>
      <c r="DF32" s="1" t="s">
        <v>106</v>
      </c>
      <c r="DG32" s="1" t="s">
        <v>107</v>
      </c>
      <c r="DH32" s="1" t="s">
        <v>108</v>
      </c>
      <c r="DI32" s="1">
        <v>33.267000000000003</v>
      </c>
      <c r="DM32" s="1">
        <v>339</v>
      </c>
      <c r="DN32" s="1" t="s">
        <v>388</v>
      </c>
      <c r="DO32" s="1" t="s">
        <v>103</v>
      </c>
      <c r="DP32" s="1" t="s">
        <v>417</v>
      </c>
      <c r="DQ32" s="1" t="s">
        <v>332</v>
      </c>
      <c r="DR32" s="1" t="s">
        <v>106</v>
      </c>
      <c r="DS32" s="1" t="s">
        <v>107</v>
      </c>
      <c r="DT32" s="1" t="s">
        <v>108</v>
      </c>
      <c r="DU32" s="1">
        <v>22.806000000000001</v>
      </c>
      <c r="DV32" s="1"/>
    </row>
    <row r="33" spans="2:126" x14ac:dyDescent="0.25">
      <c r="B33" s="1">
        <v>15</v>
      </c>
      <c r="C33" s="1" t="s">
        <v>139</v>
      </c>
      <c r="D33" s="1" t="s">
        <v>103</v>
      </c>
      <c r="E33" s="1" t="s">
        <v>417</v>
      </c>
      <c r="F33" s="1" t="s">
        <v>105</v>
      </c>
      <c r="G33" s="1" t="s">
        <v>106</v>
      </c>
      <c r="H33" s="1" t="s">
        <v>107</v>
      </c>
      <c r="I33" s="1" t="s">
        <v>108</v>
      </c>
      <c r="J33" s="1">
        <v>22.815000000000001</v>
      </c>
      <c r="M33" s="1">
        <v>47</v>
      </c>
      <c r="N33" s="1" t="s">
        <v>155</v>
      </c>
      <c r="O33" s="1" t="s">
        <v>103</v>
      </c>
      <c r="P33" s="1" t="s">
        <v>419</v>
      </c>
      <c r="Q33" s="1" t="s">
        <v>129</v>
      </c>
      <c r="R33" s="1" t="s">
        <v>106</v>
      </c>
      <c r="S33" s="1" t="s">
        <v>107</v>
      </c>
      <c r="T33" s="1" t="s">
        <v>108</v>
      </c>
      <c r="U33" s="1">
        <v>18.097000000000001</v>
      </c>
      <c r="V33" s="1"/>
      <c r="X33" s="1">
        <v>75</v>
      </c>
      <c r="Y33" s="1" t="s">
        <v>176</v>
      </c>
      <c r="Z33" s="1" t="s">
        <v>103</v>
      </c>
      <c r="AA33" s="1" t="s">
        <v>417</v>
      </c>
      <c r="AB33" s="1" t="s">
        <v>158</v>
      </c>
      <c r="AC33" s="1" t="s">
        <v>106</v>
      </c>
      <c r="AD33" s="1" t="s">
        <v>107</v>
      </c>
      <c r="AE33" s="1" t="s">
        <v>108</v>
      </c>
      <c r="AF33" s="1">
        <v>16.18</v>
      </c>
      <c r="AI33" s="1">
        <v>123</v>
      </c>
      <c r="AJ33" s="1" t="s">
        <v>215</v>
      </c>
      <c r="AK33" s="1" t="s">
        <v>103</v>
      </c>
      <c r="AL33" s="1" t="s">
        <v>417</v>
      </c>
      <c r="AM33" s="1" t="s">
        <v>191</v>
      </c>
      <c r="AN33" s="1" t="s">
        <v>106</v>
      </c>
      <c r="AO33" s="1" t="s">
        <v>107</v>
      </c>
      <c r="AP33" s="1" t="s">
        <v>108</v>
      </c>
      <c r="AQ33" s="1">
        <v>23.169</v>
      </c>
      <c r="AT33" s="1">
        <v>143</v>
      </c>
      <c r="AU33" s="1" t="s">
        <v>231</v>
      </c>
      <c r="AV33" s="1" t="s">
        <v>103</v>
      </c>
      <c r="AW33" s="1" t="s">
        <v>419</v>
      </c>
      <c r="AX33" s="1" t="s">
        <v>204</v>
      </c>
      <c r="AY33" s="1" t="s">
        <v>106</v>
      </c>
      <c r="AZ33" s="1" t="s">
        <v>107</v>
      </c>
      <c r="BA33" s="1" t="s">
        <v>108</v>
      </c>
      <c r="BB33" s="1">
        <v>27.93</v>
      </c>
      <c r="BE33" s="1">
        <v>171</v>
      </c>
      <c r="BF33" s="1" t="s">
        <v>254</v>
      </c>
      <c r="BG33" s="1" t="s">
        <v>103</v>
      </c>
      <c r="BH33" s="1" t="s">
        <v>417</v>
      </c>
      <c r="BI33" s="1" t="s">
        <v>234</v>
      </c>
      <c r="BJ33" s="1" t="s">
        <v>106</v>
      </c>
      <c r="BK33" s="1" t="s">
        <v>107</v>
      </c>
      <c r="BL33" s="1" t="s">
        <v>108</v>
      </c>
      <c r="BM33" s="1" t="s">
        <v>235</v>
      </c>
      <c r="BQ33" s="1">
        <v>219</v>
      </c>
      <c r="BR33" s="1" t="s">
        <v>292</v>
      </c>
      <c r="BS33" s="1" t="s">
        <v>103</v>
      </c>
      <c r="BT33" s="1" t="s">
        <v>417</v>
      </c>
      <c r="BU33" s="1" t="s">
        <v>269</v>
      </c>
      <c r="BV33" s="1" t="s">
        <v>106</v>
      </c>
      <c r="BW33" s="1" t="s">
        <v>107</v>
      </c>
      <c r="BX33" s="1" t="s">
        <v>108</v>
      </c>
      <c r="BY33" s="1">
        <v>30.841000000000001</v>
      </c>
      <c r="CC33" s="1">
        <v>331</v>
      </c>
      <c r="CD33" s="1" t="s">
        <v>384</v>
      </c>
      <c r="CE33" s="1" t="s">
        <v>103</v>
      </c>
      <c r="CF33" s="1" t="s">
        <v>282</v>
      </c>
      <c r="CG33" s="1" t="s">
        <v>204</v>
      </c>
      <c r="CH33" s="1" t="s">
        <v>106</v>
      </c>
      <c r="CI33" s="1" t="s">
        <v>107</v>
      </c>
      <c r="CJ33" s="1" t="s">
        <v>108</v>
      </c>
      <c r="CK33" s="1" t="s">
        <v>235</v>
      </c>
      <c r="CO33" s="1">
        <v>267</v>
      </c>
      <c r="CP33" s="1" t="s">
        <v>336</v>
      </c>
      <c r="CQ33" s="1" t="s">
        <v>103</v>
      </c>
      <c r="CR33" s="1" t="s">
        <v>417</v>
      </c>
      <c r="CS33" s="1" t="s">
        <v>311</v>
      </c>
      <c r="CT33" s="1" t="s">
        <v>106</v>
      </c>
      <c r="CU33" s="1" t="s">
        <v>107</v>
      </c>
      <c r="CV33" s="1" t="s">
        <v>108</v>
      </c>
      <c r="CW33" s="1">
        <v>32.649000000000001</v>
      </c>
      <c r="DA33" s="1">
        <v>315</v>
      </c>
      <c r="DB33" s="1" t="s">
        <v>372</v>
      </c>
      <c r="DC33" s="1" t="s">
        <v>103</v>
      </c>
      <c r="DD33" s="1" t="s">
        <v>417</v>
      </c>
      <c r="DE33" s="1" t="s">
        <v>328</v>
      </c>
      <c r="DF33" s="1" t="s">
        <v>106</v>
      </c>
      <c r="DG33" s="1" t="s">
        <v>107</v>
      </c>
      <c r="DH33" s="1" t="s">
        <v>108</v>
      </c>
      <c r="DI33" s="1" t="s">
        <v>235</v>
      </c>
      <c r="DM33" s="1">
        <v>363</v>
      </c>
      <c r="DN33" s="1" t="s">
        <v>400</v>
      </c>
      <c r="DO33" s="1" t="s">
        <v>103</v>
      </c>
      <c r="DP33" s="1" t="s">
        <v>417</v>
      </c>
      <c r="DQ33" s="1" t="s">
        <v>332</v>
      </c>
      <c r="DR33" s="1" t="s">
        <v>106</v>
      </c>
      <c r="DS33" s="1" t="s">
        <v>107</v>
      </c>
      <c r="DT33" s="1" t="s">
        <v>108</v>
      </c>
      <c r="DU33" s="1">
        <v>22.748999999999999</v>
      </c>
      <c r="DV33" s="1"/>
    </row>
    <row r="34" spans="2:126" x14ac:dyDescent="0.25">
      <c r="B34" s="1">
        <v>16</v>
      </c>
      <c r="C34" s="1" t="s">
        <v>115</v>
      </c>
      <c r="D34" s="1" t="s">
        <v>103</v>
      </c>
      <c r="E34" s="1" t="s">
        <v>417</v>
      </c>
      <c r="F34" s="1" t="s">
        <v>105</v>
      </c>
      <c r="G34" s="1" t="s">
        <v>106</v>
      </c>
      <c r="H34" s="1" t="s">
        <v>107</v>
      </c>
      <c r="I34" s="1" t="s">
        <v>108</v>
      </c>
      <c r="J34" s="1">
        <v>22.661999999999999</v>
      </c>
      <c r="M34" s="1">
        <v>20</v>
      </c>
      <c r="N34" s="1" t="s">
        <v>132</v>
      </c>
      <c r="O34" s="1" t="s">
        <v>103</v>
      </c>
      <c r="P34" s="1" t="s">
        <v>417</v>
      </c>
      <c r="Q34" s="1" t="s">
        <v>129</v>
      </c>
      <c r="R34" s="1" t="s">
        <v>106</v>
      </c>
      <c r="S34" s="1" t="s">
        <v>107</v>
      </c>
      <c r="T34" s="1" t="s">
        <v>108</v>
      </c>
      <c r="U34" s="1">
        <v>18.411999999999999</v>
      </c>
      <c r="X34" s="1">
        <v>52</v>
      </c>
      <c r="Y34" s="1" t="s">
        <v>161</v>
      </c>
      <c r="Z34" s="1" t="s">
        <v>103</v>
      </c>
      <c r="AA34" s="1" t="s">
        <v>417</v>
      </c>
      <c r="AB34" s="1" t="s">
        <v>158</v>
      </c>
      <c r="AC34" s="1" t="s">
        <v>106</v>
      </c>
      <c r="AD34" s="1" t="s">
        <v>107</v>
      </c>
      <c r="AE34" s="1" t="s">
        <v>108</v>
      </c>
      <c r="AF34" s="1">
        <v>16.285</v>
      </c>
      <c r="AI34" s="1">
        <v>100</v>
      </c>
      <c r="AJ34" s="1" t="s">
        <v>194</v>
      </c>
      <c r="AK34" s="1" t="s">
        <v>103</v>
      </c>
      <c r="AL34" s="1" t="s">
        <v>417</v>
      </c>
      <c r="AM34" s="1" t="s">
        <v>191</v>
      </c>
      <c r="AN34" s="1" t="s">
        <v>106</v>
      </c>
      <c r="AO34" s="1" t="s">
        <v>107</v>
      </c>
      <c r="AP34" s="1" t="s">
        <v>108</v>
      </c>
      <c r="AQ34" s="1">
        <v>23.148</v>
      </c>
      <c r="AT34" s="1">
        <v>116</v>
      </c>
      <c r="AU34" s="1" t="s">
        <v>208</v>
      </c>
      <c r="AV34" s="1" t="s">
        <v>103</v>
      </c>
      <c r="AW34" s="1" t="s">
        <v>417</v>
      </c>
      <c r="AX34" s="1" t="s">
        <v>204</v>
      </c>
      <c r="AY34" s="1" t="s">
        <v>106</v>
      </c>
      <c r="AZ34" s="1" t="s">
        <v>107</v>
      </c>
      <c r="BA34" s="1" t="s">
        <v>108</v>
      </c>
      <c r="BB34" s="1">
        <v>30.343</v>
      </c>
      <c r="BE34" s="1">
        <v>148</v>
      </c>
      <c r="BF34" s="1" t="s">
        <v>239</v>
      </c>
      <c r="BG34" s="1" t="s">
        <v>103</v>
      </c>
      <c r="BH34" s="1" t="s">
        <v>417</v>
      </c>
      <c r="BI34" s="1" t="s">
        <v>234</v>
      </c>
      <c r="BJ34" s="1" t="s">
        <v>106</v>
      </c>
      <c r="BK34" s="1" t="s">
        <v>107</v>
      </c>
      <c r="BL34" s="1" t="s">
        <v>108</v>
      </c>
      <c r="BM34" s="1" t="s">
        <v>235</v>
      </c>
      <c r="BQ34" s="1">
        <v>196</v>
      </c>
      <c r="BR34" s="1" t="s">
        <v>272</v>
      </c>
      <c r="BS34" s="1" t="s">
        <v>103</v>
      </c>
      <c r="BT34" s="1" t="s">
        <v>417</v>
      </c>
      <c r="BU34" s="1" t="s">
        <v>269</v>
      </c>
      <c r="BV34" s="1" t="s">
        <v>106</v>
      </c>
      <c r="BW34" s="1" t="s">
        <v>107</v>
      </c>
      <c r="BX34" s="1" t="s">
        <v>108</v>
      </c>
      <c r="BY34" s="1">
        <v>32.036000000000001</v>
      </c>
      <c r="CC34" s="1">
        <v>284</v>
      </c>
      <c r="CD34" s="1" t="s">
        <v>349</v>
      </c>
      <c r="CE34" s="1" t="s">
        <v>103</v>
      </c>
      <c r="CF34" s="1" t="s">
        <v>282</v>
      </c>
      <c r="CG34" s="1" t="s">
        <v>311</v>
      </c>
      <c r="CH34" s="1" t="s">
        <v>106</v>
      </c>
      <c r="CI34" s="1" t="s">
        <v>107</v>
      </c>
      <c r="CJ34" s="1" t="s">
        <v>108</v>
      </c>
      <c r="CK34" s="1" t="s">
        <v>235</v>
      </c>
      <c r="CO34" s="1">
        <v>244</v>
      </c>
      <c r="CP34" s="1" t="s">
        <v>314</v>
      </c>
      <c r="CQ34" s="1" t="s">
        <v>103</v>
      </c>
      <c r="CR34" s="1" t="s">
        <v>417</v>
      </c>
      <c r="CS34" s="1" t="s">
        <v>311</v>
      </c>
      <c r="CT34" s="1" t="s">
        <v>106</v>
      </c>
      <c r="CU34" s="1" t="s">
        <v>107</v>
      </c>
      <c r="CV34" s="1" t="s">
        <v>108</v>
      </c>
      <c r="CW34" s="1">
        <v>31.658000000000001</v>
      </c>
      <c r="DA34" s="1">
        <v>292</v>
      </c>
      <c r="DB34" s="1" t="s">
        <v>357</v>
      </c>
      <c r="DC34" s="1" t="s">
        <v>103</v>
      </c>
      <c r="DD34" s="1" t="s">
        <v>417</v>
      </c>
      <c r="DE34" s="1" t="s">
        <v>328</v>
      </c>
      <c r="DF34" s="1" t="s">
        <v>106</v>
      </c>
      <c r="DG34" s="1" t="s">
        <v>107</v>
      </c>
      <c r="DH34" s="1" t="s">
        <v>108</v>
      </c>
      <c r="DI34" s="1">
        <v>34.588000000000001</v>
      </c>
      <c r="DM34" s="1">
        <v>340</v>
      </c>
      <c r="DN34" s="1" t="s">
        <v>389</v>
      </c>
      <c r="DO34" s="1" t="s">
        <v>103</v>
      </c>
      <c r="DP34" s="1" t="s">
        <v>417</v>
      </c>
      <c r="DQ34" s="1" t="s">
        <v>332</v>
      </c>
      <c r="DR34" s="1" t="s">
        <v>106</v>
      </c>
      <c r="DS34" s="1" t="s">
        <v>107</v>
      </c>
      <c r="DT34" s="1" t="s">
        <v>108</v>
      </c>
      <c r="DU34" s="1">
        <v>22.742999999999999</v>
      </c>
      <c r="DV34" s="1"/>
    </row>
    <row r="35" spans="2:126" x14ac:dyDescent="0.25">
      <c r="B35" s="1">
        <v>16</v>
      </c>
      <c r="C35" s="1" t="s">
        <v>140</v>
      </c>
      <c r="D35" s="1" t="s">
        <v>103</v>
      </c>
      <c r="E35" s="1" t="s">
        <v>417</v>
      </c>
      <c r="F35" s="1" t="s">
        <v>105</v>
      </c>
      <c r="G35" s="1" t="s">
        <v>106</v>
      </c>
      <c r="H35" s="1" t="s">
        <v>107</v>
      </c>
      <c r="I35" s="1" t="s">
        <v>108</v>
      </c>
      <c r="J35" s="1">
        <v>22.81</v>
      </c>
      <c r="M35" s="1">
        <v>48</v>
      </c>
      <c r="N35" s="1" t="s">
        <v>156</v>
      </c>
      <c r="O35" s="1" t="s">
        <v>103</v>
      </c>
      <c r="P35" s="1" t="s">
        <v>419</v>
      </c>
      <c r="Q35" s="1" t="s">
        <v>129</v>
      </c>
      <c r="R35" s="1" t="s">
        <v>106</v>
      </c>
      <c r="S35" s="1" t="s">
        <v>107</v>
      </c>
      <c r="T35" s="1" t="s">
        <v>108</v>
      </c>
      <c r="U35" s="1">
        <v>18.041</v>
      </c>
      <c r="V35" s="1"/>
      <c r="X35" s="1">
        <v>76</v>
      </c>
      <c r="Y35" s="1" t="s">
        <v>177</v>
      </c>
      <c r="Z35" s="1" t="s">
        <v>103</v>
      </c>
      <c r="AA35" s="1" t="s">
        <v>417</v>
      </c>
      <c r="AB35" s="1" t="s">
        <v>158</v>
      </c>
      <c r="AC35" s="1" t="s">
        <v>106</v>
      </c>
      <c r="AD35" s="1" t="s">
        <v>107</v>
      </c>
      <c r="AE35" s="1" t="s">
        <v>108</v>
      </c>
      <c r="AF35" s="1">
        <v>16.498000000000001</v>
      </c>
      <c r="AI35" s="1">
        <v>124</v>
      </c>
      <c r="AJ35" s="1" t="s">
        <v>216</v>
      </c>
      <c r="AK35" s="1" t="s">
        <v>103</v>
      </c>
      <c r="AL35" s="1" t="s">
        <v>417</v>
      </c>
      <c r="AM35" s="1" t="s">
        <v>191</v>
      </c>
      <c r="AN35" s="1" t="s">
        <v>106</v>
      </c>
      <c r="AO35" s="1" t="s">
        <v>107</v>
      </c>
      <c r="AP35" s="1" t="s">
        <v>108</v>
      </c>
      <c r="AQ35" s="1">
        <v>23.206</v>
      </c>
      <c r="AT35" s="1">
        <v>144</v>
      </c>
      <c r="AU35" s="1" t="s">
        <v>232</v>
      </c>
      <c r="AV35" s="1" t="s">
        <v>103</v>
      </c>
      <c r="AW35" s="1" t="s">
        <v>419</v>
      </c>
      <c r="AX35" s="1" t="s">
        <v>204</v>
      </c>
      <c r="AY35" s="1" t="s">
        <v>106</v>
      </c>
      <c r="AZ35" s="1" t="s">
        <v>107</v>
      </c>
      <c r="BA35" s="1" t="s">
        <v>108</v>
      </c>
      <c r="BB35" s="1">
        <v>28.076000000000001</v>
      </c>
      <c r="BE35" s="1">
        <v>172</v>
      </c>
      <c r="BF35" s="1" t="s">
        <v>255</v>
      </c>
      <c r="BG35" s="1" t="s">
        <v>103</v>
      </c>
      <c r="BH35" s="1" t="s">
        <v>417</v>
      </c>
      <c r="BI35" s="1" t="s">
        <v>234</v>
      </c>
      <c r="BJ35" s="1" t="s">
        <v>106</v>
      </c>
      <c r="BK35" s="1" t="s">
        <v>107</v>
      </c>
      <c r="BL35" s="1" t="s">
        <v>108</v>
      </c>
      <c r="BM35" s="1" t="s">
        <v>235</v>
      </c>
      <c r="BQ35" s="1">
        <v>220</v>
      </c>
      <c r="BR35" s="1" t="s">
        <v>293</v>
      </c>
      <c r="BS35" s="1" t="s">
        <v>103</v>
      </c>
      <c r="BT35" s="1" t="s">
        <v>417</v>
      </c>
      <c r="BU35" s="1" t="s">
        <v>269</v>
      </c>
      <c r="BV35" s="1" t="s">
        <v>106</v>
      </c>
      <c r="BW35" s="1" t="s">
        <v>107</v>
      </c>
      <c r="BX35" s="1" t="s">
        <v>108</v>
      </c>
      <c r="BY35" s="1">
        <v>31.352</v>
      </c>
      <c r="CC35" s="1">
        <v>332</v>
      </c>
      <c r="CD35" s="1" t="s">
        <v>385</v>
      </c>
      <c r="CE35" s="1" t="s">
        <v>103</v>
      </c>
      <c r="CF35" s="1" t="s">
        <v>282</v>
      </c>
      <c r="CG35" s="1" t="s">
        <v>204</v>
      </c>
      <c r="CH35" s="1" t="s">
        <v>106</v>
      </c>
      <c r="CI35" s="1" t="s">
        <v>107</v>
      </c>
      <c r="CJ35" s="1" t="s">
        <v>108</v>
      </c>
      <c r="CK35" s="1" t="s">
        <v>235</v>
      </c>
      <c r="CO35" s="1">
        <v>268</v>
      </c>
      <c r="CP35" s="1" t="s">
        <v>337</v>
      </c>
      <c r="CQ35" s="1" t="s">
        <v>103</v>
      </c>
      <c r="CR35" s="1" t="s">
        <v>417</v>
      </c>
      <c r="CS35" s="1" t="s">
        <v>311</v>
      </c>
      <c r="CT35" s="1" t="s">
        <v>106</v>
      </c>
      <c r="CU35" s="1" t="s">
        <v>107</v>
      </c>
      <c r="CV35" s="1" t="s">
        <v>108</v>
      </c>
      <c r="CW35" s="1">
        <v>33.334000000000003</v>
      </c>
      <c r="DA35" s="1">
        <v>316</v>
      </c>
      <c r="DB35" s="1" t="s">
        <v>373</v>
      </c>
      <c r="DC35" s="1" t="s">
        <v>103</v>
      </c>
      <c r="DD35" s="1" t="s">
        <v>417</v>
      </c>
      <c r="DE35" s="1" t="s">
        <v>328</v>
      </c>
      <c r="DF35" s="1" t="s">
        <v>106</v>
      </c>
      <c r="DG35" s="1" t="s">
        <v>107</v>
      </c>
      <c r="DH35" s="1" t="s">
        <v>108</v>
      </c>
      <c r="DI35" s="1" t="s">
        <v>235</v>
      </c>
      <c r="DM35" s="1">
        <v>364</v>
      </c>
      <c r="DN35" s="1" t="s">
        <v>401</v>
      </c>
      <c r="DO35" s="1" t="s">
        <v>103</v>
      </c>
      <c r="DP35" s="1" t="s">
        <v>417</v>
      </c>
      <c r="DQ35" s="1" t="s">
        <v>332</v>
      </c>
      <c r="DR35" s="1" t="s">
        <v>106</v>
      </c>
      <c r="DS35" s="1" t="s">
        <v>107</v>
      </c>
      <c r="DT35" s="1" t="s">
        <v>108</v>
      </c>
      <c r="DU35" s="1">
        <v>22.829000000000001</v>
      </c>
      <c r="DV35" s="1"/>
    </row>
    <row r="36" spans="2:126" x14ac:dyDescent="0.25">
      <c r="B36" s="1">
        <v>17</v>
      </c>
      <c r="C36" s="1" t="s">
        <v>116</v>
      </c>
      <c r="D36" s="1" t="s">
        <v>103</v>
      </c>
      <c r="E36" s="1" t="s">
        <v>418</v>
      </c>
      <c r="F36" s="1" t="s">
        <v>105</v>
      </c>
      <c r="G36" s="1" t="s">
        <v>106</v>
      </c>
      <c r="H36" s="1" t="s">
        <v>107</v>
      </c>
      <c r="I36" s="1" t="s">
        <v>108</v>
      </c>
      <c r="J36" s="1">
        <v>23.811</v>
      </c>
      <c r="M36" s="1">
        <v>21</v>
      </c>
      <c r="N36" s="1" t="s">
        <v>133</v>
      </c>
      <c r="O36" s="1" t="s">
        <v>103</v>
      </c>
      <c r="P36" s="1" t="s">
        <v>418</v>
      </c>
      <c r="Q36" s="1" t="s">
        <v>129</v>
      </c>
      <c r="R36" s="1" t="s">
        <v>106</v>
      </c>
      <c r="S36" s="1" t="s">
        <v>107</v>
      </c>
      <c r="T36" s="1" t="s">
        <v>108</v>
      </c>
      <c r="U36" s="1">
        <v>18.010000000000002</v>
      </c>
      <c r="X36" s="1">
        <v>53</v>
      </c>
      <c r="Y36" s="1" t="s">
        <v>162</v>
      </c>
      <c r="Z36" s="1" t="s">
        <v>103</v>
      </c>
      <c r="AA36" s="1" t="s">
        <v>418</v>
      </c>
      <c r="AB36" s="1" t="s">
        <v>158</v>
      </c>
      <c r="AC36" s="1" t="s">
        <v>106</v>
      </c>
      <c r="AD36" s="1" t="s">
        <v>107</v>
      </c>
      <c r="AE36" s="1" t="s">
        <v>108</v>
      </c>
      <c r="AF36" s="1">
        <v>19.164000000000001</v>
      </c>
      <c r="AI36" s="1">
        <v>101</v>
      </c>
      <c r="AJ36" s="1" t="s">
        <v>195</v>
      </c>
      <c r="AK36" s="1" t="s">
        <v>103</v>
      </c>
      <c r="AL36" s="1" t="s">
        <v>418</v>
      </c>
      <c r="AM36" s="1" t="s">
        <v>191</v>
      </c>
      <c r="AN36" s="1" t="s">
        <v>106</v>
      </c>
      <c r="AO36" s="1" t="s">
        <v>107</v>
      </c>
      <c r="AP36" s="1" t="s">
        <v>108</v>
      </c>
      <c r="AQ36" s="1">
        <v>20.812000000000001</v>
      </c>
      <c r="AT36" s="1">
        <v>117</v>
      </c>
      <c r="AU36" s="1" t="s">
        <v>209</v>
      </c>
      <c r="AV36" s="1" t="s">
        <v>103</v>
      </c>
      <c r="AW36" s="1" t="s">
        <v>418</v>
      </c>
      <c r="AX36" s="1" t="s">
        <v>204</v>
      </c>
      <c r="AY36" s="1" t="s">
        <v>106</v>
      </c>
      <c r="AZ36" s="1" t="s">
        <v>107</v>
      </c>
      <c r="BA36" s="1" t="s">
        <v>108</v>
      </c>
      <c r="BB36" s="1">
        <v>28.100999999999999</v>
      </c>
      <c r="BE36" s="1">
        <v>149</v>
      </c>
      <c r="BF36" s="1" t="s">
        <v>240</v>
      </c>
      <c r="BG36" s="1" t="s">
        <v>103</v>
      </c>
      <c r="BH36" s="1" t="s">
        <v>418</v>
      </c>
      <c r="BI36" s="1" t="s">
        <v>234</v>
      </c>
      <c r="BJ36" s="1" t="s">
        <v>106</v>
      </c>
      <c r="BK36" s="1" t="s">
        <v>107</v>
      </c>
      <c r="BL36" s="1" t="s">
        <v>108</v>
      </c>
      <c r="BM36" s="1">
        <v>34.887999999999998</v>
      </c>
      <c r="BQ36" s="1">
        <v>197</v>
      </c>
      <c r="BR36" s="1" t="s">
        <v>273</v>
      </c>
      <c r="BS36" s="1" t="s">
        <v>103</v>
      </c>
      <c r="BT36" s="1" t="s">
        <v>418</v>
      </c>
      <c r="BU36" s="1" t="s">
        <v>269</v>
      </c>
      <c r="BV36" s="1" t="s">
        <v>106</v>
      </c>
      <c r="BW36" s="1" t="s">
        <v>107</v>
      </c>
      <c r="BX36" s="1" t="s">
        <v>108</v>
      </c>
      <c r="BY36" s="1">
        <v>24.849</v>
      </c>
      <c r="CC36" s="1">
        <v>285</v>
      </c>
      <c r="CD36" s="1" t="s">
        <v>350</v>
      </c>
      <c r="CE36" s="1" t="s">
        <v>103</v>
      </c>
      <c r="CF36" s="1" t="s">
        <v>282</v>
      </c>
      <c r="CG36" s="1" t="s">
        <v>328</v>
      </c>
      <c r="CH36" s="1" t="s">
        <v>106</v>
      </c>
      <c r="CI36" s="1" t="s">
        <v>107</v>
      </c>
      <c r="CJ36" s="1" t="s">
        <v>108</v>
      </c>
      <c r="CK36" s="1">
        <v>24.233000000000001</v>
      </c>
      <c r="CO36" s="1">
        <v>245</v>
      </c>
      <c r="CP36" s="1" t="s">
        <v>315</v>
      </c>
      <c r="CQ36" s="1" t="s">
        <v>103</v>
      </c>
      <c r="CR36" s="1" t="s">
        <v>418</v>
      </c>
      <c r="CS36" s="1" t="s">
        <v>311</v>
      </c>
      <c r="CT36" s="1" t="s">
        <v>106</v>
      </c>
      <c r="CU36" s="1" t="s">
        <v>107</v>
      </c>
      <c r="CV36" s="1" t="s">
        <v>108</v>
      </c>
      <c r="CW36" s="1">
        <v>33.579000000000001</v>
      </c>
      <c r="DA36" s="1">
        <v>293</v>
      </c>
      <c r="DB36" s="1" t="s">
        <v>358</v>
      </c>
      <c r="DC36" s="1" t="s">
        <v>103</v>
      </c>
      <c r="DD36" s="1" t="s">
        <v>418</v>
      </c>
      <c r="DE36" s="1" t="s">
        <v>328</v>
      </c>
      <c r="DF36" s="1" t="s">
        <v>106</v>
      </c>
      <c r="DG36" s="1" t="s">
        <v>107</v>
      </c>
      <c r="DH36" s="1" t="s">
        <v>108</v>
      </c>
      <c r="DI36" s="1">
        <v>34.151000000000003</v>
      </c>
      <c r="DM36" s="1">
        <v>341</v>
      </c>
      <c r="DN36" s="1" t="s">
        <v>390</v>
      </c>
      <c r="DO36" s="1" t="s">
        <v>103</v>
      </c>
      <c r="DP36" s="1" t="s">
        <v>418</v>
      </c>
      <c r="DQ36" s="1" t="s">
        <v>332</v>
      </c>
      <c r="DR36" s="1" t="s">
        <v>106</v>
      </c>
      <c r="DS36" s="1" t="s">
        <v>107</v>
      </c>
      <c r="DT36" s="1" t="s">
        <v>108</v>
      </c>
      <c r="DU36" s="1">
        <v>22.611000000000001</v>
      </c>
      <c r="DV36" s="1"/>
    </row>
    <row r="37" spans="2:126" x14ac:dyDescent="0.25">
      <c r="B37" s="1">
        <v>17</v>
      </c>
      <c r="C37" s="1" t="s">
        <v>141</v>
      </c>
      <c r="D37" s="1" t="s">
        <v>103</v>
      </c>
      <c r="E37" s="1" t="s">
        <v>418</v>
      </c>
      <c r="F37" s="1" t="s">
        <v>105</v>
      </c>
      <c r="G37" s="1" t="s">
        <v>106</v>
      </c>
      <c r="H37" s="1" t="s">
        <v>107</v>
      </c>
      <c r="I37" s="1" t="s">
        <v>108</v>
      </c>
      <c r="J37" s="1">
        <v>23.986000000000001</v>
      </c>
      <c r="M37" s="1">
        <v>65</v>
      </c>
      <c r="N37" s="1" t="s">
        <v>170</v>
      </c>
      <c r="O37" s="1" t="s">
        <v>103</v>
      </c>
      <c r="P37" s="1" t="s">
        <v>420</v>
      </c>
      <c r="Q37" s="1" t="s">
        <v>129</v>
      </c>
      <c r="R37" s="1" t="s">
        <v>106</v>
      </c>
      <c r="S37" s="1" t="s">
        <v>107</v>
      </c>
      <c r="T37" s="1" t="s">
        <v>108</v>
      </c>
      <c r="U37" s="1">
        <v>20.026</v>
      </c>
      <c r="X37" s="1">
        <v>77</v>
      </c>
      <c r="Y37" s="1" t="s">
        <v>178</v>
      </c>
      <c r="Z37" s="1" t="s">
        <v>103</v>
      </c>
      <c r="AA37" s="1" t="s">
        <v>418</v>
      </c>
      <c r="AB37" s="1" t="s">
        <v>158</v>
      </c>
      <c r="AC37" s="1" t="s">
        <v>106</v>
      </c>
      <c r="AD37" s="1" t="s">
        <v>107</v>
      </c>
      <c r="AE37" s="1" t="s">
        <v>108</v>
      </c>
      <c r="AF37" s="1">
        <v>19.084</v>
      </c>
      <c r="AI37" s="1">
        <v>125</v>
      </c>
      <c r="AJ37" s="1" t="s">
        <v>217</v>
      </c>
      <c r="AK37" s="1" t="s">
        <v>103</v>
      </c>
      <c r="AL37" s="1" t="s">
        <v>418</v>
      </c>
      <c r="AM37" s="1" t="s">
        <v>191</v>
      </c>
      <c r="AN37" s="1" t="s">
        <v>106</v>
      </c>
      <c r="AO37" s="1" t="s">
        <v>107</v>
      </c>
      <c r="AP37" s="1" t="s">
        <v>108</v>
      </c>
      <c r="AQ37" s="1">
        <v>20.797000000000001</v>
      </c>
      <c r="AT37" s="1">
        <v>161</v>
      </c>
      <c r="AU37" s="1" t="s">
        <v>248</v>
      </c>
      <c r="AV37" s="1" t="s">
        <v>103</v>
      </c>
      <c r="AW37" s="1" t="s">
        <v>420</v>
      </c>
      <c r="AX37" s="1" t="s">
        <v>204</v>
      </c>
      <c r="AY37" s="1" t="s">
        <v>106</v>
      </c>
      <c r="AZ37" s="1" t="s">
        <v>107</v>
      </c>
      <c r="BA37" s="1" t="s">
        <v>108</v>
      </c>
      <c r="BB37" s="1">
        <v>28.193999999999999</v>
      </c>
      <c r="BE37" s="1">
        <v>173</v>
      </c>
      <c r="BF37" s="1" t="s">
        <v>256</v>
      </c>
      <c r="BG37" s="1" t="s">
        <v>103</v>
      </c>
      <c r="BH37" s="1" t="s">
        <v>418</v>
      </c>
      <c r="BI37" s="1" t="s">
        <v>234</v>
      </c>
      <c r="BJ37" s="1" t="s">
        <v>106</v>
      </c>
      <c r="BK37" s="1" t="s">
        <v>107</v>
      </c>
      <c r="BL37" s="1" t="s">
        <v>108</v>
      </c>
      <c r="BM37" s="1">
        <v>33.798000000000002</v>
      </c>
      <c r="BQ37" s="1">
        <v>221</v>
      </c>
      <c r="BR37" s="1" t="s">
        <v>294</v>
      </c>
      <c r="BS37" s="1" t="s">
        <v>103</v>
      </c>
      <c r="BT37" s="1" t="s">
        <v>418</v>
      </c>
      <c r="BU37" s="1" t="s">
        <v>269</v>
      </c>
      <c r="BV37" s="1" t="s">
        <v>106</v>
      </c>
      <c r="BW37" s="1" t="s">
        <v>107</v>
      </c>
      <c r="BX37" s="1" t="s">
        <v>108</v>
      </c>
      <c r="BY37" s="1">
        <v>24.863</v>
      </c>
      <c r="CC37" s="1">
        <v>209</v>
      </c>
      <c r="CD37" s="1" t="s">
        <v>281</v>
      </c>
      <c r="CE37" s="1" t="s">
        <v>103</v>
      </c>
      <c r="CF37" s="1" t="s">
        <v>282</v>
      </c>
      <c r="CG37" s="1" t="s">
        <v>105</v>
      </c>
      <c r="CH37" s="1" t="s">
        <v>106</v>
      </c>
      <c r="CI37" s="1" t="s">
        <v>107</v>
      </c>
      <c r="CJ37" s="1" t="s">
        <v>108</v>
      </c>
      <c r="CK37" s="1" t="s">
        <v>235</v>
      </c>
      <c r="CO37" s="1">
        <v>269</v>
      </c>
      <c r="CP37" s="1" t="s">
        <v>338</v>
      </c>
      <c r="CQ37" s="1" t="s">
        <v>103</v>
      </c>
      <c r="CR37" s="1" t="s">
        <v>418</v>
      </c>
      <c r="CS37" s="1" t="s">
        <v>311</v>
      </c>
      <c r="CT37" s="1" t="s">
        <v>106</v>
      </c>
      <c r="CU37" s="1" t="s">
        <v>107</v>
      </c>
      <c r="CV37" s="1" t="s">
        <v>108</v>
      </c>
      <c r="CW37" s="1">
        <v>31.606000000000002</v>
      </c>
      <c r="DA37" s="1">
        <v>317</v>
      </c>
      <c r="DB37" s="1" t="s">
        <v>374</v>
      </c>
      <c r="DC37" s="1" t="s">
        <v>103</v>
      </c>
      <c r="DD37" s="1" t="s">
        <v>418</v>
      </c>
      <c r="DE37" s="1" t="s">
        <v>328</v>
      </c>
      <c r="DF37" s="1" t="s">
        <v>106</v>
      </c>
      <c r="DG37" s="1" t="s">
        <v>107</v>
      </c>
      <c r="DH37" s="1" t="s">
        <v>108</v>
      </c>
      <c r="DI37" s="1">
        <v>34.176000000000002</v>
      </c>
      <c r="DM37" s="1">
        <v>365</v>
      </c>
      <c r="DN37" s="1" t="s">
        <v>402</v>
      </c>
      <c r="DO37" s="1" t="s">
        <v>103</v>
      </c>
      <c r="DP37" s="1" t="s">
        <v>418</v>
      </c>
      <c r="DQ37" s="1" t="s">
        <v>332</v>
      </c>
      <c r="DR37" s="1" t="s">
        <v>106</v>
      </c>
      <c r="DS37" s="1" t="s">
        <v>107</v>
      </c>
      <c r="DT37" s="1" t="s">
        <v>108</v>
      </c>
      <c r="DU37" s="1">
        <v>22.594000000000001</v>
      </c>
      <c r="DV37" s="1"/>
    </row>
    <row r="38" spans="2:126" x14ac:dyDescent="0.25">
      <c r="B38" s="1">
        <v>18</v>
      </c>
      <c r="C38" s="1" t="s">
        <v>118</v>
      </c>
      <c r="D38" s="1" t="s">
        <v>103</v>
      </c>
      <c r="E38" s="1" t="s">
        <v>418</v>
      </c>
      <c r="F38" s="1" t="s">
        <v>105</v>
      </c>
      <c r="G38" s="1" t="s">
        <v>106</v>
      </c>
      <c r="H38" s="1" t="s">
        <v>107</v>
      </c>
      <c r="I38" s="1" t="s">
        <v>108</v>
      </c>
      <c r="J38" s="1">
        <v>23.853999999999999</v>
      </c>
      <c r="M38" s="1">
        <v>22</v>
      </c>
      <c r="N38" s="1" t="s">
        <v>134</v>
      </c>
      <c r="O38" s="1" t="s">
        <v>103</v>
      </c>
      <c r="P38" s="1" t="s">
        <v>418</v>
      </c>
      <c r="Q38" s="1" t="s">
        <v>129</v>
      </c>
      <c r="R38" s="1" t="s">
        <v>106</v>
      </c>
      <c r="S38" s="1" t="s">
        <v>107</v>
      </c>
      <c r="T38" s="1" t="s">
        <v>108</v>
      </c>
      <c r="U38" s="1">
        <v>17.946000000000002</v>
      </c>
      <c r="X38" s="1">
        <v>54</v>
      </c>
      <c r="Y38" s="1" t="s">
        <v>163</v>
      </c>
      <c r="Z38" s="1" t="s">
        <v>103</v>
      </c>
      <c r="AA38" s="1" t="s">
        <v>418</v>
      </c>
      <c r="AB38" s="1" t="s">
        <v>158</v>
      </c>
      <c r="AC38" s="1" t="s">
        <v>106</v>
      </c>
      <c r="AD38" s="1" t="s">
        <v>107</v>
      </c>
      <c r="AE38" s="1" t="s">
        <v>108</v>
      </c>
      <c r="AF38" s="1">
        <v>19.152000000000001</v>
      </c>
      <c r="AI38" s="1">
        <v>102</v>
      </c>
      <c r="AJ38" s="1" t="s">
        <v>196</v>
      </c>
      <c r="AK38" s="1" t="s">
        <v>103</v>
      </c>
      <c r="AL38" s="1" t="s">
        <v>418</v>
      </c>
      <c r="AM38" s="1" t="s">
        <v>191</v>
      </c>
      <c r="AN38" s="1" t="s">
        <v>106</v>
      </c>
      <c r="AO38" s="1" t="s">
        <v>107</v>
      </c>
      <c r="AP38" s="1" t="s">
        <v>108</v>
      </c>
      <c r="AQ38" s="1">
        <v>20.786000000000001</v>
      </c>
      <c r="AT38" s="1">
        <v>118</v>
      </c>
      <c r="AU38" s="1" t="s">
        <v>210</v>
      </c>
      <c r="AV38" s="1" t="s">
        <v>103</v>
      </c>
      <c r="AW38" s="1" t="s">
        <v>418</v>
      </c>
      <c r="AX38" s="1" t="s">
        <v>204</v>
      </c>
      <c r="AY38" s="1" t="s">
        <v>106</v>
      </c>
      <c r="AZ38" s="1" t="s">
        <v>107</v>
      </c>
      <c r="BA38" s="1" t="s">
        <v>108</v>
      </c>
      <c r="BB38" s="1">
        <v>28.085000000000001</v>
      </c>
      <c r="BE38" s="1">
        <v>150</v>
      </c>
      <c r="BF38" s="1" t="s">
        <v>241</v>
      </c>
      <c r="BG38" s="1" t="s">
        <v>103</v>
      </c>
      <c r="BH38" s="1" t="s">
        <v>418</v>
      </c>
      <c r="BI38" s="1" t="s">
        <v>234</v>
      </c>
      <c r="BJ38" s="1" t="s">
        <v>106</v>
      </c>
      <c r="BK38" s="1" t="s">
        <v>107</v>
      </c>
      <c r="BL38" s="1" t="s">
        <v>108</v>
      </c>
      <c r="BM38" s="1">
        <v>34.04</v>
      </c>
      <c r="BQ38" s="1">
        <v>198</v>
      </c>
      <c r="BR38" s="1" t="s">
        <v>274</v>
      </c>
      <c r="BS38" s="1" t="s">
        <v>103</v>
      </c>
      <c r="BT38" s="1" t="s">
        <v>418</v>
      </c>
      <c r="BU38" s="1" t="s">
        <v>269</v>
      </c>
      <c r="BV38" s="1" t="s">
        <v>106</v>
      </c>
      <c r="BW38" s="1" t="s">
        <v>107</v>
      </c>
      <c r="BX38" s="1" t="s">
        <v>108</v>
      </c>
      <c r="BY38" s="1">
        <v>24.954999999999998</v>
      </c>
      <c r="CC38" s="1">
        <v>286</v>
      </c>
      <c r="CD38" s="1" t="s">
        <v>351</v>
      </c>
      <c r="CE38" s="1" t="s">
        <v>103</v>
      </c>
      <c r="CF38" s="1" t="s">
        <v>282</v>
      </c>
      <c r="CG38" s="1" t="s">
        <v>328</v>
      </c>
      <c r="CH38" s="1" t="s">
        <v>106</v>
      </c>
      <c r="CI38" s="1" t="s">
        <v>107</v>
      </c>
      <c r="CJ38" s="1" t="s">
        <v>108</v>
      </c>
      <c r="CK38" s="1" t="s">
        <v>235</v>
      </c>
      <c r="CO38" s="1">
        <v>246</v>
      </c>
      <c r="CP38" s="1" t="s">
        <v>316</v>
      </c>
      <c r="CQ38" s="1" t="s">
        <v>103</v>
      </c>
      <c r="CR38" s="1" t="s">
        <v>418</v>
      </c>
      <c r="CS38" s="1" t="s">
        <v>311</v>
      </c>
      <c r="CT38" s="1" t="s">
        <v>106</v>
      </c>
      <c r="CU38" s="1" t="s">
        <v>107</v>
      </c>
      <c r="CV38" s="1" t="s">
        <v>108</v>
      </c>
      <c r="CW38" s="1">
        <v>31.15</v>
      </c>
      <c r="DA38" s="1">
        <v>294</v>
      </c>
      <c r="DB38" s="1" t="s">
        <v>359</v>
      </c>
      <c r="DC38" s="1" t="s">
        <v>103</v>
      </c>
      <c r="DD38" s="1" t="s">
        <v>418</v>
      </c>
      <c r="DE38" s="1" t="s">
        <v>328</v>
      </c>
      <c r="DF38" s="1" t="s">
        <v>106</v>
      </c>
      <c r="DG38" s="1" t="s">
        <v>107</v>
      </c>
      <c r="DH38" s="1" t="s">
        <v>108</v>
      </c>
      <c r="DI38" s="1">
        <v>33.133000000000003</v>
      </c>
      <c r="DM38" s="1">
        <v>342</v>
      </c>
      <c r="DN38" s="1" t="s">
        <v>391</v>
      </c>
      <c r="DO38" s="1" t="s">
        <v>103</v>
      </c>
      <c r="DP38" s="1" t="s">
        <v>418</v>
      </c>
      <c r="DQ38" s="1" t="s">
        <v>332</v>
      </c>
      <c r="DR38" s="1" t="s">
        <v>106</v>
      </c>
      <c r="DS38" s="1" t="s">
        <v>107</v>
      </c>
      <c r="DT38" s="1" t="s">
        <v>108</v>
      </c>
      <c r="DU38" s="1">
        <v>22.55</v>
      </c>
      <c r="DV38" s="1"/>
    </row>
    <row r="39" spans="2:126" x14ac:dyDescent="0.25">
      <c r="B39" s="1">
        <v>18</v>
      </c>
      <c r="C39" s="1" t="s">
        <v>142</v>
      </c>
      <c r="D39" s="1" t="s">
        <v>103</v>
      </c>
      <c r="E39" s="1" t="s">
        <v>418</v>
      </c>
      <c r="F39" s="1" t="s">
        <v>105</v>
      </c>
      <c r="G39" s="1" t="s">
        <v>106</v>
      </c>
      <c r="H39" s="1" t="s">
        <v>107</v>
      </c>
      <c r="I39" s="1" t="s">
        <v>108</v>
      </c>
      <c r="J39" s="1">
        <v>23.716999999999999</v>
      </c>
      <c r="M39" s="1">
        <v>66</v>
      </c>
      <c r="N39" s="1" t="s">
        <v>171</v>
      </c>
      <c r="O39" s="1" t="s">
        <v>103</v>
      </c>
      <c r="P39" s="1" t="s">
        <v>420</v>
      </c>
      <c r="Q39" s="1" t="s">
        <v>129</v>
      </c>
      <c r="R39" s="1" t="s">
        <v>106</v>
      </c>
      <c r="S39" s="1" t="s">
        <v>107</v>
      </c>
      <c r="T39" s="1" t="s">
        <v>108</v>
      </c>
      <c r="U39" s="1">
        <v>20.100000000000001</v>
      </c>
      <c r="X39" s="1">
        <v>78</v>
      </c>
      <c r="Y39" s="1" t="s">
        <v>179</v>
      </c>
      <c r="Z39" s="1" t="s">
        <v>103</v>
      </c>
      <c r="AA39" s="1" t="s">
        <v>418</v>
      </c>
      <c r="AB39" s="1" t="s">
        <v>158</v>
      </c>
      <c r="AC39" s="1" t="s">
        <v>106</v>
      </c>
      <c r="AD39" s="1" t="s">
        <v>107</v>
      </c>
      <c r="AE39" s="1" t="s">
        <v>108</v>
      </c>
      <c r="AF39" s="1">
        <v>19.052</v>
      </c>
      <c r="AI39" s="1">
        <v>126</v>
      </c>
      <c r="AJ39" s="1" t="s">
        <v>218</v>
      </c>
      <c r="AK39" s="1" t="s">
        <v>103</v>
      </c>
      <c r="AL39" s="1" t="s">
        <v>418</v>
      </c>
      <c r="AM39" s="1" t="s">
        <v>191</v>
      </c>
      <c r="AN39" s="1" t="s">
        <v>106</v>
      </c>
      <c r="AO39" s="1" t="s">
        <v>107</v>
      </c>
      <c r="AP39" s="1" t="s">
        <v>108</v>
      </c>
      <c r="AQ39" s="1">
        <v>20.768999999999998</v>
      </c>
      <c r="AT39" s="1">
        <v>162</v>
      </c>
      <c r="AU39" s="1" t="s">
        <v>249</v>
      </c>
      <c r="AV39" s="1" t="s">
        <v>103</v>
      </c>
      <c r="AW39" s="1" t="s">
        <v>420</v>
      </c>
      <c r="AX39" s="1" t="s">
        <v>204</v>
      </c>
      <c r="AY39" s="1" t="s">
        <v>106</v>
      </c>
      <c r="AZ39" s="1" t="s">
        <v>107</v>
      </c>
      <c r="BA39" s="1" t="s">
        <v>108</v>
      </c>
      <c r="BB39" s="1">
        <v>28.459</v>
      </c>
      <c r="BE39" s="1">
        <v>174</v>
      </c>
      <c r="BF39" s="1" t="s">
        <v>257</v>
      </c>
      <c r="BG39" s="1" t="s">
        <v>103</v>
      </c>
      <c r="BH39" s="1" t="s">
        <v>418</v>
      </c>
      <c r="BI39" s="1" t="s">
        <v>234</v>
      </c>
      <c r="BJ39" s="1" t="s">
        <v>106</v>
      </c>
      <c r="BK39" s="1" t="s">
        <v>107</v>
      </c>
      <c r="BL39" s="1" t="s">
        <v>108</v>
      </c>
      <c r="BM39" s="1">
        <v>32.865000000000002</v>
      </c>
      <c r="BQ39" s="1">
        <v>222</v>
      </c>
      <c r="BR39" s="1" t="s">
        <v>295</v>
      </c>
      <c r="BS39" s="1" t="s">
        <v>103</v>
      </c>
      <c r="BT39" s="1" t="s">
        <v>418</v>
      </c>
      <c r="BU39" s="1" t="s">
        <v>269</v>
      </c>
      <c r="BV39" s="1" t="s">
        <v>106</v>
      </c>
      <c r="BW39" s="1" t="s">
        <v>107</v>
      </c>
      <c r="BX39" s="1" t="s">
        <v>108</v>
      </c>
      <c r="BY39" s="1">
        <v>24.879000000000001</v>
      </c>
      <c r="CC39" s="1">
        <v>210</v>
      </c>
      <c r="CD39" s="1" t="s">
        <v>283</v>
      </c>
      <c r="CE39" s="1" t="s">
        <v>103</v>
      </c>
      <c r="CF39" s="1" t="s">
        <v>282</v>
      </c>
      <c r="CG39" s="1" t="s">
        <v>105</v>
      </c>
      <c r="CH39" s="1" t="s">
        <v>106</v>
      </c>
      <c r="CI39" s="1" t="s">
        <v>107</v>
      </c>
      <c r="CJ39" s="1" t="s">
        <v>108</v>
      </c>
      <c r="CK39" s="1" t="s">
        <v>235</v>
      </c>
      <c r="CO39" s="1">
        <v>270</v>
      </c>
      <c r="CP39" s="1" t="s">
        <v>339</v>
      </c>
      <c r="CQ39" s="1" t="s">
        <v>103</v>
      </c>
      <c r="CR39" s="1" t="s">
        <v>418</v>
      </c>
      <c r="CS39" s="1" t="s">
        <v>311</v>
      </c>
      <c r="CT39" s="1" t="s">
        <v>106</v>
      </c>
      <c r="CU39" s="1" t="s">
        <v>107</v>
      </c>
      <c r="CV39" s="1" t="s">
        <v>108</v>
      </c>
      <c r="CW39" s="1">
        <v>32.088000000000001</v>
      </c>
      <c r="DA39" s="1">
        <v>318</v>
      </c>
      <c r="DB39" s="1" t="s">
        <v>375</v>
      </c>
      <c r="DC39" s="1" t="s">
        <v>103</v>
      </c>
      <c r="DD39" s="1" t="s">
        <v>418</v>
      </c>
      <c r="DE39" s="1" t="s">
        <v>328</v>
      </c>
      <c r="DF39" s="1" t="s">
        <v>106</v>
      </c>
      <c r="DG39" s="1" t="s">
        <v>107</v>
      </c>
      <c r="DH39" s="1" t="s">
        <v>108</v>
      </c>
      <c r="DI39" s="1">
        <v>34.515999999999998</v>
      </c>
      <c r="DM39" s="1">
        <v>366</v>
      </c>
      <c r="DN39" s="1" t="s">
        <v>403</v>
      </c>
      <c r="DO39" s="1" t="s">
        <v>103</v>
      </c>
      <c r="DP39" s="1" t="s">
        <v>418</v>
      </c>
      <c r="DQ39" s="1" t="s">
        <v>332</v>
      </c>
      <c r="DR39" s="1" t="s">
        <v>106</v>
      </c>
      <c r="DS39" s="1" t="s">
        <v>107</v>
      </c>
      <c r="DT39" s="1" t="s">
        <v>108</v>
      </c>
      <c r="DU39" s="1">
        <v>22.693999999999999</v>
      </c>
      <c r="DV39" s="1"/>
    </row>
    <row r="40" spans="2:126" x14ac:dyDescent="0.25">
      <c r="B40" s="1">
        <v>19</v>
      </c>
      <c r="C40" s="1" t="s">
        <v>119</v>
      </c>
      <c r="D40" s="1" t="s">
        <v>103</v>
      </c>
      <c r="E40" s="1" t="s">
        <v>419</v>
      </c>
      <c r="F40" s="1" t="s">
        <v>105</v>
      </c>
      <c r="G40" s="1" t="s">
        <v>106</v>
      </c>
      <c r="H40" s="1" t="s">
        <v>107</v>
      </c>
      <c r="I40" s="1" t="s">
        <v>108</v>
      </c>
      <c r="J40" s="1">
        <v>23.966000000000001</v>
      </c>
      <c r="M40" s="1">
        <v>23</v>
      </c>
      <c r="N40" s="1" t="s">
        <v>135</v>
      </c>
      <c r="O40" s="1" t="s">
        <v>103</v>
      </c>
      <c r="P40" s="1" t="s">
        <v>419</v>
      </c>
      <c r="Q40" s="1" t="s">
        <v>129</v>
      </c>
      <c r="R40" s="1" t="s">
        <v>106</v>
      </c>
      <c r="S40" s="1" t="s">
        <v>107</v>
      </c>
      <c r="T40" s="1" t="s">
        <v>108</v>
      </c>
      <c r="U40" s="1">
        <v>17.954999999999998</v>
      </c>
      <c r="X40" s="1">
        <v>55</v>
      </c>
      <c r="Y40" s="1" t="s">
        <v>164</v>
      </c>
      <c r="Z40" s="1" t="s">
        <v>103</v>
      </c>
      <c r="AA40" s="1" t="s">
        <v>419</v>
      </c>
      <c r="AB40" s="1" t="s">
        <v>158</v>
      </c>
      <c r="AC40" s="1" t="s">
        <v>106</v>
      </c>
      <c r="AD40" s="1" t="s">
        <v>107</v>
      </c>
      <c r="AE40" s="1" t="s">
        <v>108</v>
      </c>
      <c r="AF40" s="1">
        <v>19.113</v>
      </c>
      <c r="AI40" s="1">
        <v>103</v>
      </c>
      <c r="AJ40" s="1" t="s">
        <v>197</v>
      </c>
      <c r="AK40" s="1" t="s">
        <v>103</v>
      </c>
      <c r="AL40" s="1" t="s">
        <v>419</v>
      </c>
      <c r="AM40" s="1" t="s">
        <v>191</v>
      </c>
      <c r="AN40" s="1" t="s">
        <v>106</v>
      </c>
      <c r="AO40" s="1" t="s">
        <v>107</v>
      </c>
      <c r="AP40" s="1" t="s">
        <v>108</v>
      </c>
      <c r="AQ40" s="1">
        <v>20.734999999999999</v>
      </c>
      <c r="AT40" s="1">
        <v>119</v>
      </c>
      <c r="AU40" s="1" t="s">
        <v>211</v>
      </c>
      <c r="AV40" s="1" t="s">
        <v>103</v>
      </c>
      <c r="AW40" s="1" t="s">
        <v>419</v>
      </c>
      <c r="AX40" s="1" t="s">
        <v>204</v>
      </c>
      <c r="AY40" s="1" t="s">
        <v>106</v>
      </c>
      <c r="AZ40" s="1" t="s">
        <v>107</v>
      </c>
      <c r="BA40" s="1" t="s">
        <v>108</v>
      </c>
      <c r="BB40" s="1">
        <v>27.902999999999999</v>
      </c>
      <c r="BE40" s="1">
        <v>151</v>
      </c>
      <c r="BF40" s="1" t="s">
        <v>242</v>
      </c>
      <c r="BG40" s="1" t="s">
        <v>103</v>
      </c>
      <c r="BH40" s="1" t="s">
        <v>419</v>
      </c>
      <c r="BI40" s="1" t="s">
        <v>234</v>
      </c>
      <c r="BJ40" s="1" t="s">
        <v>106</v>
      </c>
      <c r="BK40" s="1" t="s">
        <v>107</v>
      </c>
      <c r="BL40" s="1" t="s">
        <v>108</v>
      </c>
      <c r="BM40" s="1" t="s">
        <v>235</v>
      </c>
      <c r="BQ40" s="1">
        <v>199</v>
      </c>
      <c r="BR40" s="1" t="s">
        <v>275</v>
      </c>
      <c r="BS40" s="1" t="s">
        <v>103</v>
      </c>
      <c r="BT40" s="1" t="s">
        <v>419</v>
      </c>
      <c r="BU40" s="1" t="s">
        <v>269</v>
      </c>
      <c r="BV40" s="1" t="s">
        <v>106</v>
      </c>
      <c r="BW40" s="1" t="s">
        <v>107</v>
      </c>
      <c r="BX40" s="1" t="s">
        <v>108</v>
      </c>
      <c r="BY40" s="1">
        <v>25.077000000000002</v>
      </c>
      <c r="CC40" s="1">
        <v>287</v>
      </c>
      <c r="CD40" s="1" t="s">
        <v>352</v>
      </c>
      <c r="CE40" s="1" t="s">
        <v>103</v>
      </c>
      <c r="CF40" s="1" t="s">
        <v>282</v>
      </c>
      <c r="CG40" s="1" t="s">
        <v>332</v>
      </c>
      <c r="CH40" s="1" t="s">
        <v>106</v>
      </c>
      <c r="CI40" s="1" t="s">
        <v>107</v>
      </c>
      <c r="CJ40" s="1" t="s">
        <v>108</v>
      </c>
      <c r="CK40" s="1" t="s">
        <v>235</v>
      </c>
      <c r="CO40" s="1">
        <v>247</v>
      </c>
      <c r="CP40" s="1" t="s">
        <v>317</v>
      </c>
      <c r="CQ40" s="1" t="s">
        <v>103</v>
      </c>
      <c r="CR40" s="1" t="s">
        <v>419</v>
      </c>
      <c r="CS40" s="1" t="s">
        <v>311</v>
      </c>
      <c r="CT40" s="1" t="s">
        <v>106</v>
      </c>
      <c r="CU40" s="1" t="s">
        <v>107</v>
      </c>
      <c r="CV40" s="1" t="s">
        <v>108</v>
      </c>
      <c r="CW40" s="1" t="s">
        <v>235</v>
      </c>
      <c r="DA40" s="1">
        <v>295</v>
      </c>
      <c r="DB40" s="1" t="s">
        <v>360</v>
      </c>
      <c r="DC40" s="1" t="s">
        <v>103</v>
      </c>
      <c r="DD40" s="1" t="s">
        <v>419</v>
      </c>
      <c r="DE40" s="1" t="s">
        <v>328</v>
      </c>
      <c r="DF40" s="1" t="s">
        <v>106</v>
      </c>
      <c r="DG40" s="1" t="s">
        <v>107</v>
      </c>
      <c r="DH40" s="1" t="s">
        <v>108</v>
      </c>
      <c r="DI40" s="1">
        <v>31.507999999999999</v>
      </c>
      <c r="DM40" s="1">
        <v>343</v>
      </c>
      <c r="DN40" s="1" t="s">
        <v>392</v>
      </c>
      <c r="DO40" s="1" t="s">
        <v>103</v>
      </c>
      <c r="DP40" s="1" t="s">
        <v>419</v>
      </c>
      <c r="DQ40" s="1" t="s">
        <v>332</v>
      </c>
      <c r="DR40" s="1" t="s">
        <v>106</v>
      </c>
      <c r="DS40" s="1" t="s">
        <v>107</v>
      </c>
      <c r="DT40" s="1" t="s">
        <v>108</v>
      </c>
      <c r="DU40" s="1">
        <v>22.65</v>
      </c>
      <c r="DV40" s="1"/>
    </row>
    <row r="41" spans="2:126" x14ac:dyDescent="0.25">
      <c r="B41" s="1">
        <v>19</v>
      </c>
      <c r="C41" s="1" t="s">
        <v>143</v>
      </c>
      <c r="D41" s="1" t="s">
        <v>103</v>
      </c>
      <c r="E41" s="1" t="s">
        <v>419</v>
      </c>
      <c r="F41" s="1" t="s">
        <v>105</v>
      </c>
      <c r="G41" s="1" t="s">
        <v>106</v>
      </c>
      <c r="H41" s="1" t="s">
        <v>107</v>
      </c>
      <c r="I41" s="1" t="s">
        <v>108</v>
      </c>
      <c r="J41" s="1">
        <v>23.888999999999999</v>
      </c>
      <c r="M41" s="1">
        <v>67</v>
      </c>
      <c r="N41" s="1" t="s">
        <v>172</v>
      </c>
      <c r="O41" s="1" t="s">
        <v>103</v>
      </c>
      <c r="P41" s="1" t="s">
        <v>421</v>
      </c>
      <c r="Q41" s="1" t="s">
        <v>129</v>
      </c>
      <c r="R41" s="1" t="s">
        <v>106</v>
      </c>
      <c r="S41" s="1" t="s">
        <v>107</v>
      </c>
      <c r="T41" s="1" t="s">
        <v>108</v>
      </c>
      <c r="U41" s="1">
        <v>18.928999999999998</v>
      </c>
      <c r="X41" s="1">
        <v>79</v>
      </c>
      <c r="Y41" s="1" t="s">
        <v>180</v>
      </c>
      <c r="Z41" s="1" t="s">
        <v>103</v>
      </c>
      <c r="AA41" s="1" t="s">
        <v>419</v>
      </c>
      <c r="AB41" s="1" t="s">
        <v>158</v>
      </c>
      <c r="AC41" s="1" t="s">
        <v>106</v>
      </c>
      <c r="AD41" s="1" t="s">
        <v>107</v>
      </c>
      <c r="AE41" s="1" t="s">
        <v>108</v>
      </c>
      <c r="AF41" s="1">
        <v>19.152999999999999</v>
      </c>
      <c r="AI41" s="1">
        <v>127</v>
      </c>
      <c r="AJ41" s="1" t="s">
        <v>219</v>
      </c>
      <c r="AK41" s="1" t="s">
        <v>103</v>
      </c>
      <c r="AL41" s="1" t="s">
        <v>419</v>
      </c>
      <c r="AM41" s="1" t="s">
        <v>191</v>
      </c>
      <c r="AN41" s="1" t="s">
        <v>106</v>
      </c>
      <c r="AO41" s="1" t="s">
        <v>107</v>
      </c>
      <c r="AP41" s="1" t="s">
        <v>108</v>
      </c>
      <c r="AQ41" s="1">
        <v>20.841999999999999</v>
      </c>
      <c r="AT41" s="1">
        <v>163</v>
      </c>
      <c r="AU41" s="1" t="s">
        <v>250</v>
      </c>
      <c r="AV41" s="1" t="s">
        <v>103</v>
      </c>
      <c r="AW41" s="1" t="s">
        <v>421</v>
      </c>
      <c r="AX41" s="1" t="s">
        <v>204</v>
      </c>
      <c r="AY41" s="1" t="s">
        <v>106</v>
      </c>
      <c r="AZ41" s="1" t="s">
        <v>107</v>
      </c>
      <c r="BA41" s="1" t="s">
        <v>108</v>
      </c>
      <c r="BB41" s="1">
        <v>27.576000000000001</v>
      </c>
      <c r="BE41" s="1">
        <v>175</v>
      </c>
      <c r="BF41" s="1" t="s">
        <v>258</v>
      </c>
      <c r="BG41" s="1" t="s">
        <v>103</v>
      </c>
      <c r="BH41" s="1" t="s">
        <v>419</v>
      </c>
      <c r="BI41" s="1" t="s">
        <v>234</v>
      </c>
      <c r="BJ41" s="1" t="s">
        <v>106</v>
      </c>
      <c r="BK41" s="1" t="s">
        <v>107</v>
      </c>
      <c r="BL41" s="1" t="s">
        <v>108</v>
      </c>
      <c r="BM41" s="1">
        <v>33.906999999999996</v>
      </c>
      <c r="BQ41" s="1">
        <v>223</v>
      </c>
      <c r="BR41" s="1" t="s">
        <v>296</v>
      </c>
      <c r="BS41" s="1" t="s">
        <v>103</v>
      </c>
      <c r="BT41" s="1" t="s">
        <v>419</v>
      </c>
      <c r="BU41" s="1" t="s">
        <v>269</v>
      </c>
      <c r="BV41" s="1" t="s">
        <v>106</v>
      </c>
      <c r="BW41" s="1" t="s">
        <v>107</v>
      </c>
      <c r="BX41" s="1" t="s">
        <v>108</v>
      </c>
      <c r="BY41" s="1">
        <v>24.777000000000001</v>
      </c>
      <c r="CC41" s="1">
        <v>211</v>
      </c>
      <c r="CD41" s="1" t="s">
        <v>284</v>
      </c>
      <c r="CE41" s="1" t="s">
        <v>103</v>
      </c>
      <c r="CF41" s="1" t="s">
        <v>282</v>
      </c>
      <c r="CG41" s="1" t="s">
        <v>158</v>
      </c>
      <c r="CH41" s="1" t="s">
        <v>106</v>
      </c>
      <c r="CI41" s="1" t="s">
        <v>107</v>
      </c>
      <c r="CJ41" s="1" t="s">
        <v>108</v>
      </c>
      <c r="CK41" s="1">
        <v>34.965000000000003</v>
      </c>
      <c r="CO41" s="1">
        <v>271</v>
      </c>
      <c r="CP41" s="1" t="s">
        <v>340</v>
      </c>
      <c r="CQ41" s="1" t="s">
        <v>103</v>
      </c>
      <c r="CR41" s="1" t="s">
        <v>419</v>
      </c>
      <c r="CS41" s="1" t="s">
        <v>311</v>
      </c>
      <c r="CT41" s="1" t="s">
        <v>106</v>
      </c>
      <c r="CU41" s="1" t="s">
        <v>107</v>
      </c>
      <c r="CV41" s="1" t="s">
        <v>108</v>
      </c>
      <c r="CW41" s="1">
        <v>32.667000000000002</v>
      </c>
      <c r="DA41" s="1">
        <v>319</v>
      </c>
      <c r="DB41" s="1" t="s">
        <v>376</v>
      </c>
      <c r="DC41" s="1" t="s">
        <v>103</v>
      </c>
      <c r="DD41" s="1" t="s">
        <v>419</v>
      </c>
      <c r="DE41" s="1" t="s">
        <v>328</v>
      </c>
      <c r="DF41" s="1" t="s">
        <v>106</v>
      </c>
      <c r="DG41" s="1" t="s">
        <v>107</v>
      </c>
      <c r="DH41" s="1" t="s">
        <v>108</v>
      </c>
      <c r="DI41" s="1">
        <v>32.628999999999998</v>
      </c>
      <c r="DM41" s="1">
        <v>367</v>
      </c>
      <c r="DN41" s="1" t="s">
        <v>404</v>
      </c>
      <c r="DO41" s="1" t="s">
        <v>103</v>
      </c>
      <c r="DP41" s="1" t="s">
        <v>419</v>
      </c>
      <c r="DQ41" s="1" t="s">
        <v>332</v>
      </c>
      <c r="DR41" s="1" t="s">
        <v>106</v>
      </c>
      <c r="DS41" s="1" t="s">
        <v>107</v>
      </c>
      <c r="DT41" s="1" t="s">
        <v>108</v>
      </c>
      <c r="DU41" s="1">
        <v>22.596</v>
      </c>
      <c r="DV41" s="1"/>
    </row>
    <row r="42" spans="2:126" x14ac:dyDescent="0.25">
      <c r="B42" s="1">
        <v>20</v>
      </c>
      <c r="C42" s="1" t="s">
        <v>121</v>
      </c>
      <c r="D42" s="1" t="s">
        <v>103</v>
      </c>
      <c r="E42" s="1" t="s">
        <v>419</v>
      </c>
      <c r="F42" s="1" t="s">
        <v>105</v>
      </c>
      <c r="G42" s="1" t="s">
        <v>106</v>
      </c>
      <c r="H42" s="1" t="s">
        <v>107</v>
      </c>
      <c r="I42" s="1" t="s">
        <v>108</v>
      </c>
      <c r="J42" s="1">
        <v>24.045999999999999</v>
      </c>
      <c r="M42" s="1">
        <v>24</v>
      </c>
      <c r="N42" s="1" t="s">
        <v>136</v>
      </c>
      <c r="O42" s="1" t="s">
        <v>103</v>
      </c>
      <c r="P42" s="1" t="s">
        <v>419</v>
      </c>
      <c r="Q42" s="1" t="s">
        <v>129</v>
      </c>
      <c r="R42" s="1" t="s">
        <v>106</v>
      </c>
      <c r="S42" s="1" t="s">
        <v>107</v>
      </c>
      <c r="T42" s="1" t="s">
        <v>108</v>
      </c>
      <c r="U42" s="1">
        <v>17.888999999999999</v>
      </c>
      <c r="X42" s="1">
        <v>56</v>
      </c>
      <c r="Y42" s="1" t="s">
        <v>165</v>
      </c>
      <c r="Z42" s="1" t="s">
        <v>103</v>
      </c>
      <c r="AA42" s="1" t="s">
        <v>419</v>
      </c>
      <c r="AB42" s="1" t="s">
        <v>158</v>
      </c>
      <c r="AC42" s="1" t="s">
        <v>106</v>
      </c>
      <c r="AD42" s="1" t="s">
        <v>107</v>
      </c>
      <c r="AE42" s="1" t="s">
        <v>108</v>
      </c>
      <c r="AF42" s="1">
        <v>19.295000000000002</v>
      </c>
      <c r="AI42" s="1">
        <v>104</v>
      </c>
      <c r="AJ42" s="1" t="s">
        <v>198</v>
      </c>
      <c r="AK42" s="1" t="s">
        <v>103</v>
      </c>
      <c r="AL42" s="1" t="s">
        <v>419</v>
      </c>
      <c r="AM42" s="1" t="s">
        <v>191</v>
      </c>
      <c r="AN42" s="1" t="s">
        <v>106</v>
      </c>
      <c r="AO42" s="1" t="s">
        <v>107</v>
      </c>
      <c r="AP42" s="1" t="s">
        <v>108</v>
      </c>
      <c r="AQ42" s="1">
        <v>20.681999999999999</v>
      </c>
      <c r="AT42" s="1">
        <v>120</v>
      </c>
      <c r="AU42" s="1" t="s">
        <v>212</v>
      </c>
      <c r="AV42" s="1" t="s">
        <v>103</v>
      </c>
      <c r="AW42" s="1" t="s">
        <v>419</v>
      </c>
      <c r="AX42" s="1" t="s">
        <v>204</v>
      </c>
      <c r="AY42" s="1" t="s">
        <v>106</v>
      </c>
      <c r="AZ42" s="1" t="s">
        <v>107</v>
      </c>
      <c r="BA42" s="1" t="s">
        <v>108</v>
      </c>
      <c r="BB42" s="1">
        <v>27.876999999999999</v>
      </c>
      <c r="BE42" s="1">
        <v>152</v>
      </c>
      <c r="BF42" s="1" t="s">
        <v>243</v>
      </c>
      <c r="BG42" s="1" t="s">
        <v>103</v>
      </c>
      <c r="BH42" s="1" t="s">
        <v>419</v>
      </c>
      <c r="BI42" s="1" t="s">
        <v>234</v>
      </c>
      <c r="BJ42" s="1" t="s">
        <v>106</v>
      </c>
      <c r="BK42" s="1" t="s">
        <v>107</v>
      </c>
      <c r="BL42" s="1" t="s">
        <v>108</v>
      </c>
      <c r="BM42" s="1">
        <v>34.988</v>
      </c>
      <c r="BQ42" s="1">
        <v>200</v>
      </c>
      <c r="BR42" s="1" t="s">
        <v>276</v>
      </c>
      <c r="BS42" s="1" t="s">
        <v>103</v>
      </c>
      <c r="BT42" s="1" t="s">
        <v>419</v>
      </c>
      <c r="BU42" s="1" t="s">
        <v>269</v>
      </c>
      <c r="BV42" s="1" t="s">
        <v>106</v>
      </c>
      <c r="BW42" s="1" t="s">
        <v>107</v>
      </c>
      <c r="BX42" s="1" t="s">
        <v>108</v>
      </c>
      <c r="BY42" s="1">
        <v>24.949000000000002</v>
      </c>
      <c r="CC42" s="1">
        <v>288</v>
      </c>
      <c r="CD42" s="1" t="s">
        <v>353</v>
      </c>
      <c r="CE42" s="1" t="s">
        <v>103</v>
      </c>
      <c r="CF42" s="1" t="s">
        <v>282</v>
      </c>
      <c r="CG42" s="1" t="s">
        <v>332</v>
      </c>
      <c r="CH42" s="1" t="s">
        <v>106</v>
      </c>
      <c r="CI42" s="1" t="s">
        <v>107</v>
      </c>
      <c r="CJ42" s="1" t="s">
        <v>108</v>
      </c>
      <c r="CK42" s="1">
        <v>23.638000000000002</v>
      </c>
      <c r="CO42" s="1">
        <v>248</v>
      </c>
      <c r="CP42" s="1" t="s">
        <v>318</v>
      </c>
      <c r="CQ42" s="1" t="s">
        <v>103</v>
      </c>
      <c r="CR42" s="1" t="s">
        <v>419</v>
      </c>
      <c r="CS42" s="1" t="s">
        <v>311</v>
      </c>
      <c r="CT42" s="1" t="s">
        <v>106</v>
      </c>
      <c r="CU42" s="1" t="s">
        <v>107</v>
      </c>
      <c r="CV42" s="1" t="s">
        <v>108</v>
      </c>
      <c r="CW42" s="1">
        <v>30.443999999999999</v>
      </c>
      <c r="DA42" s="1">
        <v>296</v>
      </c>
      <c r="DB42" s="1" t="s">
        <v>361</v>
      </c>
      <c r="DC42" s="1" t="s">
        <v>103</v>
      </c>
      <c r="DD42" s="1" t="s">
        <v>419</v>
      </c>
      <c r="DE42" s="1" t="s">
        <v>328</v>
      </c>
      <c r="DF42" s="1" t="s">
        <v>106</v>
      </c>
      <c r="DG42" s="1" t="s">
        <v>107</v>
      </c>
      <c r="DH42" s="1" t="s">
        <v>108</v>
      </c>
      <c r="DI42" s="1" t="s">
        <v>235</v>
      </c>
      <c r="DM42" s="1">
        <v>344</v>
      </c>
      <c r="DN42" s="1" t="s">
        <v>393</v>
      </c>
      <c r="DO42" s="1" t="s">
        <v>103</v>
      </c>
      <c r="DP42" s="1" t="s">
        <v>419</v>
      </c>
      <c r="DQ42" s="1" t="s">
        <v>332</v>
      </c>
      <c r="DR42" s="1" t="s">
        <v>106</v>
      </c>
      <c r="DS42" s="1" t="s">
        <v>107</v>
      </c>
      <c r="DT42" s="1" t="s">
        <v>108</v>
      </c>
      <c r="DU42" s="1">
        <v>22.698</v>
      </c>
      <c r="DV42" s="1"/>
    </row>
    <row r="43" spans="2:126" x14ac:dyDescent="0.25">
      <c r="B43" s="1">
        <v>20</v>
      </c>
      <c r="C43" s="1" t="s">
        <v>144</v>
      </c>
      <c r="D43" s="1" t="s">
        <v>103</v>
      </c>
      <c r="E43" s="1" t="s">
        <v>419</v>
      </c>
      <c r="F43" s="1" t="s">
        <v>105</v>
      </c>
      <c r="G43" s="1" t="s">
        <v>106</v>
      </c>
      <c r="H43" s="1" t="s">
        <v>107</v>
      </c>
      <c r="I43" s="1" t="s">
        <v>108</v>
      </c>
      <c r="J43" s="1">
        <v>23.789000000000001</v>
      </c>
      <c r="M43" s="1">
        <v>68</v>
      </c>
      <c r="N43" s="1" t="s">
        <v>173</v>
      </c>
      <c r="O43" s="1" t="s">
        <v>103</v>
      </c>
      <c r="P43" s="1" t="s">
        <v>421</v>
      </c>
      <c r="Q43" s="1" t="s">
        <v>129</v>
      </c>
      <c r="R43" s="1" t="s">
        <v>106</v>
      </c>
      <c r="S43" s="1" t="s">
        <v>107</v>
      </c>
      <c r="T43" s="1" t="s">
        <v>108</v>
      </c>
      <c r="U43" s="1">
        <v>18.837</v>
      </c>
      <c r="X43" s="1">
        <v>80</v>
      </c>
      <c r="Y43" s="1" t="s">
        <v>181</v>
      </c>
      <c r="Z43" s="1" t="s">
        <v>103</v>
      </c>
      <c r="AA43" s="1" t="s">
        <v>419</v>
      </c>
      <c r="AB43" s="1" t="s">
        <v>158</v>
      </c>
      <c r="AC43" s="1" t="s">
        <v>106</v>
      </c>
      <c r="AD43" s="1" t="s">
        <v>107</v>
      </c>
      <c r="AE43" s="1" t="s">
        <v>108</v>
      </c>
      <c r="AF43" s="1">
        <v>19.105</v>
      </c>
      <c r="AI43" s="1">
        <v>128</v>
      </c>
      <c r="AJ43" s="1" t="s">
        <v>220</v>
      </c>
      <c r="AK43" s="1" t="s">
        <v>103</v>
      </c>
      <c r="AL43" s="1" t="s">
        <v>419</v>
      </c>
      <c r="AM43" s="1" t="s">
        <v>191</v>
      </c>
      <c r="AN43" s="1" t="s">
        <v>106</v>
      </c>
      <c r="AO43" s="1" t="s">
        <v>107</v>
      </c>
      <c r="AP43" s="1" t="s">
        <v>108</v>
      </c>
      <c r="AQ43" s="1">
        <v>20.699000000000002</v>
      </c>
      <c r="AT43" s="1">
        <v>164</v>
      </c>
      <c r="AU43" s="1" t="s">
        <v>251</v>
      </c>
      <c r="AV43" s="1" t="s">
        <v>103</v>
      </c>
      <c r="AW43" s="1" t="s">
        <v>421</v>
      </c>
      <c r="AX43" s="1" t="s">
        <v>204</v>
      </c>
      <c r="AY43" s="1" t="s">
        <v>106</v>
      </c>
      <c r="AZ43" s="1" t="s">
        <v>107</v>
      </c>
      <c r="BA43" s="1" t="s">
        <v>108</v>
      </c>
      <c r="BB43" s="1">
        <v>27.812999999999999</v>
      </c>
      <c r="BE43" s="1">
        <v>176</v>
      </c>
      <c r="BF43" s="1" t="s">
        <v>259</v>
      </c>
      <c r="BG43" s="1" t="s">
        <v>103</v>
      </c>
      <c r="BH43" s="1" t="s">
        <v>419</v>
      </c>
      <c r="BI43" s="1" t="s">
        <v>234</v>
      </c>
      <c r="BJ43" s="1" t="s">
        <v>106</v>
      </c>
      <c r="BK43" s="1" t="s">
        <v>107</v>
      </c>
      <c r="BL43" s="1" t="s">
        <v>108</v>
      </c>
      <c r="BM43" s="1" t="s">
        <v>235</v>
      </c>
      <c r="BQ43" s="1">
        <v>224</v>
      </c>
      <c r="BR43" s="1" t="s">
        <v>297</v>
      </c>
      <c r="BS43" s="1" t="s">
        <v>103</v>
      </c>
      <c r="BT43" s="1" t="s">
        <v>419</v>
      </c>
      <c r="BU43" s="1" t="s">
        <v>269</v>
      </c>
      <c r="BV43" s="1" t="s">
        <v>106</v>
      </c>
      <c r="BW43" s="1" t="s">
        <v>107</v>
      </c>
      <c r="BX43" s="1" t="s">
        <v>108</v>
      </c>
      <c r="BY43" s="1">
        <v>24.73</v>
      </c>
      <c r="CC43" s="1">
        <v>212</v>
      </c>
      <c r="CD43" s="1" t="s">
        <v>285</v>
      </c>
      <c r="CE43" s="1" t="s">
        <v>103</v>
      </c>
      <c r="CF43" s="1" t="s">
        <v>282</v>
      </c>
      <c r="CG43" s="1" t="s">
        <v>158</v>
      </c>
      <c r="CH43" s="1" t="s">
        <v>106</v>
      </c>
      <c r="CI43" s="1" t="s">
        <v>107</v>
      </c>
      <c r="CJ43" s="1" t="s">
        <v>108</v>
      </c>
      <c r="CK43" s="1" t="s">
        <v>235</v>
      </c>
      <c r="CO43" s="1">
        <v>272</v>
      </c>
      <c r="CP43" s="1" t="s">
        <v>341</v>
      </c>
      <c r="CQ43" s="1" t="s">
        <v>103</v>
      </c>
      <c r="CR43" s="1" t="s">
        <v>419</v>
      </c>
      <c r="CS43" s="1" t="s">
        <v>311</v>
      </c>
      <c r="CT43" s="1" t="s">
        <v>106</v>
      </c>
      <c r="CU43" s="1" t="s">
        <v>107</v>
      </c>
      <c r="CV43" s="1" t="s">
        <v>108</v>
      </c>
      <c r="CW43" s="1" t="s">
        <v>235</v>
      </c>
      <c r="DA43" s="1">
        <v>320</v>
      </c>
      <c r="DB43" s="1" t="s">
        <v>377</v>
      </c>
      <c r="DC43" s="1" t="s">
        <v>103</v>
      </c>
      <c r="DD43" s="1" t="s">
        <v>419</v>
      </c>
      <c r="DE43" s="1" t="s">
        <v>328</v>
      </c>
      <c r="DF43" s="1" t="s">
        <v>106</v>
      </c>
      <c r="DG43" s="1" t="s">
        <v>107</v>
      </c>
      <c r="DH43" s="1" t="s">
        <v>108</v>
      </c>
      <c r="DI43" s="1" t="s">
        <v>235</v>
      </c>
      <c r="DM43" s="1">
        <v>368</v>
      </c>
      <c r="DN43" s="1" t="s">
        <v>405</v>
      </c>
      <c r="DO43" s="1" t="s">
        <v>103</v>
      </c>
      <c r="DP43" s="1" t="s">
        <v>419</v>
      </c>
      <c r="DQ43" s="1" t="s">
        <v>332</v>
      </c>
      <c r="DR43" s="1" t="s">
        <v>106</v>
      </c>
      <c r="DS43" s="1" t="s">
        <v>107</v>
      </c>
      <c r="DT43" s="1" t="s">
        <v>108</v>
      </c>
      <c r="DU43" s="1">
        <v>22.7</v>
      </c>
      <c r="DV43" s="1"/>
    </row>
    <row r="44" spans="2:126" x14ac:dyDescent="0.25">
      <c r="B44" s="1">
        <v>21</v>
      </c>
      <c r="C44" s="1" t="s">
        <v>122</v>
      </c>
      <c r="D44" s="1" t="s">
        <v>103</v>
      </c>
      <c r="E44" s="1" t="s">
        <v>420</v>
      </c>
      <c r="F44" s="1" t="s">
        <v>105</v>
      </c>
      <c r="G44" s="1" t="s">
        <v>106</v>
      </c>
      <c r="H44" s="1" t="s">
        <v>107</v>
      </c>
      <c r="I44" s="1" t="s">
        <v>108</v>
      </c>
      <c r="J44" s="1">
        <v>25.911999999999999</v>
      </c>
      <c r="M44" s="1">
        <v>41</v>
      </c>
      <c r="N44" s="1" t="s">
        <v>149</v>
      </c>
      <c r="O44" s="1" t="s">
        <v>103</v>
      </c>
      <c r="P44" s="1" t="s">
        <v>416</v>
      </c>
      <c r="Q44" s="1" t="s">
        <v>129</v>
      </c>
      <c r="R44" s="1" t="s">
        <v>106</v>
      </c>
      <c r="S44" s="1" t="s">
        <v>107</v>
      </c>
      <c r="T44" s="1" t="s">
        <v>108</v>
      </c>
      <c r="U44" s="1">
        <v>18.940000000000001</v>
      </c>
      <c r="V44" s="1"/>
      <c r="X44" s="1">
        <v>57</v>
      </c>
      <c r="Y44" s="1" t="s">
        <v>166</v>
      </c>
      <c r="Z44" s="1" t="s">
        <v>103</v>
      </c>
      <c r="AA44" s="1" t="s">
        <v>420</v>
      </c>
      <c r="AB44" s="1" t="s">
        <v>158</v>
      </c>
      <c r="AC44" s="1" t="s">
        <v>106</v>
      </c>
      <c r="AD44" s="1" t="s">
        <v>107</v>
      </c>
      <c r="AE44" s="1" t="s">
        <v>108</v>
      </c>
      <c r="AF44" s="1">
        <v>19.241</v>
      </c>
      <c r="AI44" s="1">
        <v>105</v>
      </c>
      <c r="AJ44" s="1" t="s">
        <v>199</v>
      </c>
      <c r="AK44" s="1" t="s">
        <v>103</v>
      </c>
      <c r="AL44" s="1" t="s">
        <v>420</v>
      </c>
      <c r="AM44" s="1" t="s">
        <v>191</v>
      </c>
      <c r="AN44" s="1" t="s">
        <v>106</v>
      </c>
      <c r="AO44" s="1" t="s">
        <v>107</v>
      </c>
      <c r="AP44" s="1" t="s">
        <v>108</v>
      </c>
      <c r="AQ44" s="1">
        <v>24.262</v>
      </c>
      <c r="AT44" s="1">
        <v>137</v>
      </c>
      <c r="AU44" s="1" t="s">
        <v>225</v>
      </c>
      <c r="AV44" s="1" t="s">
        <v>103</v>
      </c>
      <c r="AW44" s="1" t="s">
        <v>416</v>
      </c>
      <c r="AX44" s="1" t="s">
        <v>204</v>
      </c>
      <c r="AY44" s="1" t="s">
        <v>106</v>
      </c>
      <c r="AZ44" s="1" t="s">
        <v>107</v>
      </c>
      <c r="BA44" s="1" t="s">
        <v>108</v>
      </c>
      <c r="BB44" s="1">
        <v>31.094999999999999</v>
      </c>
      <c r="BE44" s="1">
        <v>153</v>
      </c>
      <c r="BF44" s="1" t="s">
        <v>244</v>
      </c>
      <c r="BG44" s="1" t="s">
        <v>103</v>
      </c>
      <c r="BH44" s="1" t="s">
        <v>420</v>
      </c>
      <c r="BI44" s="1" t="s">
        <v>234</v>
      </c>
      <c r="BJ44" s="1" t="s">
        <v>106</v>
      </c>
      <c r="BK44" s="1" t="s">
        <v>107</v>
      </c>
      <c r="BL44" s="1" t="s">
        <v>108</v>
      </c>
      <c r="BM44" s="1">
        <v>31.866</v>
      </c>
      <c r="BQ44" s="1">
        <v>201</v>
      </c>
      <c r="BR44" s="1" t="s">
        <v>277</v>
      </c>
      <c r="BS44" s="1" t="s">
        <v>103</v>
      </c>
      <c r="BT44" s="1" t="s">
        <v>420</v>
      </c>
      <c r="BU44" s="1" t="s">
        <v>269</v>
      </c>
      <c r="BV44" s="1" t="s">
        <v>106</v>
      </c>
      <c r="BW44" s="1" t="s">
        <v>107</v>
      </c>
      <c r="BX44" s="1" t="s">
        <v>108</v>
      </c>
      <c r="BY44" s="1">
        <v>25.562999999999999</v>
      </c>
      <c r="CC44" s="1">
        <v>305</v>
      </c>
      <c r="CD44" s="1" t="s">
        <v>366</v>
      </c>
      <c r="CE44" s="1" t="s">
        <v>103</v>
      </c>
      <c r="CF44" s="1" t="s">
        <v>282</v>
      </c>
      <c r="CG44" s="1" t="s">
        <v>129</v>
      </c>
      <c r="CH44" s="1" t="s">
        <v>106</v>
      </c>
      <c r="CI44" s="1" t="s">
        <v>107</v>
      </c>
      <c r="CJ44" s="1" t="s">
        <v>108</v>
      </c>
      <c r="CK44" s="1">
        <v>34.139000000000003</v>
      </c>
      <c r="CO44" s="1">
        <v>249</v>
      </c>
      <c r="CP44" s="1" t="s">
        <v>319</v>
      </c>
      <c r="CQ44" s="1" t="s">
        <v>103</v>
      </c>
      <c r="CR44" s="1" t="s">
        <v>420</v>
      </c>
      <c r="CS44" s="1" t="s">
        <v>311</v>
      </c>
      <c r="CT44" s="1" t="s">
        <v>106</v>
      </c>
      <c r="CU44" s="1" t="s">
        <v>107</v>
      </c>
      <c r="CV44" s="1" t="s">
        <v>108</v>
      </c>
      <c r="CW44" s="1" t="s">
        <v>235</v>
      </c>
      <c r="DA44" s="1">
        <v>297</v>
      </c>
      <c r="DB44" s="1" t="s">
        <v>362</v>
      </c>
      <c r="DC44" s="1" t="s">
        <v>103</v>
      </c>
      <c r="DD44" s="1" t="s">
        <v>420</v>
      </c>
      <c r="DE44" s="1" t="s">
        <v>328</v>
      </c>
      <c r="DF44" s="1" t="s">
        <v>106</v>
      </c>
      <c r="DG44" s="1" t="s">
        <v>107</v>
      </c>
      <c r="DH44" s="1" t="s">
        <v>108</v>
      </c>
      <c r="DI44" s="1">
        <v>34.21</v>
      </c>
      <c r="DM44" s="1">
        <v>345</v>
      </c>
      <c r="DN44" s="1" t="s">
        <v>394</v>
      </c>
      <c r="DO44" s="1" t="s">
        <v>103</v>
      </c>
      <c r="DP44" s="1" t="s">
        <v>420</v>
      </c>
      <c r="DQ44" s="1" t="s">
        <v>332</v>
      </c>
      <c r="DR44" s="1" t="s">
        <v>106</v>
      </c>
      <c r="DS44" s="1" t="s">
        <v>107</v>
      </c>
      <c r="DT44" s="1" t="s">
        <v>108</v>
      </c>
      <c r="DU44" s="1">
        <v>24.039000000000001</v>
      </c>
      <c r="DV44" s="1"/>
    </row>
    <row r="45" spans="2:126" x14ac:dyDescent="0.25">
      <c r="B45" s="1">
        <v>21</v>
      </c>
      <c r="C45" s="1" t="s">
        <v>145</v>
      </c>
      <c r="D45" s="1" t="s">
        <v>103</v>
      </c>
      <c r="E45" s="1" t="s">
        <v>420</v>
      </c>
      <c r="F45" s="1" t="s">
        <v>105</v>
      </c>
      <c r="G45" s="1" t="s">
        <v>106</v>
      </c>
      <c r="H45" s="1" t="s">
        <v>107</v>
      </c>
      <c r="I45" s="1" t="s">
        <v>108</v>
      </c>
      <c r="J45" s="1">
        <v>25.977</v>
      </c>
      <c r="M45" s="1">
        <v>89</v>
      </c>
      <c r="N45" s="1" t="s">
        <v>186</v>
      </c>
      <c r="O45" s="1" t="s">
        <v>103</v>
      </c>
      <c r="P45" s="1" t="s">
        <v>420</v>
      </c>
      <c r="Q45" s="1" t="s">
        <v>129</v>
      </c>
      <c r="R45" s="1" t="s">
        <v>106</v>
      </c>
      <c r="S45" s="1" t="s">
        <v>107</v>
      </c>
      <c r="T45" s="1" t="s">
        <v>108</v>
      </c>
      <c r="U45" s="1">
        <v>20.016999999999999</v>
      </c>
      <c r="X45" s="1">
        <v>81</v>
      </c>
      <c r="Y45" s="1" t="s">
        <v>182</v>
      </c>
      <c r="Z45" s="1" t="s">
        <v>103</v>
      </c>
      <c r="AA45" s="1" t="s">
        <v>420</v>
      </c>
      <c r="AB45" s="1" t="s">
        <v>158</v>
      </c>
      <c r="AC45" s="1" t="s">
        <v>106</v>
      </c>
      <c r="AD45" s="1" t="s">
        <v>107</v>
      </c>
      <c r="AE45" s="1" t="s">
        <v>108</v>
      </c>
      <c r="AF45" s="1">
        <v>19.172000000000001</v>
      </c>
      <c r="AI45" s="1">
        <v>129</v>
      </c>
      <c r="AJ45" s="1" t="s">
        <v>221</v>
      </c>
      <c r="AK45" s="1" t="s">
        <v>103</v>
      </c>
      <c r="AL45" s="1" t="s">
        <v>420</v>
      </c>
      <c r="AM45" s="1" t="s">
        <v>191</v>
      </c>
      <c r="AN45" s="1" t="s">
        <v>106</v>
      </c>
      <c r="AO45" s="1" t="s">
        <v>107</v>
      </c>
      <c r="AP45" s="1" t="s">
        <v>108</v>
      </c>
      <c r="AQ45" s="1">
        <v>24.419</v>
      </c>
      <c r="AT45" s="1">
        <v>185</v>
      </c>
      <c r="AU45" s="1" t="s">
        <v>264</v>
      </c>
      <c r="AV45" s="1" t="s">
        <v>103</v>
      </c>
      <c r="AW45" s="1" t="s">
        <v>420</v>
      </c>
      <c r="AX45" s="1" t="s">
        <v>204</v>
      </c>
      <c r="AY45" s="1" t="s">
        <v>106</v>
      </c>
      <c r="AZ45" s="1" t="s">
        <v>107</v>
      </c>
      <c r="BA45" s="1" t="s">
        <v>108</v>
      </c>
      <c r="BB45" s="1">
        <v>28.282</v>
      </c>
      <c r="BE45" s="1">
        <v>177</v>
      </c>
      <c r="BF45" s="1" t="s">
        <v>260</v>
      </c>
      <c r="BG45" s="1" t="s">
        <v>103</v>
      </c>
      <c r="BH45" s="1" t="s">
        <v>420</v>
      </c>
      <c r="BI45" s="1" t="s">
        <v>234</v>
      </c>
      <c r="BJ45" s="1" t="s">
        <v>106</v>
      </c>
      <c r="BK45" s="1" t="s">
        <v>107</v>
      </c>
      <c r="BL45" s="1" t="s">
        <v>108</v>
      </c>
      <c r="BM45" s="1">
        <v>33.174999999999997</v>
      </c>
      <c r="BQ45" s="1">
        <v>225</v>
      </c>
      <c r="BR45" s="1" t="s">
        <v>298</v>
      </c>
      <c r="BS45" s="1" t="s">
        <v>103</v>
      </c>
      <c r="BT45" s="1" t="s">
        <v>420</v>
      </c>
      <c r="BU45" s="1" t="s">
        <v>269</v>
      </c>
      <c r="BV45" s="1" t="s">
        <v>106</v>
      </c>
      <c r="BW45" s="1" t="s">
        <v>107</v>
      </c>
      <c r="BX45" s="1" t="s">
        <v>108</v>
      </c>
      <c r="BY45" s="1">
        <v>25.298999999999999</v>
      </c>
      <c r="CC45" s="1">
        <v>213</v>
      </c>
      <c r="CD45" s="1" t="s">
        <v>286</v>
      </c>
      <c r="CE45" s="1" t="s">
        <v>103</v>
      </c>
      <c r="CF45" s="1" t="s">
        <v>282</v>
      </c>
      <c r="CG45" s="1" t="s">
        <v>191</v>
      </c>
      <c r="CH45" s="1" t="s">
        <v>106</v>
      </c>
      <c r="CI45" s="1" t="s">
        <v>107</v>
      </c>
      <c r="CJ45" s="1" t="s">
        <v>108</v>
      </c>
      <c r="CK45" s="1" t="s">
        <v>235</v>
      </c>
      <c r="CO45" s="1">
        <v>273</v>
      </c>
      <c r="CP45" s="1" t="s">
        <v>342</v>
      </c>
      <c r="CQ45" s="1" t="s">
        <v>103</v>
      </c>
      <c r="CR45" s="1" t="s">
        <v>420</v>
      </c>
      <c r="CS45" s="1" t="s">
        <v>311</v>
      </c>
      <c r="CT45" s="1" t="s">
        <v>106</v>
      </c>
      <c r="CU45" s="1" t="s">
        <v>107</v>
      </c>
      <c r="CV45" s="1" t="s">
        <v>108</v>
      </c>
      <c r="CW45" s="1">
        <v>32.89</v>
      </c>
      <c r="DA45" s="1">
        <v>321</v>
      </c>
      <c r="DB45" s="1" t="s">
        <v>378</v>
      </c>
      <c r="DC45" s="1" t="s">
        <v>103</v>
      </c>
      <c r="DD45" s="1" t="s">
        <v>420</v>
      </c>
      <c r="DE45" s="1" t="s">
        <v>328</v>
      </c>
      <c r="DF45" s="1" t="s">
        <v>106</v>
      </c>
      <c r="DG45" s="1" t="s">
        <v>107</v>
      </c>
      <c r="DH45" s="1" t="s">
        <v>108</v>
      </c>
      <c r="DI45" s="1">
        <v>32.302</v>
      </c>
      <c r="DM45" s="1">
        <v>369</v>
      </c>
      <c r="DN45" s="1" t="s">
        <v>406</v>
      </c>
      <c r="DO45" s="1" t="s">
        <v>103</v>
      </c>
      <c r="DP45" s="1" t="s">
        <v>420</v>
      </c>
      <c r="DQ45" s="1" t="s">
        <v>332</v>
      </c>
      <c r="DR45" s="1" t="s">
        <v>106</v>
      </c>
      <c r="DS45" s="1" t="s">
        <v>107</v>
      </c>
      <c r="DT45" s="1" t="s">
        <v>108</v>
      </c>
      <c r="DU45" s="1">
        <v>24.114999999999998</v>
      </c>
      <c r="DV45" s="1"/>
    </row>
    <row r="46" spans="2:126" x14ac:dyDescent="0.25">
      <c r="B46" s="1">
        <v>22</v>
      </c>
      <c r="C46" s="1" t="s">
        <v>124</v>
      </c>
      <c r="D46" s="1" t="s">
        <v>103</v>
      </c>
      <c r="E46" s="1" t="s">
        <v>420</v>
      </c>
      <c r="F46" s="1" t="s">
        <v>105</v>
      </c>
      <c r="G46" s="1" t="s">
        <v>106</v>
      </c>
      <c r="H46" s="1" t="s">
        <v>107</v>
      </c>
      <c r="I46" s="1" t="s">
        <v>108</v>
      </c>
      <c r="J46" s="1">
        <v>25.974</v>
      </c>
      <c r="M46" s="1">
        <v>42</v>
      </c>
      <c r="N46" s="1" t="s">
        <v>150</v>
      </c>
      <c r="O46" s="1" t="s">
        <v>103</v>
      </c>
      <c r="P46" s="1" t="s">
        <v>416</v>
      </c>
      <c r="Q46" s="1" t="s">
        <v>129</v>
      </c>
      <c r="R46" s="1" t="s">
        <v>106</v>
      </c>
      <c r="S46" s="1" t="s">
        <v>107</v>
      </c>
      <c r="T46" s="1" t="s">
        <v>108</v>
      </c>
      <c r="U46" s="1">
        <v>18.774000000000001</v>
      </c>
      <c r="V46" s="1"/>
      <c r="X46" s="1">
        <v>58</v>
      </c>
      <c r="Y46" s="1" t="s">
        <v>167</v>
      </c>
      <c r="Z46" s="1" t="s">
        <v>103</v>
      </c>
      <c r="AA46" s="1" t="s">
        <v>420</v>
      </c>
      <c r="AB46" s="1" t="s">
        <v>158</v>
      </c>
      <c r="AC46" s="1" t="s">
        <v>106</v>
      </c>
      <c r="AD46" s="1" t="s">
        <v>107</v>
      </c>
      <c r="AE46" s="1" t="s">
        <v>108</v>
      </c>
      <c r="AF46" s="1">
        <v>19.742999999999999</v>
      </c>
      <c r="AI46" s="1">
        <v>106</v>
      </c>
      <c r="AJ46" s="1" t="s">
        <v>200</v>
      </c>
      <c r="AK46" s="1" t="s">
        <v>103</v>
      </c>
      <c r="AL46" s="1" t="s">
        <v>420</v>
      </c>
      <c r="AM46" s="1" t="s">
        <v>191</v>
      </c>
      <c r="AN46" s="1" t="s">
        <v>106</v>
      </c>
      <c r="AO46" s="1" t="s">
        <v>107</v>
      </c>
      <c r="AP46" s="1" t="s">
        <v>108</v>
      </c>
      <c r="AQ46" s="1">
        <v>24.422000000000001</v>
      </c>
      <c r="AT46" s="1">
        <v>138</v>
      </c>
      <c r="AU46" s="1" t="s">
        <v>226</v>
      </c>
      <c r="AV46" s="1" t="s">
        <v>103</v>
      </c>
      <c r="AW46" s="1" t="s">
        <v>416</v>
      </c>
      <c r="AX46" s="1" t="s">
        <v>204</v>
      </c>
      <c r="AY46" s="1" t="s">
        <v>106</v>
      </c>
      <c r="AZ46" s="1" t="s">
        <v>107</v>
      </c>
      <c r="BA46" s="1" t="s">
        <v>108</v>
      </c>
      <c r="BB46" s="1">
        <v>29.959</v>
      </c>
      <c r="BE46" s="1">
        <v>154</v>
      </c>
      <c r="BF46" s="1" t="s">
        <v>245</v>
      </c>
      <c r="BG46" s="1" t="s">
        <v>103</v>
      </c>
      <c r="BH46" s="1" t="s">
        <v>420</v>
      </c>
      <c r="BI46" s="1" t="s">
        <v>234</v>
      </c>
      <c r="BJ46" s="1" t="s">
        <v>106</v>
      </c>
      <c r="BK46" s="1" t="s">
        <v>107</v>
      </c>
      <c r="BL46" s="1" t="s">
        <v>108</v>
      </c>
      <c r="BM46" s="1">
        <v>32.165999999999997</v>
      </c>
      <c r="BQ46" s="1">
        <v>202</v>
      </c>
      <c r="BR46" s="1" t="s">
        <v>278</v>
      </c>
      <c r="BS46" s="1" t="s">
        <v>103</v>
      </c>
      <c r="BT46" s="1" t="s">
        <v>420</v>
      </c>
      <c r="BU46" s="1" t="s">
        <v>269</v>
      </c>
      <c r="BV46" s="1" t="s">
        <v>106</v>
      </c>
      <c r="BW46" s="1" t="s">
        <v>107</v>
      </c>
      <c r="BX46" s="1" t="s">
        <v>108</v>
      </c>
      <c r="BY46" s="1">
        <v>25.536999999999999</v>
      </c>
      <c r="CC46" s="1">
        <v>306</v>
      </c>
      <c r="CD46" s="1" t="s">
        <v>367</v>
      </c>
      <c r="CE46" s="1" t="s">
        <v>103</v>
      </c>
      <c r="CF46" s="1" t="s">
        <v>282</v>
      </c>
      <c r="CG46" s="1" t="s">
        <v>129</v>
      </c>
      <c r="CH46" s="1" t="s">
        <v>106</v>
      </c>
      <c r="CI46" s="1" t="s">
        <v>107</v>
      </c>
      <c r="CJ46" s="1" t="s">
        <v>108</v>
      </c>
      <c r="CK46" s="1">
        <v>35.356999999999999</v>
      </c>
      <c r="CO46" s="1">
        <v>250</v>
      </c>
      <c r="CP46" s="1" t="s">
        <v>320</v>
      </c>
      <c r="CQ46" s="1" t="s">
        <v>103</v>
      </c>
      <c r="CR46" s="1" t="s">
        <v>420</v>
      </c>
      <c r="CS46" s="1" t="s">
        <v>311</v>
      </c>
      <c r="CT46" s="1" t="s">
        <v>106</v>
      </c>
      <c r="CU46" s="1" t="s">
        <v>107</v>
      </c>
      <c r="CV46" s="1" t="s">
        <v>108</v>
      </c>
      <c r="CW46" s="1" t="s">
        <v>235</v>
      </c>
      <c r="DA46" s="1">
        <v>298</v>
      </c>
      <c r="DB46" s="1" t="s">
        <v>363</v>
      </c>
      <c r="DC46" s="1" t="s">
        <v>103</v>
      </c>
      <c r="DD46" s="1" t="s">
        <v>420</v>
      </c>
      <c r="DE46" s="1" t="s">
        <v>328</v>
      </c>
      <c r="DF46" s="1" t="s">
        <v>106</v>
      </c>
      <c r="DG46" s="1" t="s">
        <v>107</v>
      </c>
      <c r="DH46" s="1" t="s">
        <v>108</v>
      </c>
      <c r="DI46" s="1">
        <v>34.479999999999997</v>
      </c>
      <c r="DM46" s="1">
        <v>346</v>
      </c>
      <c r="DN46" s="1" t="s">
        <v>395</v>
      </c>
      <c r="DO46" s="1" t="s">
        <v>103</v>
      </c>
      <c r="DP46" s="1" t="s">
        <v>420</v>
      </c>
      <c r="DQ46" s="1" t="s">
        <v>332</v>
      </c>
      <c r="DR46" s="1" t="s">
        <v>106</v>
      </c>
      <c r="DS46" s="1" t="s">
        <v>107</v>
      </c>
      <c r="DT46" s="1" t="s">
        <v>108</v>
      </c>
      <c r="DU46" s="1">
        <v>24.184000000000001</v>
      </c>
      <c r="DV46" s="1"/>
    </row>
    <row r="47" spans="2:126" x14ac:dyDescent="0.25">
      <c r="B47" s="1">
        <v>22</v>
      </c>
      <c r="C47" s="1" t="s">
        <v>146</v>
      </c>
      <c r="D47" s="1" t="s">
        <v>103</v>
      </c>
      <c r="E47" s="1" t="s">
        <v>420</v>
      </c>
      <c r="F47" s="1" t="s">
        <v>105</v>
      </c>
      <c r="G47" s="1" t="s">
        <v>106</v>
      </c>
      <c r="H47" s="1" t="s">
        <v>107</v>
      </c>
      <c r="I47" s="1" t="s">
        <v>108</v>
      </c>
      <c r="J47" s="1">
        <v>26.209</v>
      </c>
      <c r="M47" s="1">
        <v>90</v>
      </c>
      <c r="N47" s="1" t="s">
        <v>187</v>
      </c>
      <c r="O47" s="1" t="s">
        <v>103</v>
      </c>
      <c r="P47" s="1" t="s">
        <v>420</v>
      </c>
      <c r="Q47" s="1" t="s">
        <v>129</v>
      </c>
      <c r="R47" s="1" t="s">
        <v>106</v>
      </c>
      <c r="S47" s="1" t="s">
        <v>107</v>
      </c>
      <c r="T47" s="1" t="s">
        <v>108</v>
      </c>
      <c r="U47" s="1">
        <v>19.843</v>
      </c>
      <c r="X47" s="1">
        <v>82</v>
      </c>
      <c r="Y47" s="1" t="s">
        <v>183</v>
      </c>
      <c r="Z47" s="1" t="s">
        <v>103</v>
      </c>
      <c r="AA47" s="1" t="s">
        <v>420</v>
      </c>
      <c r="AB47" s="1" t="s">
        <v>158</v>
      </c>
      <c r="AC47" s="1" t="s">
        <v>106</v>
      </c>
      <c r="AD47" s="1" t="s">
        <v>107</v>
      </c>
      <c r="AE47" s="1" t="s">
        <v>108</v>
      </c>
      <c r="AF47" s="1">
        <v>19.222000000000001</v>
      </c>
      <c r="AI47" s="1">
        <v>130</v>
      </c>
      <c r="AJ47" s="1" t="s">
        <v>222</v>
      </c>
      <c r="AK47" s="1" t="s">
        <v>103</v>
      </c>
      <c r="AL47" s="1" t="s">
        <v>420</v>
      </c>
      <c r="AM47" s="1" t="s">
        <v>191</v>
      </c>
      <c r="AN47" s="1" t="s">
        <v>106</v>
      </c>
      <c r="AO47" s="1" t="s">
        <v>107</v>
      </c>
      <c r="AP47" s="1" t="s">
        <v>108</v>
      </c>
      <c r="AQ47" s="1">
        <v>24.367000000000001</v>
      </c>
      <c r="AT47" s="1">
        <v>186</v>
      </c>
      <c r="AU47" s="1" t="s">
        <v>265</v>
      </c>
      <c r="AV47" s="1" t="s">
        <v>103</v>
      </c>
      <c r="AW47" s="1" t="s">
        <v>420</v>
      </c>
      <c r="AX47" s="1" t="s">
        <v>204</v>
      </c>
      <c r="AY47" s="1" t="s">
        <v>106</v>
      </c>
      <c r="AZ47" s="1" t="s">
        <v>107</v>
      </c>
      <c r="BA47" s="1" t="s">
        <v>108</v>
      </c>
      <c r="BB47" s="1">
        <v>28.245999999999999</v>
      </c>
      <c r="BE47" s="1">
        <v>178</v>
      </c>
      <c r="BF47" s="1" t="s">
        <v>261</v>
      </c>
      <c r="BG47" s="1" t="s">
        <v>103</v>
      </c>
      <c r="BH47" s="1" t="s">
        <v>420</v>
      </c>
      <c r="BI47" s="1" t="s">
        <v>234</v>
      </c>
      <c r="BJ47" s="1" t="s">
        <v>106</v>
      </c>
      <c r="BK47" s="1" t="s">
        <v>107</v>
      </c>
      <c r="BL47" s="1" t="s">
        <v>108</v>
      </c>
      <c r="BM47" s="1">
        <v>31.715</v>
      </c>
      <c r="BQ47" s="1">
        <v>226</v>
      </c>
      <c r="BR47" s="1" t="s">
        <v>299</v>
      </c>
      <c r="BS47" s="1" t="s">
        <v>103</v>
      </c>
      <c r="BT47" s="1" t="s">
        <v>420</v>
      </c>
      <c r="BU47" s="1" t="s">
        <v>269</v>
      </c>
      <c r="BV47" s="1" t="s">
        <v>106</v>
      </c>
      <c r="BW47" s="1" t="s">
        <v>107</v>
      </c>
      <c r="BX47" s="1" t="s">
        <v>108</v>
      </c>
      <c r="BY47" s="1">
        <v>25.123000000000001</v>
      </c>
      <c r="CC47" s="1">
        <v>214</v>
      </c>
      <c r="CD47" s="1" t="s">
        <v>287</v>
      </c>
      <c r="CE47" s="1" t="s">
        <v>103</v>
      </c>
      <c r="CF47" s="1" t="s">
        <v>282</v>
      </c>
      <c r="CG47" s="1" t="s">
        <v>191</v>
      </c>
      <c r="CH47" s="1" t="s">
        <v>106</v>
      </c>
      <c r="CI47" s="1" t="s">
        <v>107</v>
      </c>
      <c r="CJ47" s="1" t="s">
        <v>108</v>
      </c>
      <c r="CK47" s="1" t="s">
        <v>235</v>
      </c>
      <c r="CO47" s="1">
        <v>274</v>
      </c>
      <c r="CP47" s="1" t="s">
        <v>343</v>
      </c>
      <c r="CQ47" s="1" t="s">
        <v>103</v>
      </c>
      <c r="CR47" s="1" t="s">
        <v>420</v>
      </c>
      <c r="CS47" s="1" t="s">
        <v>311</v>
      </c>
      <c r="CT47" s="1" t="s">
        <v>106</v>
      </c>
      <c r="CU47" s="1" t="s">
        <v>107</v>
      </c>
      <c r="CV47" s="1" t="s">
        <v>108</v>
      </c>
      <c r="CW47" s="1" t="s">
        <v>235</v>
      </c>
      <c r="DA47" s="1">
        <v>322</v>
      </c>
      <c r="DB47" s="1" t="s">
        <v>379</v>
      </c>
      <c r="DC47" s="1" t="s">
        <v>103</v>
      </c>
      <c r="DD47" s="1" t="s">
        <v>420</v>
      </c>
      <c r="DE47" s="1" t="s">
        <v>328</v>
      </c>
      <c r="DF47" s="1" t="s">
        <v>106</v>
      </c>
      <c r="DG47" s="1" t="s">
        <v>107</v>
      </c>
      <c r="DH47" s="1" t="s">
        <v>108</v>
      </c>
      <c r="DI47" s="1">
        <v>33.401000000000003</v>
      </c>
      <c r="DM47" s="1">
        <v>370</v>
      </c>
      <c r="DN47" s="1" t="s">
        <v>407</v>
      </c>
      <c r="DO47" s="1" t="s">
        <v>103</v>
      </c>
      <c r="DP47" s="1" t="s">
        <v>420</v>
      </c>
      <c r="DQ47" s="1" t="s">
        <v>332</v>
      </c>
      <c r="DR47" s="1" t="s">
        <v>106</v>
      </c>
      <c r="DS47" s="1" t="s">
        <v>107</v>
      </c>
      <c r="DT47" s="1" t="s">
        <v>108</v>
      </c>
      <c r="DU47" s="1">
        <v>24.067</v>
      </c>
      <c r="DV47" s="1"/>
    </row>
    <row r="48" spans="2:126" x14ac:dyDescent="0.25">
      <c r="B48" s="1">
        <v>23</v>
      </c>
      <c r="C48" s="1" t="s">
        <v>125</v>
      </c>
      <c r="D48" s="1" t="s">
        <v>103</v>
      </c>
      <c r="E48" s="1" t="s">
        <v>421</v>
      </c>
      <c r="F48" s="1" t="s">
        <v>105</v>
      </c>
      <c r="G48" s="1" t="s">
        <v>106</v>
      </c>
      <c r="H48" s="1" t="s">
        <v>107</v>
      </c>
      <c r="I48" s="1" t="s">
        <v>108</v>
      </c>
      <c r="J48" s="1">
        <v>24.78</v>
      </c>
      <c r="M48" s="1">
        <v>43</v>
      </c>
      <c r="N48" s="1" t="s">
        <v>151</v>
      </c>
      <c r="O48" s="1" t="s">
        <v>103</v>
      </c>
      <c r="P48" s="1" t="s">
        <v>417</v>
      </c>
      <c r="Q48" s="1" t="s">
        <v>129</v>
      </c>
      <c r="R48" s="1" t="s">
        <v>106</v>
      </c>
      <c r="S48" s="1" t="s">
        <v>107</v>
      </c>
      <c r="T48" s="1" t="s">
        <v>108</v>
      </c>
      <c r="U48" s="1">
        <v>18.596</v>
      </c>
      <c r="V48" s="1"/>
      <c r="X48" s="1">
        <v>59</v>
      </c>
      <c r="Y48" s="1" t="s">
        <v>168</v>
      </c>
      <c r="Z48" s="1" t="s">
        <v>103</v>
      </c>
      <c r="AA48" s="1" t="s">
        <v>421</v>
      </c>
      <c r="AB48" s="1" t="s">
        <v>158</v>
      </c>
      <c r="AC48" s="1" t="s">
        <v>106</v>
      </c>
      <c r="AD48" s="1" t="s">
        <v>107</v>
      </c>
      <c r="AE48" s="1" t="s">
        <v>108</v>
      </c>
      <c r="AF48" s="1">
        <v>17.518000000000001</v>
      </c>
      <c r="AI48" s="1">
        <v>107</v>
      </c>
      <c r="AJ48" s="1" t="s">
        <v>201</v>
      </c>
      <c r="AK48" s="1" t="s">
        <v>103</v>
      </c>
      <c r="AL48" s="1" t="s">
        <v>421</v>
      </c>
      <c r="AM48" s="1" t="s">
        <v>191</v>
      </c>
      <c r="AN48" s="1" t="s">
        <v>106</v>
      </c>
      <c r="AO48" s="1" t="s">
        <v>107</v>
      </c>
      <c r="AP48" s="1" t="s">
        <v>108</v>
      </c>
      <c r="AQ48" s="1">
        <v>22.843</v>
      </c>
      <c r="AT48" s="1">
        <v>139</v>
      </c>
      <c r="AU48" s="1" t="s">
        <v>227</v>
      </c>
      <c r="AV48" s="1" t="s">
        <v>103</v>
      </c>
      <c r="AW48" s="1" t="s">
        <v>417</v>
      </c>
      <c r="AX48" s="1" t="s">
        <v>204</v>
      </c>
      <c r="AY48" s="1" t="s">
        <v>106</v>
      </c>
      <c r="AZ48" s="1" t="s">
        <v>107</v>
      </c>
      <c r="BA48" s="1" t="s">
        <v>108</v>
      </c>
      <c r="BB48" s="1">
        <v>29.690999999999999</v>
      </c>
      <c r="BE48" s="1">
        <v>155</v>
      </c>
      <c r="BF48" s="1" t="s">
        <v>246</v>
      </c>
      <c r="BG48" s="1" t="s">
        <v>103</v>
      </c>
      <c r="BH48" s="1" t="s">
        <v>421</v>
      </c>
      <c r="BI48" s="1" t="s">
        <v>234</v>
      </c>
      <c r="BJ48" s="1" t="s">
        <v>106</v>
      </c>
      <c r="BK48" s="1" t="s">
        <v>107</v>
      </c>
      <c r="BL48" s="1" t="s">
        <v>108</v>
      </c>
      <c r="BM48" s="1">
        <v>31.81</v>
      </c>
      <c r="BQ48" s="1">
        <v>203</v>
      </c>
      <c r="BR48" s="1" t="s">
        <v>279</v>
      </c>
      <c r="BS48" s="1" t="s">
        <v>103</v>
      </c>
      <c r="BT48" s="1" t="s">
        <v>421</v>
      </c>
      <c r="BU48" s="1" t="s">
        <v>269</v>
      </c>
      <c r="BV48" s="1" t="s">
        <v>106</v>
      </c>
      <c r="BW48" s="1" t="s">
        <v>107</v>
      </c>
      <c r="BX48" s="1" t="s">
        <v>108</v>
      </c>
      <c r="BY48" s="1">
        <v>24.869</v>
      </c>
      <c r="CC48" s="1">
        <v>307</v>
      </c>
      <c r="CD48" s="1" t="s">
        <v>368</v>
      </c>
      <c r="CE48" s="1" t="s">
        <v>103</v>
      </c>
      <c r="CF48" s="1" t="s">
        <v>282</v>
      </c>
      <c r="CG48" s="1" t="s">
        <v>204</v>
      </c>
      <c r="CH48" s="1" t="s">
        <v>106</v>
      </c>
      <c r="CI48" s="1" t="s">
        <v>107</v>
      </c>
      <c r="CJ48" s="1" t="s">
        <v>108</v>
      </c>
      <c r="CK48" s="1" t="s">
        <v>235</v>
      </c>
      <c r="CO48" s="1">
        <v>251</v>
      </c>
      <c r="CP48" s="1" t="s">
        <v>321</v>
      </c>
      <c r="CQ48" s="1" t="s">
        <v>103</v>
      </c>
      <c r="CR48" s="1" t="s">
        <v>421</v>
      </c>
      <c r="CS48" s="1" t="s">
        <v>311</v>
      </c>
      <c r="CT48" s="1" t="s">
        <v>106</v>
      </c>
      <c r="CU48" s="1" t="s">
        <v>107</v>
      </c>
      <c r="CV48" s="1" t="s">
        <v>108</v>
      </c>
      <c r="CW48" s="1" t="s">
        <v>235</v>
      </c>
      <c r="DA48" s="1">
        <v>299</v>
      </c>
      <c r="DB48" s="1" t="s">
        <v>364</v>
      </c>
      <c r="DC48" s="1" t="s">
        <v>103</v>
      </c>
      <c r="DD48" s="1" t="s">
        <v>421</v>
      </c>
      <c r="DE48" s="1" t="s">
        <v>328</v>
      </c>
      <c r="DF48" s="1" t="s">
        <v>106</v>
      </c>
      <c r="DG48" s="1" t="s">
        <v>107</v>
      </c>
      <c r="DH48" s="1" t="s">
        <v>108</v>
      </c>
      <c r="DI48" s="1">
        <v>32.595999999999997</v>
      </c>
      <c r="DM48" s="1">
        <v>347</v>
      </c>
      <c r="DN48" s="1" t="s">
        <v>396</v>
      </c>
      <c r="DO48" s="1" t="s">
        <v>103</v>
      </c>
      <c r="DP48" s="1" t="s">
        <v>421</v>
      </c>
      <c r="DQ48" s="1" t="s">
        <v>332</v>
      </c>
      <c r="DR48" s="1" t="s">
        <v>106</v>
      </c>
      <c r="DS48" s="1" t="s">
        <v>107</v>
      </c>
      <c r="DT48" s="1" t="s">
        <v>108</v>
      </c>
      <c r="DU48" s="1">
        <v>23.227</v>
      </c>
      <c r="DV48" s="1"/>
    </row>
    <row r="49" spans="2:126" x14ac:dyDescent="0.25">
      <c r="B49" s="1">
        <v>23</v>
      </c>
      <c r="C49" s="1" t="s">
        <v>147</v>
      </c>
      <c r="D49" s="1" t="s">
        <v>103</v>
      </c>
      <c r="E49" s="1" t="s">
        <v>421</v>
      </c>
      <c r="F49" s="1" t="s">
        <v>105</v>
      </c>
      <c r="G49" s="1" t="s">
        <v>106</v>
      </c>
      <c r="H49" s="1" t="s">
        <v>107</v>
      </c>
      <c r="I49" s="1" t="s">
        <v>108</v>
      </c>
      <c r="J49" s="1">
        <v>24.721</v>
      </c>
      <c r="M49" s="1">
        <v>91</v>
      </c>
      <c r="N49" s="1" t="s">
        <v>188</v>
      </c>
      <c r="O49" s="1" t="s">
        <v>103</v>
      </c>
      <c r="P49" s="1" t="s">
        <v>421</v>
      </c>
      <c r="Q49" s="1" t="s">
        <v>129</v>
      </c>
      <c r="R49" s="1" t="s">
        <v>106</v>
      </c>
      <c r="S49" s="1" t="s">
        <v>107</v>
      </c>
      <c r="T49" s="1" t="s">
        <v>108</v>
      </c>
      <c r="U49" s="1">
        <v>18.948</v>
      </c>
      <c r="X49" s="1">
        <v>83</v>
      </c>
      <c r="Y49" s="1" t="s">
        <v>184</v>
      </c>
      <c r="Z49" s="1" t="s">
        <v>103</v>
      </c>
      <c r="AA49" s="1" t="s">
        <v>421</v>
      </c>
      <c r="AB49" s="1" t="s">
        <v>158</v>
      </c>
      <c r="AC49" s="1" t="s">
        <v>106</v>
      </c>
      <c r="AD49" s="1" t="s">
        <v>107</v>
      </c>
      <c r="AE49" s="1" t="s">
        <v>108</v>
      </c>
      <c r="AF49" s="1">
        <v>17.690000000000001</v>
      </c>
      <c r="AI49" s="1">
        <v>131</v>
      </c>
      <c r="AJ49" s="1" t="s">
        <v>223</v>
      </c>
      <c r="AK49" s="1" t="s">
        <v>103</v>
      </c>
      <c r="AL49" s="1" t="s">
        <v>421</v>
      </c>
      <c r="AM49" s="1" t="s">
        <v>191</v>
      </c>
      <c r="AN49" s="1" t="s">
        <v>106</v>
      </c>
      <c r="AO49" s="1" t="s">
        <v>107</v>
      </c>
      <c r="AP49" s="1" t="s">
        <v>108</v>
      </c>
      <c r="AQ49" s="1">
        <v>22.962</v>
      </c>
      <c r="AT49" s="1">
        <v>187</v>
      </c>
      <c r="AU49" s="1" t="s">
        <v>266</v>
      </c>
      <c r="AV49" s="1" t="s">
        <v>103</v>
      </c>
      <c r="AW49" s="1" t="s">
        <v>421</v>
      </c>
      <c r="AX49" s="1" t="s">
        <v>204</v>
      </c>
      <c r="AY49" s="1" t="s">
        <v>106</v>
      </c>
      <c r="AZ49" s="1" t="s">
        <v>107</v>
      </c>
      <c r="BA49" s="1" t="s">
        <v>108</v>
      </c>
      <c r="BB49" s="1">
        <v>27.725000000000001</v>
      </c>
      <c r="BE49" s="1">
        <v>179</v>
      </c>
      <c r="BF49" s="1" t="s">
        <v>262</v>
      </c>
      <c r="BG49" s="1" t="s">
        <v>103</v>
      </c>
      <c r="BH49" s="1" t="s">
        <v>421</v>
      </c>
      <c r="BI49" s="1" t="s">
        <v>234</v>
      </c>
      <c r="BJ49" s="1" t="s">
        <v>106</v>
      </c>
      <c r="BK49" s="1" t="s">
        <v>107</v>
      </c>
      <c r="BL49" s="1" t="s">
        <v>108</v>
      </c>
      <c r="BM49" s="1">
        <v>31.654</v>
      </c>
      <c r="BQ49" s="1">
        <v>227</v>
      </c>
      <c r="BR49" s="1" t="s">
        <v>300</v>
      </c>
      <c r="BS49" s="1" t="s">
        <v>103</v>
      </c>
      <c r="BT49" s="1" t="s">
        <v>421</v>
      </c>
      <c r="BU49" s="1" t="s">
        <v>269</v>
      </c>
      <c r="BV49" s="1" t="s">
        <v>106</v>
      </c>
      <c r="BW49" s="1" t="s">
        <v>107</v>
      </c>
      <c r="BX49" s="1" t="s">
        <v>108</v>
      </c>
      <c r="BY49" s="1">
        <v>25.088000000000001</v>
      </c>
      <c r="CC49" s="1">
        <v>215</v>
      </c>
      <c r="CD49" s="1" t="s">
        <v>288</v>
      </c>
      <c r="CE49" s="1" t="s">
        <v>103</v>
      </c>
      <c r="CF49" s="1" t="s">
        <v>282</v>
      </c>
      <c r="CG49" s="1" t="s">
        <v>234</v>
      </c>
      <c r="CH49" s="1" t="s">
        <v>106</v>
      </c>
      <c r="CI49" s="1" t="s">
        <v>107</v>
      </c>
      <c r="CJ49" s="1" t="s">
        <v>108</v>
      </c>
      <c r="CK49" s="1" t="s">
        <v>235</v>
      </c>
      <c r="CO49" s="1">
        <v>275</v>
      </c>
      <c r="CP49" s="1" t="s">
        <v>344</v>
      </c>
      <c r="CQ49" s="1" t="s">
        <v>103</v>
      </c>
      <c r="CR49" s="1" t="s">
        <v>421</v>
      </c>
      <c r="CS49" s="1" t="s">
        <v>311</v>
      </c>
      <c r="CT49" s="1" t="s">
        <v>106</v>
      </c>
      <c r="CU49" s="1" t="s">
        <v>107</v>
      </c>
      <c r="CV49" s="1" t="s">
        <v>108</v>
      </c>
      <c r="CW49" s="1">
        <v>30.780999999999999</v>
      </c>
      <c r="DA49" s="1">
        <v>323</v>
      </c>
      <c r="DB49" s="1" t="s">
        <v>380</v>
      </c>
      <c r="DC49" s="1" t="s">
        <v>103</v>
      </c>
      <c r="DD49" s="1" t="s">
        <v>421</v>
      </c>
      <c r="DE49" s="1" t="s">
        <v>328</v>
      </c>
      <c r="DF49" s="1" t="s">
        <v>106</v>
      </c>
      <c r="DG49" s="1" t="s">
        <v>107</v>
      </c>
      <c r="DH49" s="1" t="s">
        <v>108</v>
      </c>
      <c r="DI49" s="1">
        <v>32.880000000000003</v>
      </c>
      <c r="DM49" s="1">
        <v>371</v>
      </c>
      <c r="DN49" s="1" t="s">
        <v>408</v>
      </c>
      <c r="DO49" s="1" t="s">
        <v>103</v>
      </c>
      <c r="DP49" s="1" t="s">
        <v>421</v>
      </c>
      <c r="DQ49" s="1" t="s">
        <v>332</v>
      </c>
      <c r="DR49" s="1" t="s">
        <v>106</v>
      </c>
      <c r="DS49" s="1" t="s">
        <v>107</v>
      </c>
      <c r="DT49" s="1" t="s">
        <v>108</v>
      </c>
      <c r="DU49" s="1">
        <v>23.309000000000001</v>
      </c>
      <c r="DV49" s="1"/>
    </row>
    <row r="50" spans="2:126" x14ac:dyDescent="0.25">
      <c r="B50" s="1">
        <v>24</v>
      </c>
      <c r="C50" s="1" t="s">
        <v>127</v>
      </c>
      <c r="D50" s="1" t="s">
        <v>103</v>
      </c>
      <c r="E50" s="1" t="s">
        <v>421</v>
      </c>
      <c r="F50" s="1" t="s">
        <v>105</v>
      </c>
      <c r="G50" s="1" t="s">
        <v>106</v>
      </c>
      <c r="H50" s="1" t="s">
        <v>107</v>
      </c>
      <c r="I50" s="1" t="s">
        <v>108</v>
      </c>
      <c r="J50" s="1">
        <v>24.696999999999999</v>
      </c>
      <c r="M50" s="1">
        <v>44</v>
      </c>
      <c r="N50" s="1" t="s">
        <v>152</v>
      </c>
      <c r="O50" s="1" t="s">
        <v>103</v>
      </c>
      <c r="P50" s="1" t="s">
        <v>417</v>
      </c>
      <c r="Q50" s="1" t="s">
        <v>129</v>
      </c>
      <c r="R50" s="1" t="s">
        <v>106</v>
      </c>
      <c r="S50" s="1" t="s">
        <v>107</v>
      </c>
      <c r="T50" s="1" t="s">
        <v>108</v>
      </c>
      <c r="U50" s="1">
        <v>17.638000000000002</v>
      </c>
      <c r="V50" s="1"/>
      <c r="X50" s="1">
        <v>60</v>
      </c>
      <c r="Y50" s="1" t="s">
        <v>169</v>
      </c>
      <c r="Z50" s="1" t="s">
        <v>103</v>
      </c>
      <c r="AA50" s="1" t="s">
        <v>421</v>
      </c>
      <c r="AB50" s="1" t="s">
        <v>158</v>
      </c>
      <c r="AC50" s="1" t="s">
        <v>106</v>
      </c>
      <c r="AD50" s="1" t="s">
        <v>107</v>
      </c>
      <c r="AE50" s="1" t="s">
        <v>108</v>
      </c>
      <c r="AF50" s="1">
        <v>17.544</v>
      </c>
      <c r="AI50" s="1">
        <v>108</v>
      </c>
      <c r="AJ50" s="1" t="s">
        <v>202</v>
      </c>
      <c r="AK50" s="1" t="s">
        <v>103</v>
      </c>
      <c r="AL50" s="1" t="s">
        <v>421</v>
      </c>
      <c r="AM50" s="1" t="s">
        <v>191</v>
      </c>
      <c r="AN50" s="1" t="s">
        <v>106</v>
      </c>
      <c r="AO50" s="1" t="s">
        <v>107</v>
      </c>
      <c r="AP50" s="1" t="s">
        <v>108</v>
      </c>
      <c r="AQ50" s="1">
        <v>22.818000000000001</v>
      </c>
      <c r="AT50" s="1">
        <v>140</v>
      </c>
      <c r="AU50" s="1" t="s">
        <v>228</v>
      </c>
      <c r="AV50" s="1" t="s">
        <v>103</v>
      </c>
      <c r="AW50" s="1" t="s">
        <v>417</v>
      </c>
      <c r="AX50" s="1" t="s">
        <v>204</v>
      </c>
      <c r="AY50" s="1" t="s">
        <v>106</v>
      </c>
      <c r="AZ50" s="1" t="s">
        <v>107</v>
      </c>
      <c r="BA50" s="1" t="s">
        <v>108</v>
      </c>
      <c r="BB50" s="1">
        <v>30.262</v>
      </c>
      <c r="BE50" s="1">
        <v>156</v>
      </c>
      <c r="BF50" s="1" t="s">
        <v>247</v>
      </c>
      <c r="BG50" s="1" t="s">
        <v>103</v>
      </c>
      <c r="BH50" s="1" t="s">
        <v>421</v>
      </c>
      <c r="BI50" s="1" t="s">
        <v>234</v>
      </c>
      <c r="BJ50" s="1" t="s">
        <v>106</v>
      </c>
      <c r="BK50" s="1" t="s">
        <v>107</v>
      </c>
      <c r="BL50" s="1" t="s">
        <v>108</v>
      </c>
      <c r="BM50" s="1">
        <v>31.635999999999999</v>
      </c>
      <c r="BQ50" s="1">
        <v>204</v>
      </c>
      <c r="BR50" s="1" t="s">
        <v>280</v>
      </c>
      <c r="BS50" s="1" t="s">
        <v>103</v>
      </c>
      <c r="BT50" s="1" t="s">
        <v>421</v>
      </c>
      <c r="BU50" s="1" t="s">
        <v>269</v>
      </c>
      <c r="BV50" s="1" t="s">
        <v>106</v>
      </c>
      <c r="BW50" s="1" t="s">
        <v>107</v>
      </c>
      <c r="BX50" s="1" t="s">
        <v>108</v>
      </c>
      <c r="BY50" s="1">
        <v>25.09</v>
      </c>
      <c r="CC50" s="1">
        <v>308</v>
      </c>
      <c r="CD50" s="1" t="s">
        <v>369</v>
      </c>
      <c r="CE50" s="1" t="s">
        <v>103</v>
      </c>
      <c r="CF50" s="1" t="s">
        <v>282</v>
      </c>
      <c r="CG50" s="1" t="s">
        <v>204</v>
      </c>
      <c r="CH50" s="1" t="s">
        <v>106</v>
      </c>
      <c r="CI50" s="1" t="s">
        <v>107</v>
      </c>
      <c r="CJ50" s="1" t="s">
        <v>108</v>
      </c>
      <c r="CK50" s="1" t="s">
        <v>235</v>
      </c>
      <c r="CO50" s="1">
        <v>252</v>
      </c>
      <c r="CP50" s="1" t="s">
        <v>322</v>
      </c>
      <c r="CQ50" s="1" t="s">
        <v>103</v>
      </c>
      <c r="CR50" s="1" t="s">
        <v>421</v>
      </c>
      <c r="CS50" s="1" t="s">
        <v>311</v>
      </c>
      <c r="CT50" s="1" t="s">
        <v>106</v>
      </c>
      <c r="CU50" s="1" t="s">
        <v>107</v>
      </c>
      <c r="CV50" s="1" t="s">
        <v>108</v>
      </c>
      <c r="CW50" s="1">
        <v>31.706</v>
      </c>
      <c r="DA50" s="1">
        <v>300</v>
      </c>
      <c r="DB50" s="1" t="s">
        <v>365</v>
      </c>
      <c r="DC50" s="1" t="s">
        <v>103</v>
      </c>
      <c r="DD50" s="1" t="s">
        <v>421</v>
      </c>
      <c r="DE50" s="1" t="s">
        <v>328</v>
      </c>
      <c r="DF50" s="1" t="s">
        <v>106</v>
      </c>
      <c r="DG50" s="1" t="s">
        <v>107</v>
      </c>
      <c r="DH50" s="1" t="s">
        <v>108</v>
      </c>
      <c r="DI50" s="1">
        <v>33.244999999999997</v>
      </c>
      <c r="DM50" s="1">
        <v>348</v>
      </c>
      <c r="DN50" s="1" t="s">
        <v>397</v>
      </c>
      <c r="DO50" s="1" t="s">
        <v>103</v>
      </c>
      <c r="DP50" s="1" t="s">
        <v>421</v>
      </c>
      <c r="DQ50" s="1" t="s">
        <v>332</v>
      </c>
      <c r="DR50" s="1" t="s">
        <v>106</v>
      </c>
      <c r="DS50" s="1" t="s">
        <v>107</v>
      </c>
      <c r="DT50" s="1" t="s">
        <v>108</v>
      </c>
      <c r="DU50" s="1">
        <v>23.308</v>
      </c>
      <c r="DV50" s="1"/>
    </row>
    <row r="51" spans="2:126" x14ac:dyDescent="0.25">
      <c r="B51" s="1">
        <v>24</v>
      </c>
      <c r="C51" s="1" t="s">
        <v>148</v>
      </c>
      <c r="D51" s="1" t="s">
        <v>103</v>
      </c>
      <c r="E51" s="1" t="s">
        <v>421</v>
      </c>
      <c r="F51" s="1" t="s">
        <v>105</v>
      </c>
      <c r="G51" s="1" t="s">
        <v>106</v>
      </c>
      <c r="H51" s="1" t="s">
        <v>107</v>
      </c>
      <c r="I51" s="1" t="s">
        <v>108</v>
      </c>
      <c r="J51" s="1">
        <v>24.826000000000001</v>
      </c>
      <c r="M51" s="1">
        <v>92</v>
      </c>
      <c r="N51" s="1" t="s">
        <v>189</v>
      </c>
      <c r="O51" s="1" t="s">
        <v>103</v>
      </c>
      <c r="P51" s="1" t="s">
        <v>421</v>
      </c>
      <c r="Q51" s="1" t="s">
        <v>129</v>
      </c>
      <c r="R51" s="1" t="s">
        <v>106</v>
      </c>
      <c r="S51" s="1" t="s">
        <v>107</v>
      </c>
      <c r="T51" s="1" t="s">
        <v>108</v>
      </c>
      <c r="U51" s="1">
        <v>18.931000000000001</v>
      </c>
      <c r="X51" s="1">
        <v>84</v>
      </c>
      <c r="Y51" s="1" t="s">
        <v>185</v>
      </c>
      <c r="Z51" s="1" t="s">
        <v>103</v>
      </c>
      <c r="AA51" s="1" t="s">
        <v>421</v>
      </c>
      <c r="AB51" s="1" t="s">
        <v>158</v>
      </c>
      <c r="AC51" s="1" t="s">
        <v>106</v>
      </c>
      <c r="AD51" s="1" t="s">
        <v>107</v>
      </c>
      <c r="AE51" s="1" t="s">
        <v>108</v>
      </c>
      <c r="AF51" s="1">
        <v>17.946999999999999</v>
      </c>
      <c r="AI51" s="1">
        <v>132</v>
      </c>
      <c r="AJ51" s="1" t="s">
        <v>224</v>
      </c>
      <c r="AK51" s="1" t="s">
        <v>103</v>
      </c>
      <c r="AL51" s="1" t="s">
        <v>421</v>
      </c>
      <c r="AM51" s="1" t="s">
        <v>191</v>
      </c>
      <c r="AN51" s="1" t="s">
        <v>106</v>
      </c>
      <c r="AO51" s="1" t="s">
        <v>107</v>
      </c>
      <c r="AP51" s="1" t="s">
        <v>108</v>
      </c>
      <c r="AQ51" s="1">
        <v>22.736000000000001</v>
      </c>
      <c r="AT51" s="1">
        <v>188</v>
      </c>
      <c r="AU51" s="1" t="s">
        <v>267</v>
      </c>
      <c r="AV51" s="1" t="s">
        <v>103</v>
      </c>
      <c r="AW51" s="1" t="s">
        <v>421</v>
      </c>
      <c r="AX51" s="1" t="s">
        <v>204</v>
      </c>
      <c r="AY51" s="1" t="s">
        <v>106</v>
      </c>
      <c r="AZ51" s="1" t="s">
        <v>107</v>
      </c>
      <c r="BA51" s="1" t="s">
        <v>108</v>
      </c>
      <c r="BB51" s="1">
        <v>27.303999999999998</v>
      </c>
      <c r="BE51" s="1">
        <v>180</v>
      </c>
      <c r="BF51" s="1" t="s">
        <v>263</v>
      </c>
      <c r="BG51" s="1" t="s">
        <v>103</v>
      </c>
      <c r="BH51" s="1" t="s">
        <v>421</v>
      </c>
      <c r="BI51" s="1" t="s">
        <v>234</v>
      </c>
      <c r="BJ51" s="1" t="s">
        <v>106</v>
      </c>
      <c r="BK51" s="1" t="s">
        <v>107</v>
      </c>
      <c r="BL51" s="1" t="s">
        <v>108</v>
      </c>
      <c r="BM51" s="1">
        <v>31.686</v>
      </c>
      <c r="BQ51" s="1">
        <v>228</v>
      </c>
      <c r="BR51" s="1" t="s">
        <v>301</v>
      </c>
      <c r="BS51" s="1" t="s">
        <v>103</v>
      </c>
      <c r="BT51" s="1" t="s">
        <v>421</v>
      </c>
      <c r="BU51" s="1" t="s">
        <v>269</v>
      </c>
      <c r="BV51" s="1" t="s">
        <v>106</v>
      </c>
      <c r="BW51" s="1" t="s">
        <v>107</v>
      </c>
      <c r="BX51" s="1" t="s">
        <v>108</v>
      </c>
      <c r="BY51" s="1">
        <v>24.963000000000001</v>
      </c>
      <c r="CC51" s="1">
        <v>216</v>
      </c>
      <c r="CD51" s="1" t="s">
        <v>289</v>
      </c>
      <c r="CE51" s="1" t="s">
        <v>103</v>
      </c>
      <c r="CF51" s="1" t="s">
        <v>282</v>
      </c>
      <c r="CG51" s="1" t="s">
        <v>234</v>
      </c>
      <c r="CH51" s="1" t="s">
        <v>106</v>
      </c>
      <c r="CI51" s="1" t="s">
        <v>107</v>
      </c>
      <c r="CJ51" s="1" t="s">
        <v>108</v>
      </c>
      <c r="CK51" s="1" t="s">
        <v>235</v>
      </c>
      <c r="CO51" s="1">
        <v>276</v>
      </c>
      <c r="CP51" s="1" t="s">
        <v>345</v>
      </c>
      <c r="CQ51" s="1" t="s">
        <v>103</v>
      </c>
      <c r="CR51" s="1" t="s">
        <v>421</v>
      </c>
      <c r="CS51" s="1" t="s">
        <v>311</v>
      </c>
      <c r="CT51" s="1" t="s">
        <v>106</v>
      </c>
      <c r="CU51" s="1" t="s">
        <v>107</v>
      </c>
      <c r="CV51" s="1" t="s">
        <v>108</v>
      </c>
      <c r="CW51" s="1">
        <v>31.672999999999998</v>
      </c>
      <c r="DA51" s="1">
        <v>324</v>
      </c>
      <c r="DB51" s="1" t="s">
        <v>381</v>
      </c>
      <c r="DC51" s="1" t="s">
        <v>103</v>
      </c>
      <c r="DD51" s="1" t="s">
        <v>421</v>
      </c>
      <c r="DE51" s="1" t="s">
        <v>328</v>
      </c>
      <c r="DF51" s="1" t="s">
        <v>106</v>
      </c>
      <c r="DG51" s="1" t="s">
        <v>107</v>
      </c>
      <c r="DH51" s="1" t="s">
        <v>108</v>
      </c>
      <c r="DI51" s="1">
        <v>32.405000000000001</v>
      </c>
      <c r="DM51" s="1">
        <v>372</v>
      </c>
      <c r="DN51" s="1" t="s">
        <v>409</v>
      </c>
      <c r="DO51" s="1" t="s">
        <v>103</v>
      </c>
      <c r="DP51" s="1" t="s">
        <v>421</v>
      </c>
      <c r="DQ51" s="1" t="s">
        <v>332</v>
      </c>
      <c r="DR51" s="1" t="s">
        <v>106</v>
      </c>
      <c r="DS51" s="1" t="s">
        <v>107</v>
      </c>
      <c r="DT51" s="1" t="s">
        <v>108</v>
      </c>
      <c r="DU51" s="1">
        <v>23.111000000000001</v>
      </c>
      <c r="DV51" s="1"/>
    </row>
    <row r="52" spans="2:126" x14ac:dyDescent="0.25">
      <c r="B52" s="1">
        <v>25</v>
      </c>
      <c r="C52" t="s">
        <v>102</v>
      </c>
      <c r="D52" t="b">
        <v>0</v>
      </c>
      <c r="E52" t="s">
        <v>422</v>
      </c>
      <c r="F52" t="s">
        <v>105</v>
      </c>
      <c r="G52" t="s">
        <v>106</v>
      </c>
      <c r="H52" t="s">
        <v>107</v>
      </c>
      <c r="I52" t="s">
        <v>108</v>
      </c>
      <c r="J52" s="3">
        <v>20.910562515258789</v>
      </c>
      <c r="M52">
        <v>17</v>
      </c>
      <c r="N52" t="s">
        <v>128</v>
      </c>
      <c r="O52" t="b">
        <v>0</v>
      </c>
      <c r="P52" t="s">
        <v>422</v>
      </c>
      <c r="Q52" t="s">
        <v>129</v>
      </c>
      <c r="R52" t="s">
        <v>106</v>
      </c>
      <c r="S52" t="s">
        <v>107</v>
      </c>
      <c r="T52" t="s">
        <v>108</v>
      </c>
      <c r="U52" s="3">
        <v>17.946588516235352</v>
      </c>
      <c r="X52">
        <v>49</v>
      </c>
      <c r="Y52" t="s">
        <v>157</v>
      </c>
      <c r="Z52" t="b">
        <v>0</v>
      </c>
      <c r="AA52" t="s">
        <v>422</v>
      </c>
      <c r="AB52" t="s">
        <v>158</v>
      </c>
      <c r="AC52" t="s">
        <v>106</v>
      </c>
      <c r="AD52" t="s">
        <v>107</v>
      </c>
      <c r="AE52" t="s">
        <v>108</v>
      </c>
      <c r="AF52" s="3">
        <v>16.201108932495117</v>
      </c>
      <c r="AI52">
        <v>97</v>
      </c>
      <c r="AJ52" t="s">
        <v>190</v>
      </c>
      <c r="AK52" t="b">
        <v>0</v>
      </c>
      <c r="AL52" t="s">
        <v>422</v>
      </c>
      <c r="AM52" t="s">
        <v>191</v>
      </c>
      <c r="AN52" t="s">
        <v>106</v>
      </c>
      <c r="AO52" t="s">
        <v>107</v>
      </c>
      <c r="AP52" t="s">
        <v>108</v>
      </c>
      <c r="AQ52" s="3">
        <v>22.004108428955078</v>
      </c>
      <c r="AT52">
        <v>113</v>
      </c>
      <c r="AU52" t="s">
        <v>203</v>
      </c>
      <c r="AV52" t="b">
        <v>0</v>
      </c>
      <c r="AW52" t="s">
        <v>422</v>
      </c>
      <c r="AX52" t="s">
        <v>204</v>
      </c>
      <c r="AY52" t="s">
        <v>106</v>
      </c>
      <c r="AZ52" t="s">
        <v>107</v>
      </c>
      <c r="BA52" t="s">
        <v>108</v>
      </c>
      <c r="BB52" s="3">
        <v>31.312955856323242</v>
      </c>
      <c r="BE52">
        <v>145</v>
      </c>
      <c r="BF52" t="s">
        <v>233</v>
      </c>
      <c r="BG52" t="b">
        <v>0</v>
      </c>
      <c r="BH52" t="s">
        <v>422</v>
      </c>
      <c r="BI52" t="s">
        <v>234</v>
      </c>
      <c r="BJ52" t="s">
        <v>106</v>
      </c>
      <c r="BK52" t="s">
        <v>107</v>
      </c>
      <c r="BL52" t="s">
        <v>108</v>
      </c>
      <c r="BM52" t="s">
        <v>235</v>
      </c>
      <c r="BQ52">
        <v>193</v>
      </c>
      <c r="BR52" t="s">
        <v>268</v>
      </c>
      <c r="BS52" t="b">
        <v>0</v>
      </c>
      <c r="BT52" t="s">
        <v>422</v>
      </c>
      <c r="BU52" t="s">
        <v>269</v>
      </c>
      <c r="BV52" t="s">
        <v>106</v>
      </c>
      <c r="BW52" t="s">
        <v>107</v>
      </c>
      <c r="BX52" t="s">
        <v>108</v>
      </c>
      <c r="BY52" s="3">
        <v>32.063602447509766</v>
      </c>
      <c r="CC52" s="1">
        <v>233</v>
      </c>
      <c r="CD52" s="1" t="s">
        <v>302</v>
      </c>
      <c r="CE52" s="1" t="s">
        <v>103</v>
      </c>
      <c r="CF52" s="1" t="s">
        <v>282</v>
      </c>
      <c r="CG52" s="1" t="s">
        <v>105</v>
      </c>
      <c r="CH52" s="1" t="s">
        <v>106</v>
      </c>
      <c r="CI52" s="1" t="s">
        <v>107</v>
      </c>
      <c r="CJ52" s="1" t="s">
        <v>108</v>
      </c>
      <c r="CK52" s="1" t="s">
        <v>235</v>
      </c>
      <c r="CO52">
        <v>241</v>
      </c>
      <c r="CP52" t="s">
        <v>310</v>
      </c>
      <c r="CQ52" t="b">
        <v>0</v>
      </c>
      <c r="CR52" t="s">
        <v>422</v>
      </c>
      <c r="CS52" t="s">
        <v>311</v>
      </c>
      <c r="CT52" t="s">
        <v>106</v>
      </c>
      <c r="CU52" t="s">
        <v>107</v>
      </c>
      <c r="CV52" t="s">
        <v>108</v>
      </c>
      <c r="CW52" s="3">
        <v>32.322860717773438</v>
      </c>
      <c r="DA52">
        <v>289</v>
      </c>
      <c r="DB52" t="s">
        <v>354</v>
      </c>
      <c r="DC52" t="b">
        <v>0</v>
      </c>
      <c r="DD52" t="s">
        <v>422</v>
      </c>
      <c r="DE52" t="s">
        <v>328</v>
      </c>
      <c r="DF52" t="s">
        <v>106</v>
      </c>
      <c r="DG52" t="s">
        <v>107</v>
      </c>
      <c r="DH52" t="s">
        <v>108</v>
      </c>
      <c r="DI52" s="3">
        <v>35.219745635986328</v>
      </c>
      <c r="DM52">
        <v>337</v>
      </c>
      <c r="DN52" t="s">
        <v>386</v>
      </c>
      <c r="DO52" t="b">
        <v>0</v>
      </c>
      <c r="DP52" t="s">
        <v>422</v>
      </c>
      <c r="DQ52" t="s">
        <v>332</v>
      </c>
      <c r="DR52" t="s">
        <v>106</v>
      </c>
      <c r="DS52" t="s">
        <v>107</v>
      </c>
      <c r="DT52" t="s">
        <v>108</v>
      </c>
      <c r="DU52" s="3">
        <v>22.439899444580078</v>
      </c>
    </row>
    <row r="53" spans="2:126" x14ac:dyDescent="0.25">
      <c r="B53" s="1">
        <v>25</v>
      </c>
      <c r="C53" t="s">
        <v>137</v>
      </c>
      <c r="D53" t="b">
        <v>0</v>
      </c>
      <c r="E53" t="s">
        <v>422</v>
      </c>
      <c r="F53" t="s">
        <v>105</v>
      </c>
      <c r="G53" t="s">
        <v>106</v>
      </c>
      <c r="H53" t="s">
        <v>107</v>
      </c>
      <c r="I53" t="s">
        <v>108</v>
      </c>
      <c r="J53" s="3">
        <v>21.027467727661133</v>
      </c>
      <c r="M53">
        <v>45</v>
      </c>
      <c r="N53" t="s">
        <v>153</v>
      </c>
      <c r="O53" t="b">
        <v>0</v>
      </c>
      <c r="P53" t="s">
        <v>423</v>
      </c>
      <c r="Q53" t="s">
        <v>129</v>
      </c>
      <c r="R53" t="s">
        <v>106</v>
      </c>
      <c r="S53" t="s">
        <v>107</v>
      </c>
      <c r="T53" t="s">
        <v>108</v>
      </c>
      <c r="U53" s="3">
        <v>17.797683715820313</v>
      </c>
      <c r="X53">
        <v>73</v>
      </c>
      <c r="Y53" t="s">
        <v>174</v>
      </c>
      <c r="Z53" t="b">
        <v>0</v>
      </c>
      <c r="AA53" t="s">
        <v>422</v>
      </c>
      <c r="AB53" t="s">
        <v>158</v>
      </c>
      <c r="AC53" t="s">
        <v>106</v>
      </c>
      <c r="AD53" t="s">
        <v>107</v>
      </c>
      <c r="AE53" t="s">
        <v>108</v>
      </c>
      <c r="AF53" s="3">
        <v>16.030067443847656</v>
      </c>
      <c r="AI53">
        <v>121</v>
      </c>
      <c r="AJ53" t="s">
        <v>213</v>
      </c>
      <c r="AK53" t="b">
        <v>0</v>
      </c>
      <c r="AL53" t="s">
        <v>422</v>
      </c>
      <c r="AM53" t="s">
        <v>191</v>
      </c>
      <c r="AN53" t="s">
        <v>106</v>
      </c>
      <c r="AO53" t="s">
        <v>107</v>
      </c>
      <c r="AP53" t="s">
        <v>108</v>
      </c>
      <c r="AQ53" s="3">
        <v>22.081638336181641</v>
      </c>
      <c r="AT53">
        <v>141</v>
      </c>
      <c r="AU53" t="s">
        <v>229</v>
      </c>
      <c r="AV53" t="b">
        <v>0</v>
      </c>
      <c r="AW53" t="s">
        <v>423</v>
      </c>
      <c r="AX53" t="s">
        <v>204</v>
      </c>
      <c r="AY53" t="s">
        <v>106</v>
      </c>
      <c r="AZ53" t="s">
        <v>107</v>
      </c>
      <c r="BA53" t="s">
        <v>108</v>
      </c>
      <c r="BB53" s="3">
        <v>28.504470825195313</v>
      </c>
      <c r="BE53">
        <v>169</v>
      </c>
      <c r="BF53" t="s">
        <v>252</v>
      </c>
      <c r="BG53" t="b">
        <v>0</v>
      </c>
      <c r="BH53" t="s">
        <v>422</v>
      </c>
      <c r="BI53" t="s">
        <v>234</v>
      </c>
      <c r="BJ53" t="s">
        <v>106</v>
      </c>
      <c r="BK53" t="s">
        <v>107</v>
      </c>
      <c r="BL53" t="s">
        <v>108</v>
      </c>
      <c r="BM53" t="s">
        <v>235</v>
      </c>
      <c r="BQ53">
        <v>217</v>
      </c>
      <c r="BR53" t="s">
        <v>290</v>
      </c>
      <c r="BS53" t="b">
        <v>0</v>
      </c>
      <c r="BT53" t="s">
        <v>422</v>
      </c>
      <c r="BU53" t="s">
        <v>269</v>
      </c>
      <c r="BV53" t="s">
        <v>106</v>
      </c>
      <c r="BW53" t="s">
        <v>107</v>
      </c>
      <c r="BX53" t="s">
        <v>108</v>
      </c>
      <c r="BY53" s="3">
        <v>33.665733337402344</v>
      </c>
      <c r="CC53" s="1">
        <v>261</v>
      </c>
      <c r="CD53" s="1" t="s">
        <v>327</v>
      </c>
      <c r="CE53" s="1" t="s">
        <v>103</v>
      </c>
      <c r="CF53" s="1" t="s">
        <v>282</v>
      </c>
      <c r="CG53" s="1" t="s">
        <v>328</v>
      </c>
      <c r="CH53" s="1" t="s">
        <v>106</v>
      </c>
      <c r="CI53" s="1" t="s">
        <v>107</v>
      </c>
      <c r="CJ53" s="1" t="s">
        <v>108</v>
      </c>
      <c r="CK53" s="1">
        <v>32.976999999999997</v>
      </c>
      <c r="CO53">
        <v>265</v>
      </c>
      <c r="CP53" t="s">
        <v>334</v>
      </c>
      <c r="CQ53" t="b">
        <v>0</v>
      </c>
      <c r="CR53" t="s">
        <v>422</v>
      </c>
      <c r="CS53" t="s">
        <v>311</v>
      </c>
      <c r="CT53" t="s">
        <v>106</v>
      </c>
      <c r="CU53" t="s">
        <v>107</v>
      </c>
      <c r="CV53" t="s">
        <v>108</v>
      </c>
      <c r="CW53" s="3">
        <v>33.071159362792969</v>
      </c>
      <c r="DA53">
        <v>313</v>
      </c>
      <c r="DB53" t="s">
        <v>370</v>
      </c>
      <c r="DC53" t="b">
        <v>0</v>
      </c>
      <c r="DD53" t="s">
        <v>422</v>
      </c>
      <c r="DE53" t="s">
        <v>328</v>
      </c>
      <c r="DF53" t="s">
        <v>106</v>
      </c>
      <c r="DG53" t="s">
        <v>107</v>
      </c>
      <c r="DH53" t="s">
        <v>108</v>
      </c>
      <c r="DI53" s="3">
        <v>35.062000274658203</v>
      </c>
      <c r="DM53">
        <v>361</v>
      </c>
      <c r="DN53" t="s">
        <v>398</v>
      </c>
      <c r="DO53" t="b">
        <v>0</v>
      </c>
      <c r="DP53" t="s">
        <v>422</v>
      </c>
      <c r="DQ53" t="s">
        <v>332</v>
      </c>
      <c r="DR53" t="s">
        <v>106</v>
      </c>
      <c r="DS53" t="s">
        <v>107</v>
      </c>
      <c r="DT53" t="s">
        <v>108</v>
      </c>
      <c r="DU53" s="3">
        <v>22.503049850463867</v>
      </c>
    </row>
    <row r="54" spans="2:126" x14ac:dyDescent="0.25">
      <c r="B54" s="1">
        <v>26</v>
      </c>
      <c r="C54" t="s">
        <v>112</v>
      </c>
      <c r="D54" t="b">
        <v>0</v>
      </c>
      <c r="E54" t="s">
        <v>422</v>
      </c>
      <c r="F54" t="s">
        <v>105</v>
      </c>
      <c r="G54" t="s">
        <v>106</v>
      </c>
      <c r="H54" t="s">
        <v>107</v>
      </c>
      <c r="I54" t="s">
        <v>108</v>
      </c>
      <c r="J54" s="3">
        <v>21.167716979980469</v>
      </c>
      <c r="M54">
        <v>18</v>
      </c>
      <c r="N54" t="s">
        <v>130</v>
      </c>
      <c r="O54" t="b">
        <v>0</v>
      </c>
      <c r="P54" t="s">
        <v>422</v>
      </c>
      <c r="Q54" t="s">
        <v>129</v>
      </c>
      <c r="R54" t="s">
        <v>106</v>
      </c>
      <c r="S54" t="s">
        <v>107</v>
      </c>
      <c r="T54" t="s">
        <v>108</v>
      </c>
      <c r="U54" s="3">
        <v>17.994478225708008</v>
      </c>
      <c r="X54">
        <v>50</v>
      </c>
      <c r="Y54" t="s">
        <v>159</v>
      </c>
      <c r="Z54" t="b">
        <v>0</v>
      </c>
      <c r="AA54" t="s">
        <v>422</v>
      </c>
      <c r="AB54" t="s">
        <v>158</v>
      </c>
      <c r="AC54" t="s">
        <v>106</v>
      </c>
      <c r="AD54" t="s">
        <v>107</v>
      </c>
      <c r="AE54" t="s">
        <v>108</v>
      </c>
      <c r="AF54" s="3">
        <v>16.134357452392578</v>
      </c>
      <c r="AI54">
        <v>98</v>
      </c>
      <c r="AJ54" t="s">
        <v>192</v>
      </c>
      <c r="AK54" t="b">
        <v>0</v>
      </c>
      <c r="AL54" t="s">
        <v>422</v>
      </c>
      <c r="AM54" t="s">
        <v>191</v>
      </c>
      <c r="AN54" t="s">
        <v>106</v>
      </c>
      <c r="AO54" t="s">
        <v>107</v>
      </c>
      <c r="AP54" t="s">
        <v>108</v>
      </c>
      <c r="AQ54" s="3">
        <v>22.189117431640625</v>
      </c>
      <c r="AT54">
        <v>114</v>
      </c>
      <c r="AU54" t="s">
        <v>206</v>
      </c>
      <c r="AV54" t="b">
        <v>0</v>
      </c>
      <c r="AW54" t="s">
        <v>422</v>
      </c>
      <c r="AX54" t="s">
        <v>204</v>
      </c>
      <c r="AY54" t="s">
        <v>106</v>
      </c>
      <c r="AZ54" t="s">
        <v>107</v>
      </c>
      <c r="BA54" t="s">
        <v>108</v>
      </c>
      <c r="BB54" s="3">
        <v>30.427064895629883</v>
      </c>
      <c r="BE54">
        <v>146</v>
      </c>
      <c r="BF54" t="s">
        <v>237</v>
      </c>
      <c r="BG54" t="b">
        <v>0</v>
      </c>
      <c r="BH54" t="s">
        <v>422</v>
      </c>
      <c r="BI54" t="s">
        <v>234</v>
      </c>
      <c r="BJ54" t="s">
        <v>106</v>
      </c>
      <c r="BK54" t="s">
        <v>107</v>
      </c>
      <c r="BL54" t="s">
        <v>108</v>
      </c>
      <c r="BM54" t="s">
        <v>235</v>
      </c>
      <c r="BQ54">
        <v>194</v>
      </c>
      <c r="BR54" t="s">
        <v>270</v>
      </c>
      <c r="BS54" t="b">
        <v>0</v>
      </c>
      <c r="BT54" t="s">
        <v>422</v>
      </c>
      <c r="BU54" t="s">
        <v>269</v>
      </c>
      <c r="BV54" t="s">
        <v>106</v>
      </c>
      <c r="BW54" t="s">
        <v>107</v>
      </c>
      <c r="BX54" t="s">
        <v>108</v>
      </c>
      <c r="BY54" s="3">
        <v>31.708921432495117</v>
      </c>
      <c r="CC54" s="1">
        <v>234</v>
      </c>
      <c r="CD54" s="1" t="s">
        <v>303</v>
      </c>
      <c r="CE54" s="1" t="s">
        <v>103</v>
      </c>
      <c r="CF54" s="1" t="s">
        <v>282</v>
      </c>
      <c r="CG54" s="1" t="s">
        <v>105</v>
      </c>
      <c r="CH54" s="1" t="s">
        <v>106</v>
      </c>
      <c r="CI54" s="1" t="s">
        <v>107</v>
      </c>
      <c r="CJ54" s="1" t="s">
        <v>108</v>
      </c>
      <c r="CK54" s="1">
        <v>5.5309999999999997</v>
      </c>
      <c r="CO54">
        <v>242</v>
      </c>
      <c r="CP54" t="s">
        <v>312</v>
      </c>
      <c r="CQ54" t="b">
        <v>0</v>
      </c>
      <c r="CR54" t="s">
        <v>422</v>
      </c>
      <c r="CS54" t="s">
        <v>311</v>
      </c>
      <c r="CT54" t="s">
        <v>106</v>
      </c>
      <c r="CU54" t="s">
        <v>107</v>
      </c>
      <c r="CV54" t="s">
        <v>108</v>
      </c>
      <c r="CW54" s="3">
        <v>32.614917755126953</v>
      </c>
      <c r="DA54">
        <v>290</v>
      </c>
      <c r="DB54" t="s">
        <v>355</v>
      </c>
      <c r="DC54" t="b">
        <v>0</v>
      </c>
      <c r="DD54" t="s">
        <v>422</v>
      </c>
      <c r="DE54" t="s">
        <v>328</v>
      </c>
      <c r="DF54" t="s">
        <v>106</v>
      </c>
      <c r="DG54" t="s">
        <v>107</v>
      </c>
      <c r="DH54" t="s">
        <v>108</v>
      </c>
      <c r="DI54" t="s">
        <v>235</v>
      </c>
      <c r="DM54">
        <v>338</v>
      </c>
      <c r="DN54" t="s">
        <v>387</v>
      </c>
      <c r="DO54" t="b">
        <v>0</v>
      </c>
      <c r="DP54" t="s">
        <v>422</v>
      </c>
      <c r="DQ54" t="s">
        <v>332</v>
      </c>
      <c r="DR54" t="s">
        <v>106</v>
      </c>
      <c r="DS54" t="s">
        <v>107</v>
      </c>
      <c r="DT54" t="s">
        <v>108</v>
      </c>
      <c r="DU54" s="3">
        <v>22.497282028198242</v>
      </c>
    </row>
    <row r="55" spans="2:126" x14ac:dyDescent="0.25">
      <c r="B55" s="1">
        <v>26</v>
      </c>
      <c r="C55" t="s">
        <v>138</v>
      </c>
      <c r="D55" t="b">
        <v>0</v>
      </c>
      <c r="E55" t="s">
        <v>422</v>
      </c>
      <c r="F55" t="s">
        <v>105</v>
      </c>
      <c r="G55" t="s">
        <v>106</v>
      </c>
      <c r="H55" t="s">
        <v>107</v>
      </c>
      <c r="I55" t="s">
        <v>108</v>
      </c>
      <c r="J55" s="3">
        <v>21.137609481811523</v>
      </c>
      <c r="M55">
        <v>46</v>
      </c>
      <c r="N55" t="s">
        <v>154</v>
      </c>
      <c r="O55" t="b">
        <v>0</v>
      </c>
      <c r="P55" t="s">
        <v>423</v>
      </c>
      <c r="Q55" t="s">
        <v>129</v>
      </c>
      <c r="R55" t="s">
        <v>106</v>
      </c>
      <c r="S55" t="s">
        <v>107</v>
      </c>
      <c r="T55" t="s">
        <v>108</v>
      </c>
      <c r="U55" s="3">
        <v>17.686054229736328</v>
      </c>
      <c r="X55">
        <v>74</v>
      </c>
      <c r="Y55" t="s">
        <v>175</v>
      </c>
      <c r="Z55" t="b">
        <v>0</v>
      </c>
      <c r="AA55" t="s">
        <v>422</v>
      </c>
      <c r="AB55" t="s">
        <v>158</v>
      </c>
      <c r="AC55" t="s">
        <v>106</v>
      </c>
      <c r="AD55" t="s">
        <v>107</v>
      </c>
      <c r="AE55" t="s">
        <v>108</v>
      </c>
      <c r="AF55" s="3">
        <v>16.155094146728516</v>
      </c>
      <c r="AI55">
        <v>122</v>
      </c>
      <c r="AJ55" t="s">
        <v>214</v>
      </c>
      <c r="AK55" t="b">
        <v>0</v>
      </c>
      <c r="AL55" t="s">
        <v>422</v>
      </c>
      <c r="AM55" t="s">
        <v>191</v>
      </c>
      <c r="AN55" t="s">
        <v>106</v>
      </c>
      <c r="AO55" t="s">
        <v>107</v>
      </c>
      <c r="AP55" t="s">
        <v>108</v>
      </c>
      <c r="AQ55" s="3">
        <v>22.197484970092773</v>
      </c>
      <c r="AT55">
        <v>142</v>
      </c>
      <c r="AU55" t="s">
        <v>230</v>
      </c>
      <c r="AV55" t="b">
        <v>0</v>
      </c>
      <c r="AW55" t="s">
        <v>423</v>
      </c>
      <c r="AX55" t="s">
        <v>204</v>
      </c>
      <c r="AY55" t="s">
        <v>106</v>
      </c>
      <c r="AZ55" t="s">
        <v>107</v>
      </c>
      <c r="BA55" t="s">
        <v>108</v>
      </c>
      <c r="BB55" s="3">
        <v>29.459745407104492</v>
      </c>
      <c r="BE55">
        <v>170</v>
      </c>
      <c r="BF55" t="s">
        <v>253</v>
      </c>
      <c r="BG55" t="b">
        <v>0</v>
      </c>
      <c r="BH55" t="s">
        <v>422</v>
      </c>
      <c r="BI55" t="s">
        <v>234</v>
      </c>
      <c r="BJ55" t="s">
        <v>106</v>
      </c>
      <c r="BK55" t="s">
        <v>107</v>
      </c>
      <c r="BL55" t="s">
        <v>108</v>
      </c>
      <c r="BM55" t="s">
        <v>235</v>
      </c>
      <c r="BQ55">
        <v>218</v>
      </c>
      <c r="BR55" t="s">
        <v>291</v>
      </c>
      <c r="BS55" t="b">
        <v>0</v>
      </c>
      <c r="BT55" t="s">
        <v>422</v>
      </c>
      <c r="BU55" t="s">
        <v>269</v>
      </c>
      <c r="BV55" t="s">
        <v>106</v>
      </c>
      <c r="BW55" t="s">
        <v>107</v>
      </c>
      <c r="BX55" t="s">
        <v>108</v>
      </c>
      <c r="BY55" s="3">
        <v>31.489797592163086</v>
      </c>
      <c r="CC55" s="1">
        <v>262</v>
      </c>
      <c r="CD55" s="1" t="s">
        <v>329</v>
      </c>
      <c r="CE55" s="1" t="s">
        <v>103</v>
      </c>
      <c r="CF55" s="1" t="s">
        <v>282</v>
      </c>
      <c r="CG55" s="1" t="s">
        <v>328</v>
      </c>
      <c r="CH55" s="1" t="s">
        <v>106</v>
      </c>
      <c r="CI55" s="1" t="s">
        <v>107</v>
      </c>
      <c r="CJ55" s="1" t="s">
        <v>108</v>
      </c>
      <c r="CK55" s="1">
        <v>34.561999999999998</v>
      </c>
      <c r="CO55">
        <v>266</v>
      </c>
      <c r="CP55" t="s">
        <v>335</v>
      </c>
      <c r="CQ55" t="b">
        <v>0</v>
      </c>
      <c r="CR55" t="s">
        <v>422</v>
      </c>
      <c r="CS55" t="s">
        <v>311</v>
      </c>
      <c r="CT55" t="s">
        <v>106</v>
      </c>
      <c r="CU55" t="s">
        <v>107</v>
      </c>
      <c r="CV55" t="s">
        <v>108</v>
      </c>
      <c r="CW55" t="s">
        <v>235</v>
      </c>
      <c r="DA55">
        <v>314</v>
      </c>
      <c r="DB55" t="s">
        <v>371</v>
      </c>
      <c r="DC55" t="b">
        <v>0</v>
      </c>
      <c r="DD55" t="s">
        <v>422</v>
      </c>
      <c r="DE55" t="s">
        <v>328</v>
      </c>
      <c r="DF55" t="s">
        <v>106</v>
      </c>
      <c r="DG55" t="s">
        <v>107</v>
      </c>
      <c r="DH55" t="s">
        <v>108</v>
      </c>
      <c r="DI55" s="3">
        <v>32.777927398681641</v>
      </c>
      <c r="DM55">
        <v>362</v>
      </c>
      <c r="DN55" t="s">
        <v>399</v>
      </c>
      <c r="DO55" t="b">
        <v>0</v>
      </c>
      <c r="DP55" t="s">
        <v>422</v>
      </c>
      <c r="DQ55" t="s">
        <v>332</v>
      </c>
      <c r="DR55" t="s">
        <v>106</v>
      </c>
      <c r="DS55" t="s">
        <v>107</v>
      </c>
      <c r="DT55" t="s">
        <v>108</v>
      </c>
      <c r="DU55" s="3">
        <v>22.62608528137207</v>
      </c>
    </row>
    <row r="56" spans="2:126" x14ac:dyDescent="0.25">
      <c r="B56" s="1">
        <v>27</v>
      </c>
      <c r="C56" t="s">
        <v>113</v>
      </c>
      <c r="D56" t="b">
        <v>0</v>
      </c>
      <c r="E56" t="s">
        <v>424</v>
      </c>
      <c r="F56" t="s">
        <v>105</v>
      </c>
      <c r="G56" t="s">
        <v>106</v>
      </c>
      <c r="H56" t="s">
        <v>107</v>
      </c>
      <c r="I56" t="s">
        <v>108</v>
      </c>
      <c r="J56" s="3">
        <v>21.151468276977539</v>
      </c>
      <c r="M56">
        <v>19</v>
      </c>
      <c r="N56" t="s">
        <v>131</v>
      </c>
      <c r="O56" t="b">
        <v>0</v>
      </c>
      <c r="P56" t="s">
        <v>424</v>
      </c>
      <c r="Q56" t="s">
        <v>129</v>
      </c>
      <c r="R56" t="s">
        <v>106</v>
      </c>
      <c r="S56" t="s">
        <v>107</v>
      </c>
      <c r="T56" t="s">
        <v>108</v>
      </c>
      <c r="U56" s="3">
        <v>18.156644821166992</v>
      </c>
      <c r="X56">
        <v>51</v>
      </c>
      <c r="Y56" t="s">
        <v>160</v>
      </c>
      <c r="Z56" t="b">
        <v>0</v>
      </c>
      <c r="AA56" t="s">
        <v>424</v>
      </c>
      <c r="AB56" t="s">
        <v>158</v>
      </c>
      <c r="AC56" t="s">
        <v>106</v>
      </c>
      <c r="AD56" t="s">
        <v>107</v>
      </c>
      <c r="AE56" t="s">
        <v>108</v>
      </c>
      <c r="AF56" s="3">
        <v>16.284313201904297</v>
      </c>
      <c r="AI56">
        <v>99</v>
      </c>
      <c r="AJ56" t="s">
        <v>193</v>
      </c>
      <c r="AK56" t="b">
        <v>0</v>
      </c>
      <c r="AL56" t="s">
        <v>424</v>
      </c>
      <c r="AM56" t="s">
        <v>191</v>
      </c>
      <c r="AN56" t="s">
        <v>106</v>
      </c>
      <c r="AO56" t="s">
        <v>107</v>
      </c>
      <c r="AP56" t="s">
        <v>108</v>
      </c>
      <c r="AQ56" s="3">
        <v>22.536487579345703</v>
      </c>
      <c r="AT56">
        <v>115</v>
      </c>
      <c r="AU56" t="s">
        <v>207</v>
      </c>
      <c r="AV56" t="b">
        <v>0</v>
      </c>
      <c r="AW56" t="s">
        <v>424</v>
      </c>
      <c r="AX56" t="s">
        <v>204</v>
      </c>
      <c r="AY56" t="s">
        <v>106</v>
      </c>
      <c r="AZ56" t="s">
        <v>107</v>
      </c>
      <c r="BA56" t="s">
        <v>108</v>
      </c>
      <c r="BB56" s="3">
        <v>31.759027481079102</v>
      </c>
      <c r="BE56">
        <v>147</v>
      </c>
      <c r="BF56" t="s">
        <v>238</v>
      </c>
      <c r="BG56" t="b">
        <v>0</v>
      </c>
      <c r="BH56" t="s">
        <v>424</v>
      </c>
      <c r="BI56" t="s">
        <v>234</v>
      </c>
      <c r="BJ56" t="s">
        <v>106</v>
      </c>
      <c r="BK56" t="s">
        <v>107</v>
      </c>
      <c r="BL56" t="s">
        <v>108</v>
      </c>
      <c r="BM56" t="s">
        <v>235</v>
      </c>
      <c r="BQ56">
        <v>195</v>
      </c>
      <c r="BR56" t="s">
        <v>271</v>
      </c>
      <c r="BS56" t="b">
        <v>0</v>
      </c>
      <c r="BT56" t="s">
        <v>424</v>
      </c>
      <c r="BU56" t="s">
        <v>269</v>
      </c>
      <c r="BV56" t="s">
        <v>106</v>
      </c>
      <c r="BW56" t="s">
        <v>107</v>
      </c>
      <c r="BX56" t="s">
        <v>108</v>
      </c>
      <c r="BY56" s="3">
        <v>31.696781158447266</v>
      </c>
      <c r="CC56" s="1">
        <v>235</v>
      </c>
      <c r="CD56" s="1" t="s">
        <v>304</v>
      </c>
      <c r="CE56" s="1" t="s">
        <v>103</v>
      </c>
      <c r="CF56" s="1" t="s">
        <v>282</v>
      </c>
      <c r="CG56" s="1" t="s">
        <v>158</v>
      </c>
      <c r="CH56" s="1" t="s">
        <v>106</v>
      </c>
      <c r="CI56" s="1" t="s">
        <v>107</v>
      </c>
      <c r="CJ56" s="1" t="s">
        <v>108</v>
      </c>
      <c r="CK56" s="1" t="s">
        <v>235</v>
      </c>
      <c r="CO56">
        <v>243</v>
      </c>
      <c r="CP56" t="s">
        <v>313</v>
      </c>
      <c r="CQ56" t="b">
        <v>0</v>
      </c>
      <c r="CR56" t="s">
        <v>424</v>
      </c>
      <c r="CS56" t="s">
        <v>311</v>
      </c>
      <c r="CT56" t="s">
        <v>106</v>
      </c>
      <c r="CU56" t="s">
        <v>107</v>
      </c>
      <c r="CV56" t="s">
        <v>108</v>
      </c>
      <c r="CW56" s="3">
        <v>33.175846099853516</v>
      </c>
      <c r="DA56">
        <v>291</v>
      </c>
      <c r="DB56" t="s">
        <v>356</v>
      </c>
      <c r="DC56" t="b">
        <v>0</v>
      </c>
      <c r="DD56" t="s">
        <v>424</v>
      </c>
      <c r="DE56" t="s">
        <v>328</v>
      </c>
      <c r="DF56" t="s">
        <v>106</v>
      </c>
      <c r="DG56" t="s">
        <v>107</v>
      </c>
      <c r="DH56" t="s">
        <v>108</v>
      </c>
      <c r="DI56" t="s">
        <v>235</v>
      </c>
      <c r="DM56">
        <v>339</v>
      </c>
      <c r="DN56" t="s">
        <v>388</v>
      </c>
      <c r="DO56" t="b">
        <v>0</v>
      </c>
      <c r="DP56" t="s">
        <v>424</v>
      </c>
      <c r="DQ56" t="s">
        <v>332</v>
      </c>
      <c r="DR56" t="s">
        <v>106</v>
      </c>
      <c r="DS56" t="s">
        <v>107</v>
      </c>
      <c r="DT56" t="s">
        <v>108</v>
      </c>
      <c r="DU56" s="3">
        <v>22.781806945800781</v>
      </c>
    </row>
    <row r="57" spans="2:126" x14ac:dyDescent="0.25">
      <c r="B57" s="1">
        <v>27</v>
      </c>
      <c r="C57" t="s">
        <v>139</v>
      </c>
      <c r="D57" t="b">
        <v>0</v>
      </c>
      <c r="E57" t="s">
        <v>424</v>
      </c>
      <c r="F57" t="s">
        <v>105</v>
      </c>
      <c r="G57" t="s">
        <v>106</v>
      </c>
      <c r="H57" t="s">
        <v>107</v>
      </c>
      <c r="I57" t="s">
        <v>108</v>
      </c>
      <c r="J57" s="3">
        <v>21.213077545166016</v>
      </c>
      <c r="M57">
        <v>47</v>
      </c>
      <c r="N57" t="s">
        <v>155</v>
      </c>
      <c r="O57" t="b">
        <v>0</v>
      </c>
      <c r="P57" t="s">
        <v>425</v>
      </c>
      <c r="Q57" t="s">
        <v>129</v>
      </c>
      <c r="R57" t="s">
        <v>106</v>
      </c>
      <c r="S57" t="s">
        <v>107</v>
      </c>
      <c r="T57" t="s">
        <v>108</v>
      </c>
      <c r="U57" s="3">
        <v>17.806955337524414</v>
      </c>
      <c r="X57">
        <v>75</v>
      </c>
      <c r="Y57" t="s">
        <v>176</v>
      </c>
      <c r="Z57" t="b">
        <v>0</v>
      </c>
      <c r="AA57" t="s">
        <v>424</v>
      </c>
      <c r="AB57" t="s">
        <v>158</v>
      </c>
      <c r="AC57" t="s">
        <v>106</v>
      </c>
      <c r="AD57" t="s">
        <v>107</v>
      </c>
      <c r="AE57" t="s">
        <v>108</v>
      </c>
      <c r="AF57" s="3">
        <v>16.324241638183594</v>
      </c>
      <c r="AI57">
        <v>123</v>
      </c>
      <c r="AJ57" t="s">
        <v>215</v>
      </c>
      <c r="AK57" t="b">
        <v>0</v>
      </c>
      <c r="AL57" t="s">
        <v>424</v>
      </c>
      <c r="AM57" t="s">
        <v>191</v>
      </c>
      <c r="AN57" t="s">
        <v>106</v>
      </c>
      <c r="AO57" t="s">
        <v>107</v>
      </c>
      <c r="AP57" t="s">
        <v>108</v>
      </c>
      <c r="AQ57" s="3">
        <v>22.463888168334961</v>
      </c>
      <c r="AT57">
        <v>143</v>
      </c>
      <c r="AU57" t="s">
        <v>231</v>
      </c>
      <c r="AV57" t="b">
        <v>0</v>
      </c>
      <c r="AW57" t="s">
        <v>425</v>
      </c>
      <c r="AX57" t="s">
        <v>204</v>
      </c>
      <c r="AY57" t="s">
        <v>106</v>
      </c>
      <c r="AZ57" t="s">
        <v>107</v>
      </c>
      <c r="BA57" t="s">
        <v>108</v>
      </c>
      <c r="BB57" s="3">
        <v>29.374477386474609</v>
      </c>
      <c r="BE57">
        <v>171</v>
      </c>
      <c r="BF57" t="s">
        <v>254</v>
      </c>
      <c r="BG57" t="b">
        <v>0</v>
      </c>
      <c r="BH57" t="s">
        <v>424</v>
      </c>
      <c r="BI57" t="s">
        <v>234</v>
      </c>
      <c r="BJ57" t="s">
        <v>106</v>
      </c>
      <c r="BK57" t="s">
        <v>107</v>
      </c>
      <c r="BL57" t="s">
        <v>108</v>
      </c>
      <c r="BM57" t="s">
        <v>235</v>
      </c>
      <c r="BQ57">
        <v>219</v>
      </c>
      <c r="BR57" t="s">
        <v>292</v>
      </c>
      <c r="BS57" t="b">
        <v>0</v>
      </c>
      <c r="BT57" t="s">
        <v>424</v>
      </c>
      <c r="BU57" t="s">
        <v>269</v>
      </c>
      <c r="BV57" t="s">
        <v>106</v>
      </c>
      <c r="BW57" t="s">
        <v>107</v>
      </c>
      <c r="BX57" t="s">
        <v>108</v>
      </c>
      <c r="BY57" s="3">
        <v>31.323602676391602</v>
      </c>
      <c r="CC57" s="1">
        <v>263</v>
      </c>
      <c r="CD57" s="1" t="s">
        <v>331</v>
      </c>
      <c r="CE57" s="1" t="s">
        <v>103</v>
      </c>
      <c r="CF57" s="1" t="s">
        <v>282</v>
      </c>
      <c r="CG57" s="1" t="s">
        <v>332</v>
      </c>
      <c r="CH57" s="1" t="s">
        <v>106</v>
      </c>
      <c r="CI57" s="1" t="s">
        <v>107</v>
      </c>
      <c r="CJ57" s="1" t="s">
        <v>108</v>
      </c>
      <c r="CK57" s="1" t="s">
        <v>235</v>
      </c>
      <c r="CO57">
        <v>267</v>
      </c>
      <c r="CP57" t="s">
        <v>336</v>
      </c>
      <c r="CQ57" t="b">
        <v>0</v>
      </c>
      <c r="CR57" t="s">
        <v>424</v>
      </c>
      <c r="CS57" t="s">
        <v>311</v>
      </c>
      <c r="CT57" t="s">
        <v>106</v>
      </c>
      <c r="CU57" t="s">
        <v>107</v>
      </c>
      <c r="CV57" t="s">
        <v>108</v>
      </c>
      <c r="CW57" t="s">
        <v>235</v>
      </c>
      <c r="DA57">
        <v>315</v>
      </c>
      <c r="DB57" t="s">
        <v>372</v>
      </c>
      <c r="DC57" t="b">
        <v>0</v>
      </c>
      <c r="DD57" t="s">
        <v>424</v>
      </c>
      <c r="DE57" t="s">
        <v>328</v>
      </c>
      <c r="DF57" t="s">
        <v>106</v>
      </c>
      <c r="DG57" t="s">
        <v>107</v>
      </c>
      <c r="DH57" t="s">
        <v>108</v>
      </c>
      <c r="DI57" t="s">
        <v>235</v>
      </c>
      <c r="DM57">
        <v>363</v>
      </c>
      <c r="DN57" t="s">
        <v>400</v>
      </c>
      <c r="DO57" t="b">
        <v>0</v>
      </c>
      <c r="DP57" t="s">
        <v>424</v>
      </c>
      <c r="DQ57" t="s">
        <v>332</v>
      </c>
      <c r="DR57" t="s">
        <v>106</v>
      </c>
      <c r="DS57" t="s">
        <v>107</v>
      </c>
      <c r="DT57" t="s">
        <v>108</v>
      </c>
      <c r="DU57" s="3">
        <v>22.68287467956543</v>
      </c>
    </row>
    <row r="58" spans="2:126" x14ac:dyDescent="0.25">
      <c r="B58" s="1">
        <v>28</v>
      </c>
      <c r="C58" t="s">
        <v>115</v>
      </c>
      <c r="D58" t="b">
        <v>0</v>
      </c>
      <c r="E58" t="s">
        <v>424</v>
      </c>
      <c r="F58" t="s">
        <v>105</v>
      </c>
      <c r="G58" t="s">
        <v>106</v>
      </c>
      <c r="H58" t="s">
        <v>107</v>
      </c>
      <c r="I58" t="s">
        <v>108</v>
      </c>
      <c r="J58" s="3">
        <v>21.817733764648438</v>
      </c>
      <c r="M58">
        <v>20</v>
      </c>
      <c r="N58" t="s">
        <v>132</v>
      </c>
      <c r="O58" t="b">
        <v>0</v>
      </c>
      <c r="P58" t="s">
        <v>424</v>
      </c>
      <c r="Q58" t="s">
        <v>129</v>
      </c>
      <c r="R58" t="s">
        <v>106</v>
      </c>
      <c r="S58" t="s">
        <v>107</v>
      </c>
      <c r="T58" t="s">
        <v>108</v>
      </c>
      <c r="U58" s="3">
        <v>18.100671768188477</v>
      </c>
      <c r="X58">
        <v>52</v>
      </c>
      <c r="Y58" t="s">
        <v>161</v>
      </c>
      <c r="Z58" t="b">
        <v>0</v>
      </c>
      <c r="AA58" t="s">
        <v>424</v>
      </c>
      <c r="AB58" t="s">
        <v>158</v>
      </c>
      <c r="AC58" t="s">
        <v>106</v>
      </c>
      <c r="AD58" t="s">
        <v>107</v>
      </c>
      <c r="AE58" t="s">
        <v>108</v>
      </c>
      <c r="AF58" s="3">
        <v>16.641162872314453</v>
      </c>
      <c r="AI58">
        <v>100</v>
      </c>
      <c r="AJ58" t="s">
        <v>194</v>
      </c>
      <c r="AK58" t="b">
        <v>0</v>
      </c>
      <c r="AL58" t="s">
        <v>424</v>
      </c>
      <c r="AM58" t="s">
        <v>191</v>
      </c>
      <c r="AN58" t="s">
        <v>106</v>
      </c>
      <c r="AO58" t="s">
        <v>107</v>
      </c>
      <c r="AP58" t="s">
        <v>108</v>
      </c>
      <c r="AQ58" s="3">
        <v>22.634090423583984</v>
      </c>
      <c r="AT58">
        <v>116</v>
      </c>
      <c r="AU58" t="s">
        <v>208</v>
      </c>
      <c r="AV58" t="b">
        <v>0</v>
      </c>
      <c r="AW58" t="s">
        <v>424</v>
      </c>
      <c r="AX58" t="s">
        <v>204</v>
      </c>
      <c r="AY58" t="s">
        <v>106</v>
      </c>
      <c r="AZ58" t="s">
        <v>107</v>
      </c>
      <c r="BA58" t="s">
        <v>108</v>
      </c>
      <c r="BB58" s="3">
        <v>31.488010406494141</v>
      </c>
      <c r="BE58">
        <v>148</v>
      </c>
      <c r="BF58" t="s">
        <v>239</v>
      </c>
      <c r="BG58" t="b">
        <v>0</v>
      </c>
      <c r="BH58" t="s">
        <v>424</v>
      </c>
      <c r="BI58" t="s">
        <v>234</v>
      </c>
      <c r="BJ58" t="s">
        <v>106</v>
      </c>
      <c r="BK58" t="s">
        <v>107</v>
      </c>
      <c r="BL58" t="s">
        <v>108</v>
      </c>
      <c r="BM58" t="s">
        <v>235</v>
      </c>
      <c r="BQ58">
        <v>196</v>
      </c>
      <c r="BR58" t="s">
        <v>272</v>
      </c>
      <c r="BS58" t="b">
        <v>0</v>
      </c>
      <c r="BT58" t="s">
        <v>424</v>
      </c>
      <c r="BU58" t="s">
        <v>269</v>
      </c>
      <c r="BV58" t="s">
        <v>106</v>
      </c>
      <c r="BW58" t="s">
        <v>107</v>
      </c>
      <c r="BX58" t="s">
        <v>108</v>
      </c>
      <c r="BY58" t="s">
        <v>235</v>
      </c>
      <c r="CC58" s="1">
        <v>236</v>
      </c>
      <c r="CD58" s="1" t="s">
        <v>305</v>
      </c>
      <c r="CE58" s="1" t="s">
        <v>103</v>
      </c>
      <c r="CF58" s="1" t="s">
        <v>282</v>
      </c>
      <c r="CG58" s="1" t="s">
        <v>158</v>
      </c>
      <c r="CH58" s="1" t="s">
        <v>106</v>
      </c>
      <c r="CI58" s="1" t="s">
        <v>107</v>
      </c>
      <c r="CJ58" s="1" t="s">
        <v>108</v>
      </c>
      <c r="CK58" s="1">
        <v>19.643999999999998</v>
      </c>
      <c r="CO58">
        <v>244</v>
      </c>
      <c r="CP58" t="s">
        <v>314</v>
      </c>
      <c r="CQ58" t="b">
        <v>0</v>
      </c>
      <c r="CR58" t="s">
        <v>424</v>
      </c>
      <c r="CS58" t="s">
        <v>311</v>
      </c>
      <c r="CT58" t="s">
        <v>106</v>
      </c>
      <c r="CU58" t="s">
        <v>107</v>
      </c>
      <c r="CV58" t="s">
        <v>108</v>
      </c>
      <c r="CW58" t="s">
        <v>235</v>
      </c>
      <c r="DA58">
        <v>292</v>
      </c>
      <c r="DB58" t="s">
        <v>357</v>
      </c>
      <c r="DC58" t="b">
        <v>0</v>
      </c>
      <c r="DD58" t="s">
        <v>424</v>
      </c>
      <c r="DE58" t="s">
        <v>328</v>
      </c>
      <c r="DF58" t="s">
        <v>106</v>
      </c>
      <c r="DG58" t="s">
        <v>107</v>
      </c>
      <c r="DH58" t="s">
        <v>108</v>
      </c>
      <c r="DI58" t="s">
        <v>235</v>
      </c>
      <c r="DM58">
        <v>340</v>
      </c>
      <c r="DN58" t="s">
        <v>389</v>
      </c>
      <c r="DO58" t="b">
        <v>0</v>
      </c>
      <c r="DP58" t="s">
        <v>424</v>
      </c>
      <c r="DQ58" t="s">
        <v>332</v>
      </c>
      <c r="DR58" t="s">
        <v>106</v>
      </c>
      <c r="DS58" t="s">
        <v>107</v>
      </c>
      <c r="DT58" t="s">
        <v>108</v>
      </c>
      <c r="DU58" s="3">
        <v>22.742557525634766</v>
      </c>
    </row>
    <row r="59" spans="2:126" x14ac:dyDescent="0.25">
      <c r="B59" s="1">
        <v>28</v>
      </c>
      <c r="C59" t="s">
        <v>140</v>
      </c>
      <c r="D59" t="b">
        <v>0</v>
      </c>
      <c r="E59" t="s">
        <v>424</v>
      </c>
      <c r="F59" t="s">
        <v>105</v>
      </c>
      <c r="G59" t="s">
        <v>106</v>
      </c>
      <c r="H59" t="s">
        <v>107</v>
      </c>
      <c r="I59" t="s">
        <v>108</v>
      </c>
      <c r="J59" s="3">
        <v>21.297670364379883</v>
      </c>
      <c r="M59">
        <v>48</v>
      </c>
      <c r="N59" t="s">
        <v>156</v>
      </c>
      <c r="O59" t="b">
        <v>0</v>
      </c>
      <c r="P59" t="s">
        <v>425</v>
      </c>
      <c r="Q59" t="s">
        <v>129</v>
      </c>
      <c r="R59" t="s">
        <v>106</v>
      </c>
      <c r="S59" t="s">
        <v>107</v>
      </c>
      <c r="T59" t="s">
        <v>108</v>
      </c>
      <c r="U59" s="3">
        <v>17.678775787353516</v>
      </c>
      <c r="X59">
        <v>76</v>
      </c>
      <c r="Y59" t="s">
        <v>177</v>
      </c>
      <c r="Z59" t="b">
        <v>0</v>
      </c>
      <c r="AA59" t="s">
        <v>424</v>
      </c>
      <c r="AB59" t="s">
        <v>158</v>
      </c>
      <c r="AC59" t="s">
        <v>106</v>
      </c>
      <c r="AD59" t="s">
        <v>107</v>
      </c>
      <c r="AE59" t="s">
        <v>108</v>
      </c>
      <c r="AF59" s="3">
        <v>16.397686004638672</v>
      </c>
      <c r="AI59">
        <v>124</v>
      </c>
      <c r="AJ59" t="s">
        <v>216</v>
      </c>
      <c r="AK59" t="b">
        <v>0</v>
      </c>
      <c r="AL59" t="s">
        <v>424</v>
      </c>
      <c r="AM59" t="s">
        <v>191</v>
      </c>
      <c r="AN59" t="s">
        <v>106</v>
      </c>
      <c r="AO59" t="s">
        <v>107</v>
      </c>
      <c r="AP59" t="s">
        <v>108</v>
      </c>
      <c r="AQ59" s="3">
        <v>22.675630569458008</v>
      </c>
      <c r="AT59">
        <v>144</v>
      </c>
      <c r="AU59" t="s">
        <v>232</v>
      </c>
      <c r="AV59" t="b">
        <v>0</v>
      </c>
      <c r="AW59" t="s">
        <v>425</v>
      </c>
      <c r="AX59" t="s">
        <v>204</v>
      </c>
      <c r="AY59" t="s">
        <v>106</v>
      </c>
      <c r="AZ59" t="s">
        <v>107</v>
      </c>
      <c r="BA59" t="s">
        <v>108</v>
      </c>
      <c r="BB59" s="3">
        <v>28.644346237182617</v>
      </c>
      <c r="BE59">
        <v>172</v>
      </c>
      <c r="BF59" t="s">
        <v>255</v>
      </c>
      <c r="BG59" t="b">
        <v>0</v>
      </c>
      <c r="BH59" t="s">
        <v>424</v>
      </c>
      <c r="BI59" t="s">
        <v>234</v>
      </c>
      <c r="BJ59" t="s">
        <v>106</v>
      </c>
      <c r="BK59" t="s">
        <v>107</v>
      </c>
      <c r="BL59" t="s">
        <v>108</v>
      </c>
      <c r="BM59" t="s">
        <v>235</v>
      </c>
      <c r="BQ59">
        <v>220</v>
      </c>
      <c r="BR59" t="s">
        <v>293</v>
      </c>
      <c r="BS59" t="b">
        <v>0</v>
      </c>
      <c r="BT59" t="s">
        <v>424</v>
      </c>
      <c r="BU59" t="s">
        <v>269</v>
      </c>
      <c r="BV59" t="s">
        <v>106</v>
      </c>
      <c r="BW59" t="s">
        <v>107</v>
      </c>
      <c r="BX59" t="s">
        <v>108</v>
      </c>
      <c r="BY59" s="3">
        <v>32.74755859375</v>
      </c>
      <c r="CC59" s="1">
        <v>264</v>
      </c>
      <c r="CD59" s="1" t="s">
        <v>333</v>
      </c>
      <c r="CE59" s="1" t="s">
        <v>103</v>
      </c>
      <c r="CF59" s="1" t="s">
        <v>282</v>
      </c>
      <c r="CG59" s="1" t="s">
        <v>332</v>
      </c>
      <c r="CH59" s="1" t="s">
        <v>106</v>
      </c>
      <c r="CI59" s="1" t="s">
        <v>107</v>
      </c>
      <c r="CJ59" s="1" t="s">
        <v>108</v>
      </c>
      <c r="CK59" s="1" t="s">
        <v>235</v>
      </c>
      <c r="CO59">
        <v>268</v>
      </c>
      <c r="CP59" t="s">
        <v>337</v>
      </c>
      <c r="CQ59" t="b">
        <v>0</v>
      </c>
      <c r="CR59" t="s">
        <v>424</v>
      </c>
      <c r="CS59" t="s">
        <v>311</v>
      </c>
      <c r="CT59" t="s">
        <v>106</v>
      </c>
      <c r="CU59" t="s">
        <v>107</v>
      </c>
      <c r="CV59" t="s">
        <v>108</v>
      </c>
      <c r="CW59" t="s">
        <v>235</v>
      </c>
      <c r="DA59">
        <v>316</v>
      </c>
      <c r="DB59" t="s">
        <v>373</v>
      </c>
      <c r="DC59" t="b">
        <v>0</v>
      </c>
      <c r="DD59" t="s">
        <v>424</v>
      </c>
      <c r="DE59" t="s">
        <v>328</v>
      </c>
      <c r="DF59" t="s">
        <v>106</v>
      </c>
      <c r="DG59" t="s">
        <v>107</v>
      </c>
      <c r="DH59" t="s">
        <v>108</v>
      </c>
      <c r="DI59" s="3">
        <v>32.340641021728516</v>
      </c>
      <c r="DM59">
        <v>364</v>
      </c>
      <c r="DN59" t="s">
        <v>401</v>
      </c>
      <c r="DO59" t="b">
        <v>0</v>
      </c>
      <c r="DP59" t="s">
        <v>424</v>
      </c>
      <c r="DQ59" t="s">
        <v>332</v>
      </c>
      <c r="DR59" t="s">
        <v>106</v>
      </c>
      <c r="DS59" t="s">
        <v>107</v>
      </c>
      <c r="DT59" t="s">
        <v>108</v>
      </c>
      <c r="DU59" s="3">
        <v>22.624666213989258</v>
      </c>
    </row>
    <row r="60" spans="2:126" x14ac:dyDescent="0.25">
      <c r="B60" s="1">
        <v>29</v>
      </c>
      <c r="C60" t="s">
        <v>116</v>
      </c>
      <c r="D60" t="b">
        <v>0</v>
      </c>
      <c r="E60" t="s">
        <v>423</v>
      </c>
      <c r="F60" t="s">
        <v>105</v>
      </c>
      <c r="G60" t="s">
        <v>106</v>
      </c>
      <c r="H60" t="s">
        <v>107</v>
      </c>
      <c r="I60" t="s">
        <v>108</v>
      </c>
      <c r="J60" s="3">
        <v>23.385782241821289</v>
      </c>
      <c r="M60">
        <v>21</v>
      </c>
      <c r="N60" t="s">
        <v>133</v>
      </c>
      <c r="O60" t="b">
        <v>0</v>
      </c>
      <c r="P60" t="s">
        <v>423</v>
      </c>
      <c r="Q60" t="s">
        <v>129</v>
      </c>
      <c r="R60" t="s">
        <v>106</v>
      </c>
      <c r="S60" t="s">
        <v>107</v>
      </c>
      <c r="T60" t="s">
        <v>108</v>
      </c>
      <c r="U60" s="3">
        <v>17.632972717285156</v>
      </c>
      <c r="X60">
        <v>53</v>
      </c>
      <c r="Y60" t="s">
        <v>162</v>
      </c>
      <c r="Z60" t="b">
        <v>0</v>
      </c>
      <c r="AA60" t="s">
        <v>423</v>
      </c>
      <c r="AB60" t="s">
        <v>158</v>
      </c>
      <c r="AC60" t="s">
        <v>106</v>
      </c>
      <c r="AD60" t="s">
        <v>107</v>
      </c>
      <c r="AE60" t="s">
        <v>108</v>
      </c>
      <c r="AF60" s="3">
        <v>18.398405075073242</v>
      </c>
      <c r="AI60">
        <v>101</v>
      </c>
      <c r="AJ60" t="s">
        <v>195</v>
      </c>
      <c r="AK60" t="b">
        <v>0</v>
      </c>
      <c r="AL60" t="s">
        <v>423</v>
      </c>
      <c r="AM60" t="s">
        <v>191</v>
      </c>
      <c r="AN60" t="s">
        <v>106</v>
      </c>
      <c r="AO60" t="s">
        <v>107</v>
      </c>
      <c r="AP60" t="s">
        <v>108</v>
      </c>
      <c r="AQ60" s="3">
        <v>20.419609069824219</v>
      </c>
      <c r="AT60">
        <v>117</v>
      </c>
      <c r="AU60" t="s">
        <v>209</v>
      </c>
      <c r="AV60" t="b">
        <v>0</v>
      </c>
      <c r="AW60" t="s">
        <v>423</v>
      </c>
      <c r="AX60" t="s">
        <v>204</v>
      </c>
      <c r="AY60" t="s">
        <v>106</v>
      </c>
      <c r="AZ60" t="s">
        <v>107</v>
      </c>
      <c r="BA60" t="s">
        <v>108</v>
      </c>
      <c r="BB60" s="3">
        <v>28.46075439453125</v>
      </c>
      <c r="BE60">
        <v>149</v>
      </c>
      <c r="BF60" t="s">
        <v>240</v>
      </c>
      <c r="BG60" t="b">
        <v>0</v>
      </c>
      <c r="BH60" t="s">
        <v>423</v>
      </c>
      <c r="BI60" t="s">
        <v>234</v>
      </c>
      <c r="BJ60" t="s">
        <v>106</v>
      </c>
      <c r="BK60" t="s">
        <v>107</v>
      </c>
      <c r="BL60" t="s">
        <v>108</v>
      </c>
      <c r="BM60" s="3">
        <v>34.592697143554688</v>
      </c>
      <c r="BQ60">
        <v>197</v>
      </c>
      <c r="BR60" t="s">
        <v>273</v>
      </c>
      <c r="BS60" t="b">
        <v>0</v>
      </c>
      <c r="BT60" t="s">
        <v>423</v>
      </c>
      <c r="BU60" t="s">
        <v>269</v>
      </c>
      <c r="BV60" t="s">
        <v>106</v>
      </c>
      <c r="BW60" t="s">
        <v>107</v>
      </c>
      <c r="BX60" t="s">
        <v>108</v>
      </c>
      <c r="BY60" s="3">
        <v>25.349145889282227</v>
      </c>
      <c r="CC60" s="1">
        <v>237</v>
      </c>
      <c r="CD60" s="1" t="s">
        <v>306</v>
      </c>
      <c r="CE60" s="1" t="s">
        <v>103</v>
      </c>
      <c r="CF60" s="1" t="s">
        <v>282</v>
      </c>
      <c r="CG60" s="1" t="s">
        <v>191</v>
      </c>
      <c r="CH60" s="1" t="s">
        <v>106</v>
      </c>
      <c r="CI60" s="1" t="s">
        <v>107</v>
      </c>
      <c r="CJ60" s="1" t="s">
        <v>108</v>
      </c>
      <c r="CK60" s="1" t="s">
        <v>235</v>
      </c>
      <c r="CO60">
        <v>245</v>
      </c>
      <c r="CP60" t="s">
        <v>315</v>
      </c>
      <c r="CQ60" t="b">
        <v>0</v>
      </c>
      <c r="CR60" t="s">
        <v>423</v>
      </c>
      <c r="CS60" t="s">
        <v>311</v>
      </c>
      <c r="CT60" t="s">
        <v>106</v>
      </c>
      <c r="CU60" t="s">
        <v>107</v>
      </c>
      <c r="CV60" t="s">
        <v>108</v>
      </c>
      <c r="CW60" t="s">
        <v>235</v>
      </c>
      <c r="DA60">
        <v>293</v>
      </c>
      <c r="DB60" t="s">
        <v>358</v>
      </c>
      <c r="DC60" t="b">
        <v>0</v>
      </c>
      <c r="DD60" t="s">
        <v>423</v>
      </c>
      <c r="DE60" t="s">
        <v>328</v>
      </c>
      <c r="DF60" t="s">
        <v>106</v>
      </c>
      <c r="DG60" t="s">
        <v>107</v>
      </c>
      <c r="DH60" t="s">
        <v>108</v>
      </c>
      <c r="DI60" s="3">
        <v>32.729091644287109</v>
      </c>
      <c r="DM60">
        <v>341</v>
      </c>
      <c r="DN60" t="s">
        <v>390</v>
      </c>
      <c r="DO60" t="b">
        <v>0</v>
      </c>
      <c r="DP60" t="s">
        <v>423</v>
      </c>
      <c r="DQ60" t="s">
        <v>332</v>
      </c>
      <c r="DR60" t="s">
        <v>106</v>
      </c>
      <c r="DS60" t="s">
        <v>107</v>
      </c>
      <c r="DT60" t="s">
        <v>108</v>
      </c>
      <c r="DU60" s="3">
        <v>22.543874740600586</v>
      </c>
    </row>
    <row r="61" spans="2:126" x14ac:dyDescent="0.25">
      <c r="B61" s="1">
        <v>29</v>
      </c>
      <c r="C61" t="s">
        <v>141</v>
      </c>
      <c r="D61" t="b">
        <v>0</v>
      </c>
      <c r="E61" t="s">
        <v>423</v>
      </c>
      <c r="F61" t="s">
        <v>105</v>
      </c>
      <c r="G61" t="s">
        <v>106</v>
      </c>
      <c r="H61" t="s">
        <v>107</v>
      </c>
      <c r="I61" t="s">
        <v>108</v>
      </c>
      <c r="J61" s="3">
        <v>23.328311920166016</v>
      </c>
      <c r="M61">
        <v>65</v>
      </c>
      <c r="N61" t="s">
        <v>170</v>
      </c>
      <c r="O61" t="b">
        <v>0</v>
      </c>
      <c r="P61" t="s">
        <v>426</v>
      </c>
      <c r="Q61" t="s">
        <v>129</v>
      </c>
      <c r="R61" t="s">
        <v>106</v>
      </c>
      <c r="S61" t="s">
        <v>107</v>
      </c>
      <c r="T61" t="s">
        <v>108</v>
      </c>
      <c r="U61" s="3">
        <v>18.554037094116211</v>
      </c>
      <c r="X61">
        <v>77</v>
      </c>
      <c r="Y61" t="s">
        <v>178</v>
      </c>
      <c r="Z61" t="b">
        <v>0</v>
      </c>
      <c r="AA61" t="s">
        <v>423</v>
      </c>
      <c r="AB61" t="s">
        <v>158</v>
      </c>
      <c r="AC61" t="s">
        <v>106</v>
      </c>
      <c r="AD61" t="s">
        <v>107</v>
      </c>
      <c r="AE61" t="s">
        <v>108</v>
      </c>
      <c r="AF61" s="3">
        <v>18.346296310424805</v>
      </c>
      <c r="AI61">
        <v>125</v>
      </c>
      <c r="AJ61" t="s">
        <v>217</v>
      </c>
      <c r="AK61" t="b">
        <v>0</v>
      </c>
      <c r="AL61" t="s">
        <v>423</v>
      </c>
      <c r="AM61" t="s">
        <v>191</v>
      </c>
      <c r="AN61" t="s">
        <v>106</v>
      </c>
      <c r="AO61" t="s">
        <v>107</v>
      </c>
      <c r="AP61" t="s">
        <v>108</v>
      </c>
      <c r="AQ61" s="3">
        <v>20.428749084472656</v>
      </c>
      <c r="AT61">
        <v>161</v>
      </c>
      <c r="AU61" t="s">
        <v>248</v>
      </c>
      <c r="AV61" t="b">
        <v>0</v>
      </c>
      <c r="AW61" t="s">
        <v>426</v>
      </c>
      <c r="AX61" t="s">
        <v>204</v>
      </c>
      <c r="AY61" t="s">
        <v>106</v>
      </c>
      <c r="AZ61" t="s">
        <v>107</v>
      </c>
      <c r="BA61" t="s">
        <v>108</v>
      </c>
      <c r="BB61" s="3">
        <v>27.881404876708984</v>
      </c>
      <c r="BE61">
        <v>173</v>
      </c>
      <c r="BF61" t="s">
        <v>256</v>
      </c>
      <c r="BG61" t="b">
        <v>0</v>
      </c>
      <c r="BH61" t="s">
        <v>423</v>
      </c>
      <c r="BI61" t="s">
        <v>234</v>
      </c>
      <c r="BJ61" t="s">
        <v>106</v>
      </c>
      <c r="BK61" t="s">
        <v>107</v>
      </c>
      <c r="BL61" t="s">
        <v>108</v>
      </c>
      <c r="BM61" s="3">
        <v>33.566997528076172</v>
      </c>
      <c r="BQ61">
        <v>221</v>
      </c>
      <c r="BR61" t="s">
        <v>294</v>
      </c>
      <c r="BS61" t="b">
        <v>0</v>
      </c>
      <c r="BT61" t="s">
        <v>423</v>
      </c>
      <c r="BU61" t="s">
        <v>269</v>
      </c>
      <c r="BV61" t="s">
        <v>106</v>
      </c>
      <c r="BW61" t="s">
        <v>107</v>
      </c>
      <c r="BX61" t="s">
        <v>108</v>
      </c>
      <c r="BY61" s="3">
        <v>25.477130889892578</v>
      </c>
      <c r="CC61" s="1">
        <v>281</v>
      </c>
      <c r="CD61" s="1" t="s">
        <v>346</v>
      </c>
      <c r="CE61" s="1" t="s">
        <v>103</v>
      </c>
      <c r="CF61" s="1" t="s">
        <v>282</v>
      </c>
      <c r="CG61" s="1" t="s">
        <v>269</v>
      </c>
      <c r="CH61" s="1" t="s">
        <v>106</v>
      </c>
      <c r="CI61" s="1" t="s">
        <v>107</v>
      </c>
      <c r="CJ61" s="1" t="s">
        <v>108</v>
      </c>
      <c r="CK61" s="1">
        <v>19.571000000000002</v>
      </c>
      <c r="CO61">
        <v>269</v>
      </c>
      <c r="CP61" t="s">
        <v>338</v>
      </c>
      <c r="CQ61" t="b">
        <v>0</v>
      </c>
      <c r="CR61" t="s">
        <v>423</v>
      </c>
      <c r="CS61" t="s">
        <v>311</v>
      </c>
      <c r="CT61" t="s">
        <v>106</v>
      </c>
      <c r="CU61" t="s">
        <v>107</v>
      </c>
      <c r="CV61" t="s">
        <v>108</v>
      </c>
      <c r="CW61" s="3">
        <v>33.262706756591797</v>
      </c>
      <c r="DA61">
        <v>317</v>
      </c>
      <c r="DB61" t="s">
        <v>374</v>
      </c>
      <c r="DC61" t="b">
        <v>0</v>
      </c>
      <c r="DD61" t="s">
        <v>423</v>
      </c>
      <c r="DE61" t="s">
        <v>328</v>
      </c>
      <c r="DF61" t="s">
        <v>106</v>
      </c>
      <c r="DG61" t="s">
        <v>107</v>
      </c>
      <c r="DH61" t="s">
        <v>108</v>
      </c>
      <c r="DI61" s="3">
        <v>34.654239654541016</v>
      </c>
      <c r="DM61">
        <v>365</v>
      </c>
      <c r="DN61" t="s">
        <v>402</v>
      </c>
      <c r="DO61" t="b">
        <v>0</v>
      </c>
      <c r="DP61" t="s">
        <v>423</v>
      </c>
      <c r="DQ61" t="s">
        <v>332</v>
      </c>
      <c r="DR61" t="s">
        <v>106</v>
      </c>
      <c r="DS61" t="s">
        <v>107</v>
      </c>
      <c r="DT61" t="s">
        <v>108</v>
      </c>
      <c r="DU61" s="3">
        <v>22.497089385986328</v>
      </c>
    </row>
    <row r="62" spans="2:126" x14ac:dyDescent="0.25">
      <c r="B62" s="1">
        <v>30</v>
      </c>
      <c r="C62" t="s">
        <v>118</v>
      </c>
      <c r="D62" t="b">
        <v>0</v>
      </c>
      <c r="E62" t="s">
        <v>423</v>
      </c>
      <c r="F62" t="s">
        <v>105</v>
      </c>
      <c r="G62" t="s">
        <v>106</v>
      </c>
      <c r="H62" t="s">
        <v>107</v>
      </c>
      <c r="I62" t="s">
        <v>108</v>
      </c>
      <c r="J62" s="3">
        <v>23.255229949951172</v>
      </c>
      <c r="M62">
        <v>22</v>
      </c>
      <c r="N62" t="s">
        <v>134</v>
      </c>
      <c r="O62" t="b">
        <v>0</v>
      </c>
      <c r="P62" t="s">
        <v>423</v>
      </c>
      <c r="Q62" t="s">
        <v>129</v>
      </c>
      <c r="R62" t="s">
        <v>106</v>
      </c>
      <c r="S62" t="s">
        <v>107</v>
      </c>
      <c r="T62" t="s">
        <v>108</v>
      </c>
      <c r="U62" s="3">
        <v>17.612838745117188</v>
      </c>
      <c r="X62">
        <v>54</v>
      </c>
      <c r="Y62" t="s">
        <v>163</v>
      </c>
      <c r="Z62" t="b">
        <v>0</v>
      </c>
      <c r="AA62" t="s">
        <v>423</v>
      </c>
      <c r="AB62" t="s">
        <v>158</v>
      </c>
      <c r="AC62" t="s">
        <v>106</v>
      </c>
      <c r="AD62" t="s">
        <v>107</v>
      </c>
      <c r="AE62" t="s">
        <v>108</v>
      </c>
      <c r="AF62" s="3">
        <v>18.322546005249023</v>
      </c>
      <c r="AI62">
        <v>102</v>
      </c>
      <c r="AJ62" t="s">
        <v>196</v>
      </c>
      <c r="AK62" t="b">
        <v>0</v>
      </c>
      <c r="AL62" t="s">
        <v>423</v>
      </c>
      <c r="AM62" t="s">
        <v>191</v>
      </c>
      <c r="AN62" t="s">
        <v>106</v>
      </c>
      <c r="AO62" t="s">
        <v>107</v>
      </c>
      <c r="AP62" t="s">
        <v>108</v>
      </c>
      <c r="AQ62" s="3">
        <v>20.556247711181641</v>
      </c>
      <c r="AT62">
        <v>118</v>
      </c>
      <c r="AU62" t="s">
        <v>210</v>
      </c>
      <c r="AV62" t="b">
        <v>0</v>
      </c>
      <c r="AW62" t="s">
        <v>423</v>
      </c>
      <c r="AX62" t="s">
        <v>204</v>
      </c>
      <c r="AY62" t="s">
        <v>106</v>
      </c>
      <c r="AZ62" t="s">
        <v>107</v>
      </c>
      <c r="BA62" t="s">
        <v>108</v>
      </c>
      <c r="BB62" s="3">
        <v>28.841800689697266</v>
      </c>
      <c r="BE62">
        <v>150</v>
      </c>
      <c r="BF62" t="s">
        <v>241</v>
      </c>
      <c r="BG62" t="b">
        <v>0</v>
      </c>
      <c r="BH62" t="s">
        <v>423</v>
      </c>
      <c r="BI62" t="s">
        <v>234</v>
      </c>
      <c r="BJ62" t="s">
        <v>106</v>
      </c>
      <c r="BK62" t="s">
        <v>107</v>
      </c>
      <c r="BL62" t="s">
        <v>108</v>
      </c>
      <c r="BM62" s="3">
        <v>36.538745880126953</v>
      </c>
      <c r="BQ62">
        <v>198</v>
      </c>
      <c r="BR62" t="s">
        <v>274</v>
      </c>
      <c r="BS62" t="b">
        <v>0</v>
      </c>
      <c r="BT62" t="s">
        <v>423</v>
      </c>
      <c r="BU62" t="s">
        <v>269</v>
      </c>
      <c r="BV62" t="s">
        <v>106</v>
      </c>
      <c r="BW62" t="s">
        <v>107</v>
      </c>
      <c r="BX62" t="s">
        <v>108</v>
      </c>
      <c r="BY62" s="3">
        <v>25.366334915161133</v>
      </c>
      <c r="CC62" s="1">
        <v>238</v>
      </c>
      <c r="CD62" s="1" t="s">
        <v>307</v>
      </c>
      <c r="CE62" s="1" t="s">
        <v>103</v>
      </c>
      <c r="CF62" s="1" t="s">
        <v>282</v>
      </c>
      <c r="CG62" s="1" t="s">
        <v>191</v>
      </c>
      <c r="CH62" s="1" t="s">
        <v>106</v>
      </c>
      <c r="CI62" s="1" t="s">
        <v>107</v>
      </c>
      <c r="CJ62" s="1" t="s">
        <v>108</v>
      </c>
      <c r="CK62" s="1">
        <v>36.485999999999997</v>
      </c>
      <c r="CO62">
        <v>246</v>
      </c>
      <c r="CP62" t="s">
        <v>316</v>
      </c>
      <c r="CQ62" t="b">
        <v>0</v>
      </c>
      <c r="CR62" t="s">
        <v>423</v>
      </c>
      <c r="CS62" t="s">
        <v>311</v>
      </c>
      <c r="CT62" t="s">
        <v>106</v>
      </c>
      <c r="CU62" t="s">
        <v>107</v>
      </c>
      <c r="CV62" t="s">
        <v>108</v>
      </c>
      <c r="CW62" s="3">
        <v>33.31268310546875</v>
      </c>
      <c r="DA62">
        <v>294</v>
      </c>
      <c r="DB62" t="s">
        <v>359</v>
      </c>
      <c r="DC62" t="b">
        <v>0</v>
      </c>
      <c r="DD62" t="s">
        <v>423</v>
      </c>
      <c r="DE62" t="s">
        <v>328</v>
      </c>
      <c r="DF62" t="s">
        <v>106</v>
      </c>
      <c r="DG62" t="s">
        <v>107</v>
      </c>
      <c r="DH62" t="s">
        <v>108</v>
      </c>
      <c r="DI62" t="s">
        <v>235</v>
      </c>
      <c r="DM62">
        <v>342</v>
      </c>
      <c r="DN62" t="s">
        <v>391</v>
      </c>
      <c r="DO62" t="b">
        <v>0</v>
      </c>
      <c r="DP62" t="s">
        <v>423</v>
      </c>
      <c r="DQ62" t="s">
        <v>332</v>
      </c>
      <c r="DR62" t="s">
        <v>106</v>
      </c>
      <c r="DS62" t="s">
        <v>107</v>
      </c>
      <c r="DT62" t="s">
        <v>108</v>
      </c>
      <c r="DU62" s="3">
        <v>22.538244247436523</v>
      </c>
    </row>
    <row r="63" spans="2:126" x14ac:dyDescent="0.25">
      <c r="B63" s="1">
        <v>30</v>
      </c>
      <c r="C63" t="s">
        <v>142</v>
      </c>
      <c r="D63" t="b">
        <v>0</v>
      </c>
      <c r="E63" t="s">
        <v>423</v>
      </c>
      <c r="F63" t="s">
        <v>105</v>
      </c>
      <c r="G63" t="s">
        <v>106</v>
      </c>
      <c r="H63" t="s">
        <v>107</v>
      </c>
      <c r="I63" t="s">
        <v>108</v>
      </c>
      <c r="J63" s="3">
        <v>23.306909561157227</v>
      </c>
      <c r="M63">
        <v>66</v>
      </c>
      <c r="N63" t="s">
        <v>171</v>
      </c>
      <c r="O63" t="b">
        <v>0</v>
      </c>
      <c r="P63" t="s">
        <v>426</v>
      </c>
      <c r="Q63" t="s">
        <v>129</v>
      </c>
      <c r="R63" t="s">
        <v>106</v>
      </c>
      <c r="S63" t="s">
        <v>107</v>
      </c>
      <c r="T63" t="s">
        <v>108</v>
      </c>
      <c r="U63" s="3">
        <v>18.580108642578125</v>
      </c>
      <c r="X63">
        <v>78</v>
      </c>
      <c r="Y63" t="s">
        <v>179</v>
      </c>
      <c r="Z63" t="b">
        <v>0</v>
      </c>
      <c r="AA63" t="s">
        <v>423</v>
      </c>
      <c r="AB63" t="s">
        <v>158</v>
      </c>
      <c r="AC63" t="s">
        <v>106</v>
      </c>
      <c r="AD63" t="s">
        <v>107</v>
      </c>
      <c r="AE63" t="s">
        <v>108</v>
      </c>
      <c r="AF63" s="3">
        <v>18.365066528320313</v>
      </c>
      <c r="AI63">
        <v>126</v>
      </c>
      <c r="AJ63" t="s">
        <v>218</v>
      </c>
      <c r="AK63" t="b">
        <v>0</v>
      </c>
      <c r="AL63" t="s">
        <v>423</v>
      </c>
      <c r="AM63" t="s">
        <v>191</v>
      </c>
      <c r="AN63" t="s">
        <v>106</v>
      </c>
      <c r="AO63" t="s">
        <v>107</v>
      </c>
      <c r="AP63" t="s">
        <v>108</v>
      </c>
      <c r="AQ63" s="3">
        <v>20.464265823364258</v>
      </c>
      <c r="AT63">
        <v>162</v>
      </c>
      <c r="AU63" t="s">
        <v>249</v>
      </c>
      <c r="AV63" t="b">
        <v>0</v>
      </c>
      <c r="AW63" t="s">
        <v>426</v>
      </c>
      <c r="AX63" t="s">
        <v>204</v>
      </c>
      <c r="AY63" t="s">
        <v>106</v>
      </c>
      <c r="AZ63" t="s">
        <v>107</v>
      </c>
      <c r="BA63" t="s">
        <v>108</v>
      </c>
      <c r="BB63" s="3">
        <v>28.013263702392578</v>
      </c>
      <c r="BE63">
        <v>174</v>
      </c>
      <c r="BF63" t="s">
        <v>257</v>
      </c>
      <c r="BG63" t="b">
        <v>0</v>
      </c>
      <c r="BH63" t="s">
        <v>423</v>
      </c>
      <c r="BI63" t="s">
        <v>234</v>
      </c>
      <c r="BJ63" t="s">
        <v>106</v>
      </c>
      <c r="BK63" t="s">
        <v>107</v>
      </c>
      <c r="BL63" t="s">
        <v>108</v>
      </c>
      <c r="BM63" s="3">
        <v>32.871662139892578</v>
      </c>
      <c r="BQ63">
        <v>222</v>
      </c>
      <c r="BR63" t="s">
        <v>295</v>
      </c>
      <c r="BS63" t="b">
        <v>0</v>
      </c>
      <c r="BT63" t="s">
        <v>423</v>
      </c>
      <c r="BU63" t="s">
        <v>269</v>
      </c>
      <c r="BV63" t="s">
        <v>106</v>
      </c>
      <c r="BW63" t="s">
        <v>107</v>
      </c>
      <c r="BX63" t="s">
        <v>108</v>
      </c>
      <c r="BY63" s="3">
        <v>25.546459197998047</v>
      </c>
      <c r="CC63" s="1">
        <v>282</v>
      </c>
      <c r="CD63" s="1" t="s">
        <v>347</v>
      </c>
      <c r="CE63" s="1" t="s">
        <v>103</v>
      </c>
      <c r="CF63" s="1" t="s">
        <v>282</v>
      </c>
      <c r="CG63" s="1" t="s">
        <v>269</v>
      </c>
      <c r="CH63" s="1" t="s">
        <v>106</v>
      </c>
      <c r="CI63" s="1" t="s">
        <v>107</v>
      </c>
      <c r="CJ63" s="1" t="s">
        <v>108</v>
      </c>
      <c r="CK63" s="1" t="s">
        <v>235</v>
      </c>
      <c r="CO63">
        <v>270</v>
      </c>
      <c r="CP63" t="s">
        <v>339</v>
      </c>
      <c r="CQ63" t="b">
        <v>0</v>
      </c>
      <c r="CR63" t="s">
        <v>423</v>
      </c>
      <c r="CS63" t="s">
        <v>311</v>
      </c>
      <c r="CT63" t="s">
        <v>106</v>
      </c>
      <c r="CU63" t="s">
        <v>107</v>
      </c>
      <c r="CV63" t="s">
        <v>108</v>
      </c>
      <c r="CW63" s="3">
        <v>33.139896392822266</v>
      </c>
      <c r="DA63">
        <v>318</v>
      </c>
      <c r="DB63" t="s">
        <v>375</v>
      </c>
      <c r="DC63" t="b">
        <v>0</v>
      </c>
      <c r="DD63" t="s">
        <v>423</v>
      </c>
      <c r="DE63" t="s">
        <v>328</v>
      </c>
      <c r="DF63" t="s">
        <v>106</v>
      </c>
      <c r="DG63" t="s">
        <v>107</v>
      </c>
      <c r="DH63" t="s">
        <v>108</v>
      </c>
      <c r="DI63" t="s">
        <v>235</v>
      </c>
      <c r="DM63">
        <v>366</v>
      </c>
      <c r="DN63" t="s">
        <v>403</v>
      </c>
      <c r="DO63" t="b">
        <v>0</v>
      </c>
      <c r="DP63" t="s">
        <v>423</v>
      </c>
      <c r="DQ63" t="s">
        <v>332</v>
      </c>
      <c r="DR63" t="s">
        <v>106</v>
      </c>
      <c r="DS63" t="s">
        <v>107</v>
      </c>
      <c r="DT63" t="s">
        <v>108</v>
      </c>
      <c r="DU63" s="3">
        <v>22.531906127929688</v>
      </c>
    </row>
    <row r="64" spans="2:126" x14ac:dyDescent="0.25">
      <c r="B64" s="1">
        <v>31</v>
      </c>
      <c r="C64" t="s">
        <v>119</v>
      </c>
      <c r="D64" t="b">
        <v>0</v>
      </c>
      <c r="E64" t="s">
        <v>425</v>
      </c>
      <c r="F64" t="s">
        <v>105</v>
      </c>
      <c r="G64" t="s">
        <v>106</v>
      </c>
      <c r="H64" t="s">
        <v>107</v>
      </c>
      <c r="I64" t="s">
        <v>108</v>
      </c>
      <c r="J64" s="3">
        <v>23.504146575927734</v>
      </c>
      <c r="M64">
        <v>23</v>
      </c>
      <c r="N64" t="s">
        <v>135</v>
      </c>
      <c r="O64" t="b">
        <v>0</v>
      </c>
      <c r="P64" t="s">
        <v>425</v>
      </c>
      <c r="Q64" t="s">
        <v>129</v>
      </c>
      <c r="R64" t="s">
        <v>106</v>
      </c>
      <c r="S64" t="s">
        <v>107</v>
      </c>
      <c r="T64" t="s">
        <v>108</v>
      </c>
      <c r="U64" s="3">
        <v>17.712419509887695</v>
      </c>
      <c r="X64">
        <v>55</v>
      </c>
      <c r="Y64" t="s">
        <v>164</v>
      </c>
      <c r="Z64" t="b">
        <v>0</v>
      </c>
      <c r="AA64" t="s">
        <v>425</v>
      </c>
      <c r="AB64" t="s">
        <v>158</v>
      </c>
      <c r="AC64" t="s">
        <v>106</v>
      </c>
      <c r="AD64" t="s">
        <v>107</v>
      </c>
      <c r="AE64" t="s">
        <v>108</v>
      </c>
      <c r="AF64" s="3">
        <v>18.434070587158203</v>
      </c>
      <c r="AI64">
        <v>103</v>
      </c>
      <c r="AJ64" t="s">
        <v>197</v>
      </c>
      <c r="AK64" t="b">
        <v>0</v>
      </c>
      <c r="AL64" t="s">
        <v>425</v>
      </c>
      <c r="AM64" t="s">
        <v>191</v>
      </c>
      <c r="AN64" t="s">
        <v>106</v>
      </c>
      <c r="AO64" t="s">
        <v>107</v>
      </c>
      <c r="AP64" t="s">
        <v>108</v>
      </c>
      <c r="AQ64" s="3">
        <v>20.741817474365234</v>
      </c>
      <c r="AT64">
        <v>119</v>
      </c>
      <c r="AU64" t="s">
        <v>211</v>
      </c>
      <c r="AV64" t="b">
        <v>0</v>
      </c>
      <c r="AW64" t="s">
        <v>425</v>
      </c>
      <c r="AX64" t="s">
        <v>204</v>
      </c>
      <c r="AY64" t="s">
        <v>106</v>
      </c>
      <c r="AZ64" t="s">
        <v>107</v>
      </c>
      <c r="BA64" t="s">
        <v>108</v>
      </c>
      <c r="BB64" s="3">
        <v>28.691570281982422</v>
      </c>
      <c r="BE64">
        <v>151</v>
      </c>
      <c r="BF64" t="s">
        <v>242</v>
      </c>
      <c r="BG64" t="b">
        <v>0</v>
      </c>
      <c r="BH64" t="s">
        <v>425</v>
      </c>
      <c r="BI64" t="s">
        <v>234</v>
      </c>
      <c r="BJ64" t="s">
        <v>106</v>
      </c>
      <c r="BK64" t="s">
        <v>107</v>
      </c>
      <c r="BL64" t="s">
        <v>108</v>
      </c>
      <c r="BM64" s="3">
        <v>33.271373748779297</v>
      </c>
      <c r="BQ64">
        <v>199</v>
      </c>
      <c r="BR64" t="s">
        <v>275</v>
      </c>
      <c r="BS64" t="b">
        <v>0</v>
      </c>
      <c r="BT64" t="s">
        <v>425</v>
      </c>
      <c r="BU64" t="s">
        <v>269</v>
      </c>
      <c r="BV64" t="s">
        <v>106</v>
      </c>
      <c r="BW64" t="s">
        <v>107</v>
      </c>
      <c r="BX64" t="s">
        <v>108</v>
      </c>
      <c r="BY64" s="3">
        <v>25.445144653320313</v>
      </c>
      <c r="CC64" s="1">
        <v>239</v>
      </c>
      <c r="CD64" s="1" t="s">
        <v>308</v>
      </c>
      <c r="CE64" s="1" t="s">
        <v>103</v>
      </c>
      <c r="CF64" s="1" t="s">
        <v>282</v>
      </c>
      <c r="CG64" s="1" t="s">
        <v>234</v>
      </c>
      <c r="CH64" s="1" t="s">
        <v>106</v>
      </c>
      <c r="CI64" s="1" t="s">
        <v>107</v>
      </c>
      <c r="CJ64" s="1" t="s">
        <v>108</v>
      </c>
      <c r="CK64" s="1">
        <v>21.722999999999999</v>
      </c>
      <c r="CO64">
        <v>247</v>
      </c>
      <c r="CP64" t="s">
        <v>317</v>
      </c>
      <c r="CQ64" t="b">
        <v>0</v>
      </c>
      <c r="CR64" t="s">
        <v>425</v>
      </c>
      <c r="CS64" t="s">
        <v>311</v>
      </c>
      <c r="CT64" t="s">
        <v>106</v>
      </c>
      <c r="CU64" t="s">
        <v>107</v>
      </c>
      <c r="CV64" t="s">
        <v>108</v>
      </c>
      <c r="CW64" s="3">
        <v>31.63286018371582</v>
      </c>
      <c r="DA64">
        <v>295</v>
      </c>
      <c r="DB64" t="s">
        <v>360</v>
      </c>
      <c r="DC64" t="b">
        <v>0</v>
      </c>
      <c r="DD64" t="s">
        <v>425</v>
      </c>
      <c r="DE64" t="s">
        <v>328</v>
      </c>
      <c r="DF64" t="s">
        <v>106</v>
      </c>
      <c r="DG64" t="s">
        <v>107</v>
      </c>
      <c r="DH64" t="s">
        <v>108</v>
      </c>
      <c r="DI64" t="s">
        <v>235</v>
      </c>
      <c r="DM64">
        <v>343</v>
      </c>
      <c r="DN64" t="s">
        <v>392</v>
      </c>
      <c r="DO64" t="b">
        <v>0</v>
      </c>
      <c r="DP64" t="s">
        <v>425</v>
      </c>
      <c r="DQ64" t="s">
        <v>332</v>
      </c>
      <c r="DR64" t="s">
        <v>106</v>
      </c>
      <c r="DS64" t="s">
        <v>107</v>
      </c>
      <c r="DT64" t="s">
        <v>108</v>
      </c>
      <c r="DU64" s="3">
        <v>22.504655838012695</v>
      </c>
    </row>
    <row r="65" spans="2:125" x14ac:dyDescent="0.25">
      <c r="B65" s="1">
        <v>31</v>
      </c>
      <c r="C65" t="s">
        <v>143</v>
      </c>
      <c r="D65" t="b">
        <v>0</v>
      </c>
      <c r="E65" t="s">
        <v>425</v>
      </c>
      <c r="F65" t="s">
        <v>105</v>
      </c>
      <c r="G65" t="s">
        <v>106</v>
      </c>
      <c r="H65" t="s">
        <v>107</v>
      </c>
      <c r="I65" t="s">
        <v>108</v>
      </c>
      <c r="J65" s="3">
        <v>23.47443962097168</v>
      </c>
      <c r="M65">
        <v>67</v>
      </c>
      <c r="N65" t="s">
        <v>172</v>
      </c>
      <c r="O65" t="b">
        <v>0</v>
      </c>
      <c r="P65" t="s">
        <v>427</v>
      </c>
      <c r="Q65" t="s">
        <v>129</v>
      </c>
      <c r="R65" t="s">
        <v>106</v>
      </c>
      <c r="S65" t="s">
        <v>107</v>
      </c>
      <c r="T65" t="s">
        <v>108</v>
      </c>
      <c r="U65" s="3">
        <v>18.637588500976563</v>
      </c>
      <c r="X65">
        <v>79</v>
      </c>
      <c r="Y65" t="s">
        <v>180</v>
      </c>
      <c r="Z65" t="b">
        <v>0</v>
      </c>
      <c r="AA65" t="s">
        <v>425</v>
      </c>
      <c r="AB65" t="s">
        <v>158</v>
      </c>
      <c r="AC65" t="s">
        <v>106</v>
      </c>
      <c r="AD65" t="s">
        <v>107</v>
      </c>
      <c r="AE65" t="s">
        <v>108</v>
      </c>
      <c r="AF65" s="3">
        <v>18.428445816040039</v>
      </c>
      <c r="AI65">
        <v>127</v>
      </c>
      <c r="AJ65" t="s">
        <v>219</v>
      </c>
      <c r="AK65" t="b">
        <v>0</v>
      </c>
      <c r="AL65" t="s">
        <v>425</v>
      </c>
      <c r="AM65" t="s">
        <v>191</v>
      </c>
      <c r="AN65" t="s">
        <v>106</v>
      </c>
      <c r="AO65" t="s">
        <v>107</v>
      </c>
      <c r="AP65" t="s">
        <v>108</v>
      </c>
      <c r="AQ65" s="3">
        <v>20.745397567749023</v>
      </c>
      <c r="AT65">
        <v>163</v>
      </c>
      <c r="AU65" t="s">
        <v>250</v>
      </c>
      <c r="AV65" t="b">
        <v>0</v>
      </c>
      <c r="AW65" t="s">
        <v>427</v>
      </c>
      <c r="AX65" t="s">
        <v>204</v>
      </c>
      <c r="AY65" t="s">
        <v>106</v>
      </c>
      <c r="AZ65" t="s">
        <v>107</v>
      </c>
      <c r="BA65" t="s">
        <v>108</v>
      </c>
      <c r="BB65" s="3">
        <v>27.973781585693359</v>
      </c>
      <c r="BE65">
        <v>175</v>
      </c>
      <c r="BF65" t="s">
        <v>258</v>
      </c>
      <c r="BG65" t="b">
        <v>0</v>
      </c>
      <c r="BH65" t="s">
        <v>425</v>
      </c>
      <c r="BI65" t="s">
        <v>234</v>
      </c>
      <c r="BJ65" t="s">
        <v>106</v>
      </c>
      <c r="BK65" t="s">
        <v>107</v>
      </c>
      <c r="BL65" t="s">
        <v>108</v>
      </c>
      <c r="BM65" s="3">
        <v>33.189083099365234</v>
      </c>
      <c r="BQ65">
        <v>223</v>
      </c>
      <c r="BR65" t="s">
        <v>296</v>
      </c>
      <c r="BS65" t="b">
        <v>0</v>
      </c>
      <c r="BT65" t="s">
        <v>425</v>
      </c>
      <c r="BU65" t="s">
        <v>269</v>
      </c>
      <c r="BV65" t="s">
        <v>106</v>
      </c>
      <c r="BW65" t="s">
        <v>107</v>
      </c>
      <c r="BX65" t="s">
        <v>108</v>
      </c>
      <c r="BY65" s="3">
        <v>25.484106063842773</v>
      </c>
      <c r="CC65" s="1">
        <v>283</v>
      </c>
      <c r="CD65" s="1" t="s">
        <v>348</v>
      </c>
      <c r="CE65" s="1" t="s">
        <v>103</v>
      </c>
      <c r="CF65" s="1" t="s">
        <v>282</v>
      </c>
      <c r="CG65" s="1" t="s">
        <v>311</v>
      </c>
      <c r="CH65" s="1" t="s">
        <v>106</v>
      </c>
      <c r="CI65" s="1" t="s">
        <v>107</v>
      </c>
      <c r="CJ65" s="1" t="s">
        <v>108</v>
      </c>
      <c r="CK65" s="1" t="s">
        <v>235</v>
      </c>
      <c r="CO65">
        <v>271</v>
      </c>
      <c r="CP65" t="s">
        <v>340</v>
      </c>
      <c r="CQ65" t="b">
        <v>0</v>
      </c>
      <c r="CR65" t="s">
        <v>425</v>
      </c>
      <c r="CS65" t="s">
        <v>311</v>
      </c>
      <c r="CT65" t="s">
        <v>106</v>
      </c>
      <c r="CU65" t="s">
        <v>107</v>
      </c>
      <c r="CV65" t="s">
        <v>108</v>
      </c>
      <c r="CW65" s="3">
        <v>31.948263168334961</v>
      </c>
      <c r="DA65">
        <v>319</v>
      </c>
      <c r="DB65" t="s">
        <v>376</v>
      </c>
      <c r="DC65" t="b">
        <v>0</v>
      </c>
      <c r="DD65" t="s">
        <v>425</v>
      </c>
      <c r="DE65" t="s">
        <v>328</v>
      </c>
      <c r="DF65" t="s">
        <v>106</v>
      </c>
      <c r="DG65" t="s">
        <v>107</v>
      </c>
      <c r="DH65" t="s">
        <v>108</v>
      </c>
      <c r="DI65" s="3">
        <v>32.693935394287109</v>
      </c>
      <c r="DM65">
        <v>367</v>
      </c>
      <c r="DN65" t="s">
        <v>404</v>
      </c>
      <c r="DO65" t="b">
        <v>0</v>
      </c>
      <c r="DP65" t="s">
        <v>425</v>
      </c>
      <c r="DQ65" t="s">
        <v>332</v>
      </c>
      <c r="DR65" t="s">
        <v>106</v>
      </c>
      <c r="DS65" t="s">
        <v>107</v>
      </c>
      <c r="DT65" t="s">
        <v>108</v>
      </c>
      <c r="DU65" s="3">
        <v>22.53801155090332</v>
      </c>
    </row>
    <row r="66" spans="2:125" x14ac:dyDescent="0.25">
      <c r="B66" s="1">
        <v>32</v>
      </c>
      <c r="C66" t="s">
        <v>121</v>
      </c>
      <c r="D66" t="b">
        <v>0</v>
      </c>
      <c r="E66" t="s">
        <v>425</v>
      </c>
      <c r="F66" t="s">
        <v>105</v>
      </c>
      <c r="G66" t="s">
        <v>106</v>
      </c>
      <c r="H66" t="s">
        <v>107</v>
      </c>
      <c r="I66" t="s">
        <v>108</v>
      </c>
      <c r="J66" s="3">
        <v>23.542083740234375</v>
      </c>
      <c r="M66">
        <v>24</v>
      </c>
      <c r="N66" t="s">
        <v>136</v>
      </c>
      <c r="O66" t="b">
        <v>0</v>
      </c>
      <c r="P66" t="s">
        <v>425</v>
      </c>
      <c r="Q66" t="s">
        <v>129</v>
      </c>
      <c r="R66" t="s">
        <v>106</v>
      </c>
      <c r="S66" t="s">
        <v>107</v>
      </c>
      <c r="T66" t="s">
        <v>108</v>
      </c>
      <c r="U66" s="3">
        <v>17.708463668823242</v>
      </c>
      <c r="X66">
        <v>56</v>
      </c>
      <c r="Y66" t="s">
        <v>165</v>
      </c>
      <c r="Z66" t="b">
        <v>0</v>
      </c>
      <c r="AA66" t="s">
        <v>425</v>
      </c>
      <c r="AB66" t="s">
        <v>158</v>
      </c>
      <c r="AC66" t="s">
        <v>106</v>
      </c>
      <c r="AD66" t="s">
        <v>107</v>
      </c>
      <c r="AE66" t="s">
        <v>108</v>
      </c>
      <c r="AF66" s="3">
        <v>18.419256210327148</v>
      </c>
      <c r="AI66">
        <v>104</v>
      </c>
      <c r="AJ66" t="s">
        <v>198</v>
      </c>
      <c r="AK66" t="b">
        <v>0</v>
      </c>
      <c r="AL66" t="s">
        <v>425</v>
      </c>
      <c r="AM66" t="s">
        <v>191</v>
      </c>
      <c r="AN66" t="s">
        <v>106</v>
      </c>
      <c r="AO66" t="s">
        <v>107</v>
      </c>
      <c r="AP66" t="s">
        <v>108</v>
      </c>
      <c r="AQ66" s="3">
        <v>20.726049423217773</v>
      </c>
      <c r="AT66">
        <v>120</v>
      </c>
      <c r="AU66" t="s">
        <v>212</v>
      </c>
      <c r="AV66" t="b">
        <v>0</v>
      </c>
      <c r="AW66" t="s">
        <v>425</v>
      </c>
      <c r="AX66" t="s">
        <v>204</v>
      </c>
      <c r="AY66" t="s">
        <v>106</v>
      </c>
      <c r="AZ66" t="s">
        <v>107</v>
      </c>
      <c r="BA66" t="s">
        <v>108</v>
      </c>
      <c r="BB66" s="3">
        <v>28.319736480712891</v>
      </c>
      <c r="BE66">
        <v>152</v>
      </c>
      <c r="BF66" t="s">
        <v>243</v>
      </c>
      <c r="BG66" t="b">
        <v>0</v>
      </c>
      <c r="BH66" t="s">
        <v>425</v>
      </c>
      <c r="BI66" t="s">
        <v>234</v>
      </c>
      <c r="BJ66" t="s">
        <v>106</v>
      </c>
      <c r="BK66" t="s">
        <v>107</v>
      </c>
      <c r="BL66" t="s">
        <v>108</v>
      </c>
      <c r="BM66" s="3">
        <v>34.00146484375</v>
      </c>
      <c r="BQ66">
        <v>200</v>
      </c>
      <c r="BR66" t="s">
        <v>276</v>
      </c>
      <c r="BS66" t="b">
        <v>0</v>
      </c>
      <c r="BT66" t="s">
        <v>425</v>
      </c>
      <c r="BU66" t="s">
        <v>269</v>
      </c>
      <c r="BV66" t="s">
        <v>106</v>
      </c>
      <c r="BW66" t="s">
        <v>107</v>
      </c>
      <c r="BX66" t="s">
        <v>108</v>
      </c>
      <c r="BY66" s="3">
        <v>25.337503433227539</v>
      </c>
      <c r="CC66" s="1">
        <v>240</v>
      </c>
      <c r="CD66" s="1" t="s">
        <v>309</v>
      </c>
      <c r="CE66" s="1" t="s">
        <v>103</v>
      </c>
      <c r="CF66" s="1" t="s">
        <v>282</v>
      </c>
      <c r="CG66" s="1" t="s">
        <v>234</v>
      </c>
      <c r="CH66" s="1" t="s">
        <v>106</v>
      </c>
      <c r="CI66" s="1" t="s">
        <v>107</v>
      </c>
      <c r="CJ66" s="1" t="s">
        <v>108</v>
      </c>
      <c r="CK66" s="1">
        <v>29.298999999999999</v>
      </c>
      <c r="CO66">
        <v>248</v>
      </c>
      <c r="CP66" t="s">
        <v>318</v>
      </c>
      <c r="CQ66" t="b">
        <v>0</v>
      </c>
      <c r="CR66" t="s">
        <v>425</v>
      </c>
      <c r="CS66" t="s">
        <v>311</v>
      </c>
      <c r="CT66" t="s">
        <v>106</v>
      </c>
      <c r="CU66" t="s">
        <v>107</v>
      </c>
      <c r="CV66" t="s">
        <v>108</v>
      </c>
      <c r="CW66" t="s">
        <v>235</v>
      </c>
      <c r="DA66">
        <v>296</v>
      </c>
      <c r="DB66" t="s">
        <v>361</v>
      </c>
      <c r="DC66" t="b">
        <v>0</v>
      </c>
      <c r="DD66" t="s">
        <v>425</v>
      </c>
      <c r="DE66" t="s">
        <v>328</v>
      </c>
      <c r="DF66" t="s">
        <v>106</v>
      </c>
      <c r="DG66" t="s">
        <v>107</v>
      </c>
      <c r="DH66" t="s">
        <v>108</v>
      </c>
      <c r="DI66" s="3">
        <v>33.587936401367188</v>
      </c>
      <c r="DM66">
        <v>344</v>
      </c>
      <c r="DN66" t="s">
        <v>393</v>
      </c>
      <c r="DO66" t="b">
        <v>0</v>
      </c>
      <c r="DP66" t="s">
        <v>425</v>
      </c>
      <c r="DQ66" t="s">
        <v>332</v>
      </c>
      <c r="DR66" t="s">
        <v>106</v>
      </c>
      <c r="DS66" t="s">
        <v>107</v>
      </c>
      <c r="DT66" t="s">
        <v>108</v>
      </c>
      <c r="DU66" s="3">
        <v>22.499790191650391</v>
      </c>
    </row>
    <row r="67" spans="2:125" x14ac:dyDescent="0.25">
      <c r="B67" s="1">
        <v>32</v>
      </c>
      <c r="C67" t="s">
        <v>144</v>
      </c>
      <c r="D67" t="b">
        <v>0</v>
      </c>
      <c r="E67" t="s">
        <v>425</v>
      </c>
      <c r="F67" t="s">
        <v>105</v>
      </c>
      <c r="G67" t="s">
        <v>106</v>
      </c>
      <c r="H67" t="s">
        <v>107</v>
      </c>
      <c r="I67" t="s">
        <v>108</v>
      </c>
      <c r="J67" s="3">
        <v>23.382410049438477</v>
      </c>
      <c r="M67">
        <v>68</v>
      </c>
      <c r="N67" t="s">
        <v>173</v>
      </c>
      <c r="O67" t="b">
        <v>0</v>
      </c>
      <c r="P67" t="s">
        <v>427</v>
      </c>
      <c r="Q67" t="s">
        <v>129</v>
      </c>
      <c r="R67" t="s">
        <v>106</v>
      </c>
      <c r="S67" t="s">
        <v>107</v>
      </c>
      <c r="T67" t="s">
        <v>108</v>
      </c>
      <c r="U67" s="3">
        <v>18.6053466796875</v>
      </c>
      <c r="X67">
        <v>80</v>
      </c>
      <c r="Y67" t="s">
        <v>181</v>
      </c>
      <c r="Z67" t="b">
        <v>0</v>
      </c>
      <c r="AA67" t="s">
        <v>425</v>
      </c>
      <c r="AB67" t="s">
        <v>158</v>
      </c>
      <c r="AC67" t="s">
        <v>106</v>
      </c>
      <c r="AD67" t="s">
        <v>107</v>
      </c>
      <c r="AE67" t="s">
        <v>108</v>
      </c>
      <c r="AF67" s="3">
        <v>18.426517486572266</v>
      </c>
      <c r="AI67">
        <v>128</v>
      </c>
      <c r="AJ67" t="s">
        <v>220</v>
      </c>
      <c r="AK67" t="b">
        <v>0</v>
      </c>
      <c r="AL67" t="s">
        <v>425</v>
      </c>
      <c r="AM67" t="s">
        <v>191</v>
      </c>
      <c r="AN67" t="s">
        <v>106</v>
      </c>
      <c r="AO67" t="s">
        <v>107</v>
      </c>
      <c r="AP67" t="s">
        <v>108</v>
      </c>
      <c r="AQ67" s="3">
        <v>20.679983139038086</v>
      </c>
      <c r="AT67">
        <v>164</v>
      </c>
      <c r="AU67" t="s">
        <v>251</v>
      </c>
      <c r="AV67" t="b">
        <v>0</v>
      </c>
      <c r="AW67" t="s">
        <v>427</v>
      </c>
      <c r="AX67" t="s">
        <v>204</v>
      </c>
      <c r="AY67" t="s">
        <v>106</v>
      </c>
      <c r="AZ67" t="s">
        <v>107</v>
      </c>
      <c r="BA67" t="s">
        <v>108</v>
      </c>
      <c r="BB67" s="3">
        <v>27.907535552978516</v>
      </c>
      <c r="BE67">
        <v>176</v>
      </c>
      <c r="BF67" t="s">
        <v>259</v>
      </c>
      <c r="BG67" t="b">
        <v>0</v>
      </c>
      <c r="BH67" t="s">
        <v>425</v>
      </c>
      <c r="BI67" t="s">
        <v>234</v>
      </c>
      <c r="BJ67" t="s">
        <v>106</v>
      </c>
      <c r="BK67" t="s">
        <v>107</v>
      </c>
      <c r="BL67" t="s">
        <v>108</v>
      </c>
      <c r="BM67" t="s">
        <v>235</v>
      </c>
      <c r="BQ67">
        <v>224</v>
      </c>
      <c r="BR67" t="s">
        <v>297</v>
      </c>
      <c r="BS67" t="b">
        <v>0</v>
      </c>
      <c r="BT67" t="s">
        <v>425</v>
      </c>
      <c r="BU67" t="s">
        <v>269</v>
      </c>
      <c r="BV67" t="s">
        <v>106</v>
      </c>
      <c r="BW67" t="s">
        <v>107</v>
      </c>
      <c r="BX67" t="s">
        <v>108</v>
      </c>
      <c r="BY67" s="3">
        <v>25.534074783325195</v>
      </c>
      <c r="CC67" s="1">
        <v>284</v>
      </c>
      <c r="CD67" s="1" t="s">
        <v>349</v>
      </c>
      <c r="CE67" s="1" t="s">
        <v>103</v>
      </c>
      <c r="CF67" s="1" t="s">
        <v>282</v>
      </c>
      <c r="CG67" s="1" t="s">
        <v>311</v>
      </c>
      <c r="CH67" s="1" t="s">
        <v>106</v>
      </c>
      <c r="CI67" s="1" t="s">
        <v>107</v>
      </c>
      <c r="CJ67" s="1" t="s">
        <v>108</v>
      </c>
      <c r="CK67" s="1" t="s">
        <v>235</v>
      </c>
      <c r="CO67">
        <v>272</v>
      </c>
      <c r="CP67" t="s">
        <v>341</v>
      </c>
      <c r="CQ67" t="b">
        <v>0</v>
      </c>
      <c r="CR67" t="s">
        <v>425</v>
      </c>
      <c r="CS67" t="s">
        <v>311</v>
      </c>
      <c r="CT67" t="s">
        <v>106</v>
      </c>
      <c r="CU67" t="s">
        <v>107</v>
      </c>
      <c r="CV67" t="s">
        <v>108</v>
      </c>
      <c r="CW67" s="3">
        <v>33.782150268554688</v>
      </c>
      <c r="DA67">
        <v>320</v>
      </c>
      <c r="DB67" t="s">
        <v>377</v>
      </c>
      <c r="DC67" t="b">
        <v>0</v>
      </c>
      <c r="DD67" t="s">
        <v>425</v>
      </c>
      <c r="DE67" t="s">
        <v>328</v>
      </c>
      <c r="DF67" t="s">
        <v>106</v>
      </c>
      <c r="DG67" t="s">
        <v>107</v>
      </c>
      <c r="DH67" t="s">
        <v>108</v>
      </c>
      <c r="DI67" t="s">
        <v>235</v>
      </c>
      <c r="DM67">
        <v>368</v>
      </c>
      <c r="DN67" t="s">
        <v>405</v>
      </c>
      <c r="DO67" t="b">
        <v>0</v>
      </c>
      <c r="DP67" t="s">
        <v>425</v>
      </c>
      <c r="DQ67" t="s">
        <v>332</v>
      </c>
      <c r="DR67" t="s">
        <v>106</v>
      </c>
      <c r="DS67" t="s">
        <v>107</v>
      </c>
      <c r="DT67" t="s">
        <v>108</v>
      </c>
      <c r="DU67" s="3">
        <v>22.515068054199219</v>
      </c>
    </row>
    <row r="68" spans="2:125" x14ac:dyDescent="0.25">
      <c r="B68" s="1">
        <v>33</v>
      </c>
      <c r="C68" t="s">
        <v>122</v>
      </c>
      <c r="D68" t="b">
        <v>0</v>
      </c>
      <c r="E68" t="s">
        <v>426</v>
      </c>
      <c r="F68" t="s">
        <v>105</v>
      </c>
      <c r="G68" t="s">
        <v>106</v>
      </c>
      <c r="H68" t="s">
        <v>107</v>
      </c>
      <c r="I68" t="s">
        <v>108</v>
      </c>
      <c r="J68" s="3">
        <v>24.009971618652344</v>
      </c>
      <c r="M68">
        <v>41</v>
      </c>
      <c r="N68" t="s">
        <v>149</v>
      </c>
      <c r="O68" t="b">
        <v>0</v>
      </c>
      <c r="P68" t="s">
        <v>422</v>
      </c>
      <c r="Q68" t="s">
        <v>129</v>
      </c>
      <c r="R68" t="s">
        <v>106</v>
      </c>
      <c r="S68" t="s">
        <v>107</v>
      </c>
      <c r="T68" t="s">
        <v>108</v>
      </c>
      <c r="U68" s="3">
        <v>17.91816520690918</v>
      </c>
      <c r="X68">
        <v>57</v>
      </c>
      <c r="Y68" t="s">
        <v>166</v>
      </c>
      <c r="Z68" t="b">
        <v>0</v>
      </c>
      <c r="AA68" t="s">
        <v>426</v>
      </c>
      <c r="AB68" t="s">
        <v>158</v>
      </c>
      <c r="AC68" t="s">
        <v>106</v>
      </c>
      <c r="AD68" t="s">
        <v>107</v>
      </c>
      <c r="AE68" t="s">
        <v>108</v>
      </c>
      <c r="AF68" s="3">
        <v>17.061502456665039</v>
      </c>
      <c r="AI68">
        <v>105</v>
      </c>
      <c r="AJ68" t="s">
        <v>199</v>
      </c>
      <c r="AK68" t="b">
        <v>0</v>
      </c>
      <c r="AL68" t="s">
        <v>426</v>
      </c>
      <c r="AM68" t="s">
        <v>191</v>
      </c>
      <c r="AN68" t="s">
        <v>106</v>
      </c>
      <c r="AO68" t="s">
        <v>107</v>
      </c>
      <c r="AP68" t="s">
        <v>108</v>
      </c>
      <c r="AQ68" s="3">
        <v>22.820783615112305</v>
      </c>
      <c r="AT68">
        <v>137</v>
      </c>
      <c r="AU68" t="s">
        <v>225</v>
      </c>
      <c r="AV68" t="b">
        <v>0</v>
      </c>
      <c r="AW68" t="s">
        <v>422</v>
      </c>
      <c r="AX68" t="s">
        <v>204</v>
      </c>
      <c r="AY68" t="s">
        <v>106</v>
      </c>
      <c r="AZ68" t="s">
        <v>107</v>
      </c>
      <c r="BA68" t="s">
        <v>108</v>
      </c>
      <c r="BB68" s="3">
        <v>30.001653671264648</v>
      </c>
      <c r="BE68">
        <v>153</v>
      </c>
      <c r="BF68" t="s">
        <v>244</v>
      </c>
      <c r="BG68" t="b">
        <v>0</v>
      </c>
      <c r="BH68" t="s">
        <v>426</v>
      </c>
      <c r="BI68" t="s">
        <v>234</v>
      </c>
      <c r="BJ68" t="s">
        <v>106</v>
      </c>
      <c r="BK68" t="s">
        <v>107</v>
      </c>
      <c r="BL68" t="s">
        <v>108</v>
      </c>
      <c r="BM68" s="3">
        <v>32.000923156738281</v>
      </c>
      <c r="BQ68">
        <v>201</v>
      </c>
      <c r="BR68" t="s">
        <v>277</v>
      </c>
      <c r="BS68" t="b">
        <v>0</v>
      </c>
      <c r="BT68" t="s">
        <v>426</v>
      </c>
      <c r="BU68" t="s">
        <v>269</v>
      </c>
      <c r="BV68" t="s">
        <v>106</v>
      </c>
      <c r="BW68" t="s">
        <v>107</v>
      </c>
      <c r="BX68" t="s">
        <v>108</v>
      </c>
      <c r="BY68" s="3">
        <v>25.590518951416016</v>
      </c>
      <c r="CC68" s="1">
        <v>257</v>
      </c>
      <c r="CD68" s="1" t="s">
        <v>323</v>
      </c>
      <c r="CE68" s="1" t="s">
        <v>103</v>
      </c>
      <c r="CF68" s="1" t="s">
        <v>282</v>
      </c>
      <c r="CG68" s="1" t="s">
        <v>269</v>
      </c>
      <c r="CH68" s="1" t="s">
        <v>106</v>
      </c>
      <c r="CI68" s="1" t="s">
        <v>107</v>
      </c>
      <c r="CJ68" s="1" t="s">
        <v>108</v>
      </c>
      <c r="CK68" s="1" t="s">
        <v>235</v>
      </c>
      <c r="CO68">
        <v>249</v>
      </c>
      <c r="CP68" t="s">
        <v>319</v>
      </c>
      <c r="CQ68" t="b">
        <v>0</v>
      </c>
      <c r="CR68" t="s">
        <v>426</v>
      </c>
      <c r="CS68" t="s">
        <v>311</v>
      </c>
      <c r="CT68" t="s">
        <v>106</v>
      </c>
      <c r="CU68" t="s">
        <v>107</v>
      </c>
      <c r="CV68" t="s">
        <v>108</v>
      </c>
      <c r="CW68" t="s">
        <v>235</v>
      </c>
      <c r="DA68">
        <v>297</v>
      </c>
      <c r="DB68" t="s">
        <v>362</v>
      </c>
      <c r="DC68" t="b">
        <v>0</v>
      </c>
      <c r="DD68" t="s">
        <v>426</v>
      </c>
      <c r="DE68" t="s">
        <v>328</v>
      </c>
      <c r="DF68" t="s">
        <v>106</v>
      </c>
      <c r="DG68" t="s">
        <v>107</v>
      </c>
      <c r="DH68" t="s">
        <v>108</v>
      </c>
      <c r="DI68" s="3">
        <v>33.260765075683594</v>
      </c>
      <c r="DM68">
        <v>345</v>
      </c>
      <c r="DN68" t="s">
        <v>394</v>
      </c>
      <c r="DO68" t="b">
        <v>0</v>
      </c>
      <c r="DP68" t="s">
        <v>426</v>
      </c>
      <c r="DQ68" t="s">
        <v>332</v>
      </c>
      <c r="DR68" t="s">
        <v>106</v>
      </c>
      <c r="DS68" t="s">
        <v>107</v>
      </c>
      <c r="DT68" t="s">
        <v>108</v>
      </c>
      <c r="DU68" s="3">
        <v>22.853849411010742</v>
      </c>
    </row>
    <row r="69" spans="2:125" x14ac:dyDescent="0.25">
      <c r="B69" s="1">
        <v>33</v>
      </c>
      <c r="C69" t="s">
        <v>145</v>
      </c>
      <c r="D69" t="b">
        <v>0</v>
      </c>
      <c r="E69" t="s">
        <v>426</v>
      </c>
      <c r="F69" t="s">
        <v>105</v>
      </c>
      <c r="G69" t="s">
        <v>106</v>
      </c>
      <c r="H69" t="s">
        <v>107</v>
      </c>
      <c r="I69" t="s">
        <v>108</v>
      </c>
      <c r="J69" s="3">
        <v>24.073936462402344</v>
      </c>
      <c r="M69">
        <v>89</v>
      </c>
      <c r="N69" t="s">
        <v>186</v>
      </c>
      <c r="O69" t="b">
        <v>0</v>
      </c>
      <c r="P69" t="s">
        <v>426</v>
      </c>
      <c r="Q69" t="s">
        <v>129</v>
      </c>
      <c r="R69" t="s">
        <v>106</v>
      </c>
      <c r="S69" t="s">
        <v>107</v>
      </c>
      <c r="T69" t="s">
        <v>108</v>
      </c>
      <c r="U69" s="3">
        <v>18.587224960327148</v>
      </c>
      <c r="X69">
        <v>81</v>
      </c>
      <c r="Y69" t="s">
        <v>182</v>
      </c>
      <c r="Z69" t="b">
        <v>0</v>
      </c>
      <c r="AA69" t="s">
        <v>426</v>
      </c>
      <c r="AB69" t="s">
        <v>158</v>
      </c>
      <c r="AC69" t="s">
        <v>106</v>
      </c>
      <c r="AD69" t="s">
        <v>107</v>
      </c>
      <c r="AE69" t="s">
        <v>108</v>
      </c>
      <c r="AF69" s="3">
        <v>17.095100402832031</v>
      </c>
      <c r="AI69">
        <v>129</v>
      </c>
      <c r="AJ69" t="s">
        <v>221</v>
      </c>
      <c r="AK69" t="b">
        <v>0</v>
      </c>
      <c r="AL69" t="s">
        <v>426</v>
      </c>
      <c r="AM69" t="s">
        <v>191</v>
      </c>
      <c r="AN69" t="s">
        <v>106</v>
      </c>
      <c r="AO69" t="s">
        <v>107</v>
      </c>
      <c r="AP69" t="s">
        <v>108</v>
      </c>
      <c r="AQ69" s="3">
        <v>22.910049438476563</v>
      </c>
      <c r="AT69">
        <v>185</v>
      </c>
      <c r="AU69" t="s">
        <v>264</v>
      </c>
      <c r="AV69" t="b">
        <v>0</v>
      </c>
      <c r="AW69" t="s">
        <v>426</v>
      </c>
      <c r="AX69" t="s">
        <v>204</v>
      </c>
      <c r="AY69" t="s">
        <v>106</v>
      </c>
      <c r="AZ69" t="s">
        <v>107</v>
      </c>
      <c r="BA69" t="s">
        <v>108</v>
      </c>
      <c r="BB69" s="3">
        <v>27.947055816650391</v>
      </c>
      <c r="BE69">
        <v>177</v>
      </c>
      <c r="BF69" t="s">
        <v>260</v>
      </c>
      <c r="BG69" t="b">
        <v>0</v>
      </c>
      <c r="BH69" t="s">
        <v>426</v>
      </c>
      <c r="BI69" t="s">
        <v>234</v>
      </c>
      <c r="BJ69" t="s">
        <v>106</v>
      </c>
      <c r="BK69" t="s">
        <v>107</v>
      </c>
      <c r="BL69" t="s">
        <v>108</v>
      </c>
      <c r="BM69" s="3">
        <v>32.680736541748047</v>
      </c>
      <c r="BQ69">
        <v>225</v>
      </c>
      <c r="BR69" t="s">
        <v>298</v>
      </c>
      <c r="BS69" t="b">
        <v>0</v>
      </c>
      <c r="BT69" t="s">
        <v>426</v>
      </c>
      <c r="BU69" t="s">
        <v>269</v>
      </c>
      <c r="BV69" t="s">
        <v>106</v>
      </c>
      <c r="BW69" t="s">
        <v>107</v>
      </c>
      <c r="BX69" t="s">
        <v>108</v>
      </c>
      <c r="BY69" s="3">
        <v>25.516860961914063</v>
      </c>
      <c r="CC69" s="1">
        <v>285</v>
      </c>
      <c r="CD69" s="1" t="s">
        <v>350</v>
      </c>
      <c r="CE69" s="1" t="s">
        <v>103</v>
      </c>
      <c r="CF69" s="1" t="s">
        <v>282</v>
      </c>
      <c r="CG69" s="1" t="s">
        <v>328</v>
      </c>
      <c r="CH69" s="1" t="s">
        <v>106</v>
      </c>
      <c r="CI69" s="1" t="s">
        <v>107</v>
      </c>
      <c r="CJ69" s="1" t="s">
        <v>108</v>
      </c>
      <c r="CK69" s="1">
        <v>36.049999999999997</v>
      </c>
      <c r="CO69">
        <v>273</v>
      </c>
      <c r="CP69" t="s">
        <v>342</v>
      </c>
      <c r="CQ69" t="b">
        <v>0</v>
      </c>
      <c r="CR69" t="s">
        <v>426</v>
      </c>
      <c r="CS69" t="s">
        <v>311</v>
      </c>
      <c r="CT69" t="s">
        <v>106</v>
      </c>
      <c r="CU69" t="s">
        <v>107</v>
      </c>
      <c r="CV69" t="s">
        <v>108</v>
      </c>
      <c r="CW69" s="3">
        <v>32.341167449951172</v>
      </c>
      <c r="DA69">
        <v>321</v>
      </c>
      <c r="DB69" t="s">
        <v>378</v>
      </c>
      <c r="DC69" t="b">
        <v>0</v>
      </c>
      <c r="DD69" t="s">
        <v>426</v>
      </c>
      <c r="DE69" t="s">
        <v>328</v>
      </c>
      <c r="DF69" t="s">
        <v>106</v>
      </c>
      <c r="DG69" t="s">
        <v>107</v>
      </c>
      <c r="DH69" t="s">
        <v>108</v>
      </c>
      <c r="DI69" s="3">
        <v>33.107707977294922</v>
      </c>
      <c r="DM69">
        <v>369</v>
      </c>
      <c r="DN69" t="s">
        <v>406</v>
      </c>
      <c r="DO69" t="b">
        <v>0</v>
      </c>
      <c r="DP69" t="s">
        <v>426</v>
      </c>
      <c r="DQ69" t="s">
        <v>332</v>
      </c>
      <c r="DR69" t="s">
        <v>106</v>
      </c>
      <c r="DS69" t="s">
        <v>107</v>
      </c>
      <c r="DT69" t="s">
        <v>108</v>
      </c>
      <c r="DU69" s="3">
        <v>22.905683517456055</v>
      </c>
    </row>
    <row r="70" spans="2:125" x14ac:dyDescent="0.25">
      <c r="B70" s="1">
        <v>34</v>
      </c>
      <c r="C70" t="s">
        <v>124</v>
      </c>
      <c r="D70" t="b">
        <v>0</v>
      </c>
      <c r="E70" t="s">
        <v>426</v>
      </c>
      <c r="F70" t="s">
        <v>105</v>
      </c>
      <c r="G70" t="s">
        <v>106</v>
      </c>
      <c r="H70" t="s">
        <v>107</v>
      </c>
      <c r="I70" t="s">
        <v>108</v>
      </c>
      <c r="J70" s="3">
        <v>24.442232131958008</v>
      </c>
      <c r="M70">
        <v>42</v>
      </c>
      <c r="N70" t="s">
        <v>150</v>
      </c>
      <c r="O70" t="b">
        <v>0</v>
      </c>
      <c r="P70" t="s">
        <v>422</v>
      </c>
      <c r="Q70" t="s">
        <v>129</v>
      </c>
      <c r="R70" t="s">
        <v>106</v>
      </c>
      <c r="S70" t="s">
        <v>107</v>
      </c>
      <c r="T70" t="s">
        <v>108</v>
      </c>
      <c r="U70" s="3">
        <v>17.798603057861328</v>
      </c>
      <c r="X70">
        <v>58</v>
      </c>
      <c r="Y70" t="s">
        <v>167</v>
      </c>
      <c r="Z70" t="b">
        <v>0</v>
      </c>
      <c r="AA70" t="s">
        <v>426</v>
      </c>
      <c r="AB70" t="s">
        <v>158</v>
      </c>
      <c r="AC70" t="s">
        <v>106</v>
      </c>
      <c r="AD70" t="s">
        <v>107</v>
      </c>
      <c r="AE70" t="s">
        <v>108</v>
      </c>
      <c r="AF70" s="3">
        <v>17.061052322387695</v>
      </c>
      <c r="AI70">
        <v>106</v>
      </c>
      <c r="AJ70" t="s">
        <v>200</v>
      </c>
      <c r="AK70" t="b">
        <v>0</v>
      </c>
      <c r="AL70" t="s">
        <v>426</v>
      </c>
      <c r="AM70" t="s">
        <v>191</v>
      </c>
      <c r="AN70" t="s">
        <v>106</v>
      </c>
      <c r="AO70" t="s">
        <v>107</v>
      </c>
      <c r="AP70" t="s">
        <v>108</v>
      </c>
      <c r="AQ70" s="3">
        <v>23.044391632080078</v>
      </c>
      <c r="AT70">
        <v>138</v>
      </c>
      <c r="AU70" t="s">
        <v>226</v>
      </c>
      <c r="AV70" t="b">
        <v>0</v>
      </c>
      <c r="AW70" t="s">
        <v>422</v>
      </c>
      <c r="AX70" t="s">
        <v>204</v>
      </c>
      <c r="AY70" t="s">
        <v>106</v>
      </c>
      <c r="AZ70" t="s">
        <v>107</v>
      </c>
      <c r="BA70" t="s">
        <v>108</v>
      </c>
      <c r="BB70" s="3">
        <v>30.222959518432617</v>
      </c>
      <c r="BE70">
        <v>154</v>
      </c>
      <c r="BF70" t="s">
        <v>245</v>
      </c>
      <c r="BG70" t="b">
        <v>0</v>
      </c>
      <c r="BH70" t="s">
        <v>426</v>
      </c>
      <c r="BI70" t="s">
        <v>234</v>
      </c>
      <c r="BJ70" t="s">
        <v>106</v>
      </c>
      <c r="BK70" t="s">
        <v>107</v>
      </c>
      <c r="BL70" t="s">
        <v>108</v>
      </c>
      <c r="BM70" s="3">
        <v>32.385581970214844</v>
      </c>
      <c r="BQ70">
        <v>202</v>
      </c>
      <c r="BR70" t="s">
        <v>278</v>
      </c>
      <c r="BS70" t="b">
        <v>0</v>
      </c>
      <c r="BT70" t="s">
        <v>426</v>
      </c>
      <c r="BU70" t="s">
        <v>269</v>
      </c>
      <c r="BV70" t="s">
        <v>106</v>
      </c>
      <c r="BW70" t="s">
        <v>107</v>
      </c>
      <c r="BX70" t="s">
        <v>108</v>
      </c>
      <c r="BY70" s="3">
        <v>25.60882568359375</v>
      </c>
      <c r="CC70" s="1">
        <v>258</v>
      </c>
      <c r="CD70" s="1" t="s">
        <v>324</v>
      </c>
      <c r="CE70" s="1" t="s">
        <v>103</v>
      </c>
      <c r="CF70" s="1" t="s">
        <v>282</v>
      </c>
      <c r="CG70" s="1" t="s">
        <v>269</v>
      </c>
      <c r="CH70" s="1" t="s">
        <v>106</v>
      </c>
      <c r="CI70" s="1" t="s">
        <v>107</v>
      </c>
      <c r="CJ70" s="1" t="s">
        <v>108</v>
      </c>
      <c r="CK70" s="1" t="s">
        <v>235</v>
      </c>
      <c r="CO70">
        <v>250</v>
      </c>
      <c r="CP70" t="s">
        <v>320</v>
      </c>
      <c r="CQ70" t="b">
        <v>0</v>
      </c>
      <c r="CR70" t="s">
        <v>426</v>
      </c>
      <c r="CS70" t="s">
        <v>311</v>
      </c>
      <c r="CT70" t="s">
        <v>106</v>
      </c>
      <c r="CU70" t="s">
        <v>107</v>
      </c>
      <c r="CV70" t="s">
        <v>108</v>
      </c>
      <c r="CW70" s="3">
        <v>33.192905426025391</v>
      </c>
      <c r="DA70">
        <v>298</v>
      </c>
      <c r="DB70" t="s">
        <v>363</v>
      </c>
      <c r="DC70" t="b">
        <v>0</v>
      </c>
      <c r="DD70" t="s">
        <v>426</v>
      </c>
      <c r="DE70" t="s">
        <v>328</v>
      </c>
      <c r="DF70" t="s">
        <v>106</v>
      </c>
      <c r="DG70" t="s">
        <v>107</v>
      </c>
      <c r="DH70" t="s">
        <v>108</v>
      </c>
      <c r="DI70" t="s">
        <v>235</v>
      </c>
      <c r="DM70">
        <v>346</v>
      </c>
      <c r="DN70" t="s">
        <v>395</v>
      </c>
      <c r="DO70" t="b">
        <v>0</v>
      </c>
      <c r="DP70" t="s">
        <v>426</v>
      </c>
      <c r="DQ70" t="s">
        <v>332</v>
      </c>
      <c r="DR70" t="s">
        <v>106</v>
      </c>
      <c r="DS70" t="s">
        <v>107</v>
      </c>
      <c r="DT70" t="s">
        <v>108</v>
      </c>
      <c r="DU70" s="3">
        <v>22.859567642211914</v>
      </c>
    </row>
    <row r="71" spans="2:125" x14ac:dyDescent="0.25">
      <c r="B71" s="1">
        <v>34</v>
      </c>
      <c r="C71" t="s">
        <v>146</v>
      </c>
      <c r="D71" t="b">
        <v>0</v>
      </c>
      <c r="E71" t="s">
        <v>426</v>
      </c>
      <c r="F71" t="s">
        <v>105</v>
      </c>
      <c r="G71" t="s">
        <v>106</v>
      </c>
      <c r="H71" t="s">
        <v>107</v>
      </c>
      <c r="I71" t="s">
        <v>108</v>
      </c>
      <c r="J71" s="3">
        <v>24.123281478881836</v>
      </c>
      <c r="M71">
        <v>90</v>
      </c>
      <c r="N71" t="s">
        <v>187</v>
      </c>
      <c r="O71" t="b">
        <v>0</v>
      </c>
      <c r="P71" t="s">
        <v>426</v>
      </c>
      <c r="Q71" t="s">
        <v>129</v>
      </c>
      <c r="R71" t="s">
        <v>106</v>
      </c>
      <c r="S71" t="s">
        <v>107</v>
      </c>
      <c r="T71" t="s">
        <v>108</v>
      </c>
      <c r="U71" s="3">
        <v>18.387544631958008</v>
      </c>
      <c r="X71">
        <v>82</v>
      </c>
      <c r="Y71" t="s">
        <v>183</v>
      </c>
      <c r="Z71" t="b">
        <v>0</v>
      </c>
      <c r="AA71" t="s">
        <v>426</v>
      </c>
      <c r="AB71" t="s">
        <v>158</v>
      </c>
      <c r="AC71" t="s">
        <v>106</v>
      </c>
      <c r="AD71" t="s">
        <v>107</v>
      </c>
      <c r="AE71" t="s">
        <v>108</v>
      </c>
      <c r="AF71" s="3">
        <v>17.210872650146484</v>
      </c>
      <c r="AI71">
        <v>130</v>
      </c>
      <c r="AJ71" t="s">
        <v>222</v>
      </c>
      <c r="AK71" t="b">
        <v>0</v>
      </c>
      <c r="AL71" t="s">
        <v>426</v>
      </c>
      <c r="AM71" t="s">
        <v>191</v>
      </c>
      <c r="AN71" t="s">
        <v>106</v>
      </c>
      <c r="AO71" t="s">
        <v>107</v>
      </c>
      <c r="AP71" t="s">
        <v>108</v>
      </c>
      <c r="AQ71" s="3">
        <v>22.92578125</v>
      </c>
      <c r="AT71">
        <v>186</v>
      </c>
      <c r="AU71" t="s">
        <v>265</v>
      </c>
      <c r="AV71" t="b">
        <v>0</v>
      </c>
      <c r="AW71" t="s">
        <v>426</v>
      </c>
      <c r="AX71" t="s">
        <v>204</v>
      </c>
      <c r="AY71" t="s">
        <v>106</v>
      </c>
      <c r="AZ71" t="s">
        <v>107</v>
      </c>
      <c r="BA71" t="s">
        <v>108</v>
      </c>
      <c r="BB71" s="3">
        <v>28.136730194091797</v>
      </c>
      <c r="BE71">
        <v>178</v>
      </c>
      <c r="BF71" t="s">
        <v>261</v>
      </c>
      <c r="BG71" t="b">
        <v>0</v>
      </c>
      <c r="BH71" t="s">
        <v>426</v>
      </c>
      <c r="BI71" t="s">
        <v>234</v>
      </c>
      <c r="BJ71" t="s">
        <v>106</v>
      </c>
      <c r="BK71" t="s">
        <v>107</v>
      </c>
      <c r="BL71" t="s">
        <v>108</v>
      </c>
      <c r="BM71" s="3">
        <v>31.480686187744141</v>
      </c>
      <c r="BQ71">
        <v>226</v>
      </c>
      <c r="BR71" t="s">
        <v>299</v>
      </c>
      <c r="BS71" t="b">
        <v>0</v>
      </c>
      <c r="BT71" t="s">
        <v>426</v>
      </c>
      <c r="BU71" t="s">
        <v>269</v>
      </c>
      <c r="BV71" t="s">
        <v>106</v>
      </c>
      <c r="BW71" t="s">
        <v>107</v>
      </c>
      <c r="BX71" t="s">
        <v>108</v>
      </c>
      <c r="BY71" s="3">
        <v>25.637016296386719</v>
      </c>
      <c r="CC71" s="1">
        <v>286</v>
      </c>
      <c r="CD71" s="1" t="s">
        <v>351</v>
      </c>
      <c r="CE71" s="1" t="s">
        <v>103</v>
      </c>
      <c r="CF71" s="1" t="s">
        <v>282</v>
      </c>
      <c r="CG71" s="1" t="s">
        <v>328</v>
      </c>
      <c r="CH71" s="1" t="s">
        <v>106</v>
      </c>
      <c r="CI71" s="1" t="s">
        <v>107</v>
      </c>
      <c r="CJ71" s="1" t="s">
        <v>108</v>
      </c>
      <c r="CK71" s="1" t="s">
        <v>235</v>
      </c>
      <c r="CO71">
        <v>274</v>
      </c>
      <c r="CP71" t="s">
        <v>343</v>
      </c>
      <c r="CQ71" t="b">
        <v>0</v>
      </c>
      <c r="CR71" t="s">
        <v>426</v>
      </c>
      <c r="CS71" t="s">
        <v>311</v>
      </c>
      <c r="CT71" t="s">
        <v>106</v>
      </c>
      <c r="CU71" t="s">
        <v>107</v>
      </c>
      <c r="CV71" t="s">
        <v>108</v>
      </c>
      <c r="CW71" s="3">
        <v>31.413257598876953</v>
      </c>
      <c r="DA71">
        <v>322</v>
      </c>
      <c r="DB71" t="s">
        <v>379</v>
      </c>
      <c r="DC71" t="b">
        <v>0</v>
      </c>
      <c r="DD71" t="s">
        <v>426</v>
      </c>
      <c r="DE71" t="s">
        <v>328</v>
      </c>
      <c r="DF71" t="s">
        <v>106</v>
      </c>
      <c r="DG71" t="s">
        <v>107</v>
      </c>
      <c r="DH71" t="s">
        <v>108</v>
      </c>
      <c r="DI71" s="3">
        <v>34.116035461425781</v>
      </c>
      <c r="DM71">
        <v>370</v>
      </c>
      <c r="DN71" t="s">
        <v>407</v>
      </c>
      <c r="DO71" t="b">
        <v>0</v>
      </c>
      <c r="DP71" t="s">
        <v>426</v>
      </c>
      <c r="DQ71" t="s">
        <v>332</v>
      </c>
      <c r="DR71" t="s">
        <v>106</v>
      </c>
      <c r="DS71" t="s">
        <v>107</v>
      </c>
      <c r="DT71" t="s">
        <v>108</v>
      </c>
      <c r="DU71" s="3">
        <v>22.832393646240234</v>
      </c>
    </row>
    <row r="72" spans="2:125" x14ac:dyDescent="0.25">
      <c r="B72" s="1">
        <v>35</v>
      </c>
      <c r="C72" t="s">
        <v>125</v>
      </c>
      <c r="D72" t="b">
        <v>0</v>
      </c>
      <c r="E72" t="s">
        <v>427</v>
      </c>
      <c r="F72" t="s">
        <v>105</v>
      </c>
      <c r="G72" t="s">
        <v>106</v>
      </c>
      <c r="H72" t="s">
        <v>107</v>
      </c>
      <c r="I72" t="s">
        <v>108</v>
      </c>
      <c r="J72" s="3">
        <v>24.285781860351563</v>
      </c>
      <c r="M72">
        <v>43</v>
      </c>
      <c r="N72" t="s">
        <v>151</v>
      </c>
      <c r="O72" t="b">
        <v>0</v>
      </c>
      <c r="P72" t="s">
        <v>424</v>
      </c>
      <c r="Q72" t="s">
        <v>129</v>
      </c>
      <c r="R72" t="s">
        <v>106</v>
      </c>
      <c r="S72" t="s">
        <v>107</v>
      </c>
      <c r="T72" t="s">
        <v>108</v>
      </c>
      <c r="U72" s="3">
        <v>19.030796051025391</v>
      </c>
      <c r="X72">
        <v>59</v>
      </c>
      <c r="Y72" t="s">
        <v>168</v>
      </c>
      <c r="Z72" t="b">
        <v>0</v>
      </c>
      <c r="AA72" t="s">
        <v>427</v>
      </c>
      <c r="AB72" t="s">
        <v>158</v>
      </c>
      <c r="AC72" t="s">
        <v>106</v>
      </c>
      <c r="AD72" t="s">
        <v>107</v>
      </c>
      <c r="AE72" t="s">
        <v>108</v>
      </c>
      <c r="AF72" s="3">
        <v>17.03178596496582</v>
      </c>
      <c r="AI72">
        <v>107</v>
      </c>
      <c r="AJ72" t="s">
        <v>201</v>
      </c>
      <c r="AK72" t="b">
        <v>0</v>
      </c>
      <c r="AL72" t="s">
        <v>427</v>
      </c>
      <c r="AM72" t="s">
        <v>191</v>
      </c>
      <c r="AN72" t="s">
        <v>106</v>
      </c>
      <c r="AO72" t="s">
        <v>107</v>
      </c>
      <c r="AP72" t="s">
        <v>108</v>
      </c>
      <c r="AQ72" s="3">
        <v>23.057332992553711</v>
      </c>
      <c r="AT72">
        <v>139</v>
      </c>
      <c r="AU72" t="s">
        <v>227</v>
      </c>
      <c r="AV72" t="b">
        <v>0</v>
      </c>
      <c r="AW72" t="s">
        <v>424</v>
      </c>
      <c r="AX72" t="s">
        <v>204</v>
      </c>
      <c r="AY72" t="s">
        <v>106</v>
      </c>
      <c r="AZ72" t="s">
        <v>107</v>
      </c>
      <c r="BA72" t="s">
        <v>108</v>
      </c>
      <c r="BB72" s="3">
        <v>32.705947875976563</v>
      </c>
      <c r="BE72">
        <v>155</v>
      </c>
      <c r="BF72" t="s">
        <v>246</v>
      </c>
      <c r="BG72" t="b">
        <v>0</v>
      </c>
      <c r="BH72" t="s">
        <v>427</v>
      </c>
      <c r="BI72" t="s">
        <v>234</v>
      </c>
      <c r="BJ72" t="s">
        <v>106</v>
      </c>
      <c r="BK72" t="s">
        <v>107</v>
      </c>
      <c r="BL72" t="s">
        <v>108</v>
      </c>
      <c r="BM72" s="3">
        <v>31.869455337524414</v>
      </c>
      <c r="BQ72">
        <v>203</v>
      </c>
      <c r="BR72" t="s">
        <v>279</v>
      </c>
      <c r="BS72" t="b">
        <v>0</v>
      </c>
      <c r="BT72" t="s">
        <v>427</v>
      </c>
      <c r="BU72" t="s">
        <v>269</v>
      </c>
      <c r="BV72" t="s">
        <v>106</v>
      </c>
      <c r="BW72" t="s">
        <v>107</v>
      </c>
      <c r="BX72" t="s">
        <v>108</v>
      </c>
      <c r="BY72" s="3">
        <v>25.718807220458984</v>
      </c>
      <c r="CC72" s="1">
        <v>259</v>
      </c>
      <c r="CD72" s="1" t="s">
        <v>325</v>
      </c>
      <c r="CE72" s="1" t="s">
        <v>103</v>
      </c>
      <c r="CF72" s="1" t="s">
        <v>282</v>
      </c>
      <c r="CG72" s="1" t="s">
        <v>311</v>
      </c>
      <c r="CH72" s="1" t="s">
        <v>106</v>
      </c>
      <c r="CI72" s="1" t="s">
        <v>107</v>
      </c>
      <c r="CJ72" s="1" t="s">
        <v>108</v>
      </c>
      <c r="CK72" s="1" t="s">
        <v>235</v>
      </c>
      <c r="CO72">
        <v>251</v>
      </c>
      <c r="CP72" t="s">
        <v>321</v>
      </c>
      <c r="CQ72" t="b">
        <v>0</v>
      </c>
      <c r="CR72" t="s">
        <v>427</v>
      </c>
      <c r="CS72" t="s">
        <v>311</v>
      </c>
      <c r="CT72" t="s">
        <v>106</v>
      </c>
      <c r="CU72" t="s">
        <v>107</v>
      </c>
      <c r="CV72" t="s">
        <v>108</v>
      </c>
      <c r="CW72" s="3">
        <v>33.438137054443359</v>
      </c>
      <c r="DA72">
        <v>299</v>
      </c>
      <c r="DB72" t="s">
        <v>364</v>
      </c>
      <c r="DC72" t="b">
        <v>0</v>
      </c>
      <c r="DD72" t="s">
        <v>427</v>
      </c>
      <c r="DE72" t="s">
        <v>328</v>
      </c>
      <c r="DF72" t="s">
        <v>106</v>
      </c>
      <c r="DG72" t="s">
        <v>107</v>
      </c>
      <c r="DH72" t="s">
        <v>108</v>
      </c>
      <c r="DI72" s="3">
        <v>34.301059722900391</v>
      </c>
      <c r="DM72">
        <v>347</v>
      </c>
      <c r="DN72" t="s">
        <v>396</v>
      </c>
      <c r="DO72" t="b">
        <v>0</v>
      </c>
      <c r="DP72" t="s">
        <v>427</v>
      </c>
      <c r="DQ72" t="s">
        <v>332</v>
      </c>
      <c r="DR72" t="s">
        <v>106</v>
      </c>
      <c r="DS72" t="s">
        <v>107</v>
      </c>
      <c r="DT72" t="s">
        <v>108</v>
      </c>
      <c r="DU72" s="3">
        <v>22.899017333984375</v>
      </c>
    </row>
    <row r="73" spans="2:125" x14ac:dyDescent="0.25">
      <c r="B73" s="1">
        <v>35</v>
      </c>
      <c r="C73" t="s">
        <v>147</v>
      </c>
      <c r="D73" t="b">
        <v>0</v>
      </c>
      <c r="E73" t="s">
        <v>427</v>
      </c>
      <c r="F73" t="s">
        <v>105</v>
      </c>
      <c r="G73" t="s">
        <v>106</v>
      </c>
      <c r="H73" t="s">
        <v>107</v>
      </c>
      <c r="I73" t="s">
        <v>108</v>
      </c>
      <c r="J73" s="3">
        <v>24.311676025390625</v>
      </c>
      <c r="M73">
        <v>91</v>
      </c>
      <c r="N73" t="s">
        <v>188</v>
      </c>
      <c r="O73" t="b">
        <v>0</v>
      </c>
      <c r="P73" t="s">
        <v>427</v>
      </c>
      <c r="Q73" t="s">
        <v>129</v>
      </c>
      <c r="R73" t="s">
        <v>106</v>
      </c>
      <c r="S73" t="s">
        <v>107</v>
      </c>
      <c r="T73" t="s">
        <v>108</v>
      </c>
      <c r="U73" s="3">
        <v>18.74791145324707</v>
      </c>
      <c r="X73">
        <v>83</v>
      </c>
      <c r="Y73" t="s">
        <v>184</v>
      </c>
      <c r="Z73" t="b">
        <v>0</v>
      </c>
      <c r="AA73" t="s">
        <v>427</v>
      </c>
      <c r="AB73" t="s">
        <v>158</v>
      </c>
      <c r="AC73" t="s">
        <v>106</v>
      </c>
      <c r="AD73" t="s">
        <v>107</v>
      </c>
      <c r="AE73" t="s">
        <v>108</v>
      </c>
      <c r="AF73" s="3">
        <v>17.177976608276367</v>
      </c>
      <c r="AI73">
        <v>131</v>
      </c>
      <c r="AJ73" t="s">
        <v>223</v>
      </c>
      <c r="AK73" t="b">
        <v>0</v>
      </c>
      <c r="AL73" t="s">
        <v>427</v>
      </c>
      <c r="AM73" t="s">
        <v>191</v>
      </c>
      <c r="AN73" t="s">
        <v>106</v>
      </c>
      <c r="AO73" t="s">
        <v>107</v>
      </c>
      <c r="AP73" t="s">
        <v>108</v>
      </c>
      <c r="AQ73" s="3">
        <v>23.121921539306641</v>
      </c>
      <c r="AT73">
        <v>187</v>
      </c>
      <c r="AU73" t="s">
        <v>266</v>
      </c>
      <c r="AV73" t="b">
        <v>0</v>
      </c>
      <c r="AW73" t="s">
        <v>427</v>
      </c>
      <c r="AX73" t="s">
        <v>204</v>
      </c>
      <c r="AY73" t="s">
        <v>106</v>
      </c>
      <c r="AZ73" t="s">
        <v>107</v>
      </c>
      <c r="BA73" t="s">
        <v>108</v>
      </c>
      <c r="BB73" s="3">
        <v>27.789356231689453</v>
      </c>
      <c r="BE73">
        <v>179</v>
      </c>
      <c r="BF73" t="s">
        <v>262</v>
      </c>
      <c r="BG73" t="b">
        <v>0</v>
      </c>
      <c r="BH73" t="s">
        <v>427</v>
      </c>
      <c r="BI73" t="s">
        <v>234</v>
      </c>
      <c r="BJ73" t="s">
        <v>106</v>
      </c>
      <c r="BK73" t="s">
        <v>107</v>
      </c>
      <c r="BL73" t="s">
        <v>108</v>
      </c>
      <c r="BM73" s="3">
        <v>34.61431884765625</v>
      </c>
      <c r="BQ73">
        <v>227</v>
      </c>
      <c r="BR73" t="s">
        <v>300</v>
      </c>
      <c r="BS73" t="b">
        <v>0</v>
      </c>
      <c r="BT73" t="s">
        <v>427</v>
      </c>
      <c r="BU73" t="s">
        <v>269</v>
      </c>
      <c r="BV73" t="s">
        <v>106</v>
      </c>
      <c r="BW73" t="s">
        <v>107</v>
      </c>
      <c r="BX73" t="s">
        <v>108</v>
      </c>
      <c r="BY73" s="3">
        <v>25.547431945800781</v>
      </c>
      <c r="CC73" s="1">
        <v>287</v>
      </c>
      <c r="CD73" s="1" t="s">
        <v>352</v>
      </c>
      <c r="CE73" s="1" t="s">
        <v>103</v>
      </c>
      <c r="CF73" s="1" t="s">
        <v>282</v>
      </c>
      <c r="CG73" s="1" t="s">
        <v>332</v>
      </c>
      <c r="CH73" s="1" t="s">
        <v>106</v>
      </c>
      <c r="CI73" s="1" t="s">
        <v>107</v>
      </c>
      <c r="CJ73" s="1" t="s">
        <v>108</v>
      </c>
      <c r="CK73" s="1">
        <v>7.3739999999999997</v>
      </c>
      <c r="CO73">
        <v>275</v>
      </c>
      <c r="CP73" t="s">
        <v>344</v>
      </c>
      <c r="CQ73" t="b">
        <v>0</v>
      </c>
      <c r="CR73" t="s">
        <v>427</v>
      </c>
      <c r="CS73" t="s">
        <v>311</v>
      </c>
      <c r="CT73" t="s">
        <v>106</v>
      </c>
      <c r="CU73" t="s">
        <v>107</v>
      </c>
      <c r="CV73" t="s">
        <v>108</v>
      </c>
      <c r="CW73" s="3">
        <v>33.381175994873047</v>
      </c>
      <c r="DA73">
        <v>323</v>
      </c>
      <c r="DB73" t="s">
        <v>380</v>
      </c>
      <c r="DC73" t="b">
        <v>0</v>
      </c>
      <c r="DD73" t="s">
        <v>427</v>
      </c>
      <c r="DE73" t="s">
        <v>328</v>
      </c>
      <c r="DF73" t="s">
        <v>106</v>
      </c>
      <c r="DG73" t="s">
        <v>107</v>
      </c>
      <c r="DH73" t="s">
        <v>108</v>
      </c>
      <c r="DI73" s="3">
        <v>32.759159088134766</v>
      </c>
      <c r="DM73">
        <v>371</v>
      </c>
      <c r="DN73" t="s">
        <v>408</v>
      </c>
      <c r="DO73" t="b">
        <v>0</v>
      </c>
      <c r="DP73" t="s">
        <v>427</v>
      </c>
      <c r="DQ73" t="s">
        <v>332</v>
      </c>
      <c r="DR73" t="s">
        <v>106</v>
      </c>
      <c r="DS73" t="s">
        <v>107</v>
      </c>
      <c r="DT73" t="s">
        <v>108</v>
      </c>
      <c r="DU73" s="3">
        <v>22.754722595214844</v>
      </c>
    </row>
    <row r="74" spans="2:125" x14ac:dyDescent="0.25">
      <c r="B74" s="1">
        <v>36</v>
      </c>
      <c r="C74" t="s">
        <v>127</v>
      </c>
      <c r="D74" t="b">
        <v>0</v>
      </c>
      <c r="E74" t="s">
        <v>427</v>
      </c>
      <c r="F74" t="s">
        <v>105</v>
      </c>
      <c r="G74" t="s">
        <v>106</v>
      </c>
      <c r="H74" t="s">
        <v>107</v>
      </c>
      <c r="I74" t="s">
        <v>108</v>
      </c>
      <c r="J74" s="3">
        <v>24.719757080078125</v>
      </c>
      <c r="M74">
        <v>44</v>
      </c>
      <c r="N74" t="s">
        <v>152</v>
      </c>
      <c r="O74" t="b">
        <v>0</v>
      </c>
      <c r="P74" t="s">
        <v>424</v>
      </c>
      <c r="Q74" t="s">
        <v>129</v>
      </c>
      <c r="R74" t="s">
        <v>106</v>
      </c>
      <c r="S74" t="s">
        <v>107</v>
      </c>
      <c r="T74" t="s">
        <v>108</v>
      </c>
      <c r="U74" s="3">
        <v>17.373249053955078</v>
      </c>
      <c r="X74">
        <v>60</v>
      </c>
      <c r="Y74" t="s">
        <v>169</v>
      </c>
      <c r="Z74" t="b">
        <v>0</v>
      </c>
      <c r="AA74" t="s">
        <v>427</v>
      </c>
      <c r="AB74" t="s">
        <v>158</v>
      </c>
      <c r="AC74" t="s">
        <v>106</v>
      </c>
      <c r="AD74" t="s">
        <v>107</v>
      </c>
      <c r="AE74" t="s">
        <v>108</v>
      </c>
      <c r="AF74" s="3">
        <v>17.270004272460938</v>
      </c>
      <c r="AI74">
        <v>108</v>
      </c>
      <c r="AJ74" t="s">
        <v>202</v>
      </c>
      <c r="AK74" t="b">
        <v>0</v>
      </c>
      <c r="AL74" t="s">
        <v>427</v>
      </c>
      <c r="AM74" t="s">
        <v>191</v>
      </c>
      <c r="AN74" t="s">
        <v>106</v>
      </c>
      <c r="AO74" t="s">
        <v>107</v>
      </c>
      <c r="AP74" t="s">
        <v>108</v>
      </c>
      <c r="AQ74" s="3">
        <v>23.878461837768555</v>
      </c>
      <c r="AT74">
        <v>140</v>
      </c>
      <c r="AU74" t="s">
        <v>228</v>
      </c>
      <c r="AV74" t="b">
        <v>0</v>
      </c>
      <c r="AW74" t="s">
        <v>424</v>
      </c>
      <c r="AX74" t="s">
        <v>204</v>
      </c>
      <c r="AY74" t="s">
        <v>106</v>
      </c>
      <c r="AZ74" t="s">
        <v>107</v>
      </c>
      <c r="BA74" t="s">
        <v>108</v>
      </c>
      <c r="BB74" s="3">
        <v>31.943874359130859</v>
      </c>
      <c r="BE74">
        <v>156</v>
      </c>
      <c r="BF74" t="s">
        <v>247</v>
      </c>
      <c r="BG74" t="b">
        <v>0</v>
      </c>
      <c r="BH74" t="s">
        <v>427</v>
      </c>
      <c r="BI74" t="s">
        <v>234</v>
      </c>
      <c r="BJ74" t="s">
        <v>106</v>
      </c>
      <c r="BK74" t="s">
        <v>107</v>
      </c>
      <c r="BL74" t="s">
        <v>108</v>
      </c>
      <c r="BM74" s="3">
        <v>32.568206787109375</v>
      </c>
      <c r="BQ74">
        <v>204</v>
      </c>
      <c r="BR74" t="s">
        <v>280</v>
      </c>
      <c r="BS74" t="b">
        <v>0</v>
      </c>
      <c r="BT74" t="s">
        <v>427</v>
      </c>
      <c r="BU74" t="s">
        <v>269</v>
      </c>
      <c r="BV74" t="s">
        <v>106</v>
      </c>
      <c r="BW74" t="s">
        <v>107</v>
      </c>
      <c r="BX74" t="s">
        <v>108</v>
      </c>
      <c r="BY74" s="3">
        <v>25.695669174194336</v>
      </c>
      <c r="CC74" s="1">
        <v>260</v>
      </c>
      <c r="CD74" s="1" t="s">
        <v>326</v>
      </c>
      <c r="CE74" s="1" t="s">
        <v>103</v>
      </c>
      <c r="CF74" s="1" t="s">
        <v>282</v>
      </c>
      <c r="CG74" s="1" t="s">
        <v>311</v>
      </c>
      <c r="CH74" s="1" t="s">
        <v>106</v>
      </c>
      <c r="CI74" s="1" t="s">
        <v>107</v>
      </c>
      <c r="CJ74" s="1" t="s">
        <v>108</v>
      </c>
      <c r="CK74" s="1" t="s">
        <v>235</v>
      </c>
      <c r="CO74">
        <v>252</v>
      </c>
      <c r="CP74" t="s">
        <v>322</v>
      </c>
      <c r="CQ74" t="b">
        <v>0</v>
      </c>
      <c r="CR74" t="s">
        <v>427</v>
      </c>
      <c r="CS74" t="s">
        <v>311</v>
      </c>
      <c r="CT74" t="s">
        <v>106</v>
      </c>
      <c r="CU74" t="s">
        <v>107</v>
      </c>
      <c r="CV74" t="s">
        <v>108</v>
      </c>
      <c r="CW74" s="3">
        <v>31.646629333496094</v>
      </c>
      <c r="DA74">
        <v>300</v>
      </c>
      <c r="DB74" t="s">
        <v>365</v>
      </c>
      <c r="DC74" t="b">
        <v>0</v>
      </c>
      <c r="DD74" t="s">
        <v>427</v>
      </c>
      <c r="DE74" t="s">
        <v>328</v>
      </c>
      <c r="DF74" t="s">
        <v>106</v>
      </c>
      <c r="DG74" t="s">
        <v>107</v>
      </c>
      <c r="DH74" t="s">
        <v>108</v>
      </c>
      <c r="DI74" t="s">
        <v>235</v>
      </c>
      <c r="DM74">
        <v>348</v>
      </c>
      <c r="DN74" t="s">
        <v>397</v>
      </c>
      <c r="DO74" t="b">
        <v>0</v>
      </c>
      <c r="DP74" t="s">
        <v>427</v>
      </c>
      <c r="DQ74" t="s">
        <v>332</v>
      </c>
      <c r="DR74" t="s">
        <v>106</v>
      </c>
      <c r="DS74" t="s">
        <v>107</v>
      </c>
      <c r="DT74" t="s">
        <v>108</v>
      </c>
      <c r="DU74" s="3">
        <v>22.944528579711914</v>
      </c>
    </row>
    <row r="75" spans="2:125" x14ac:dyDescent="0.25">
      <c r="B75" s="1">
        <v>36</v>
      </c>
      <c r="C75" t="s">
        <v>148</v>
      </c>
      <c r="D75" t="b">
        <v>0</v>
      </c>
      <c r="E75" t="s">
        <v>427</v>
      </c>
      <c r="F75" t="s">
        <v>105</v>
      </c>
      <c r="G75" t="s">
        <v>106</v>
      </c>
      <c r="H75" t="s">
        <v>107</v>
      </c>
      <c r="I75" t="s">
        <v>108</v>
      </c>
      <c r="J75" s="3">
        <v>24.831644058227539</v>
      </c>
      <c r="M75">
        <v>92</v>
      </c>
      <c r="N75" t="s">
        <v>189</v>
      </c>
      <c r="O75" t="b">
        <v>0</v>
      </c>
      <c r="P75" t="s">
        <v>427</v>
      </c>
      <c r="Q75" t="s">
        <v>129</v>
      </c>
      <c r="R75" t="s">
        <v>106</v>
      </c>
      <c r="S75" t="s">
        <v>107</v>
      </c>
      <c r="T75" t="s">
        <v>108</v>
      </c>
      <c r="U75" s="3">
        <v>18.737129211425781</v>
      </c>
      <c r="X75">
        <v>84</v>
      </c>
      <c r="Y75" t="s">
        <v>185</v>
      </c>
      <c r="Z75" t="b">
        <v>0</v>
      </c>
      <c r="AA75" t="s">
        <v>427</v>
      </c>
      <c r="AB75" t="s">
        <v>158</v>
      </c>
      <c r="AC75" t="s">
        <v>106</v>
      </c>
      <c r="AD75" t="s">
        <v>107</v>
      </c>
      <c r="AE75" t="s">
        <v>108</v>
      </c>
      <c r="AF75" s="3">
        <v>17.211124420166016</v>
      </c>
      <c r="AI75">
        <v>132</v>
      </c>
      <c r="AJ75" t="s">
        <v>224</v>
      </c>
      <c r="AK75" t="b">
        <v>0</v>
      </c>
      <c r="AL75" t="s">
        <v>427</v>
      </c>
      <c r="AM75" t="s">
        <v>191</v>
      </c>
      <c r="AN75" t="s">
        <v>106</v>
      </c>
      <c r="AO75" t="s">
        <v>107</v>
      </c>
      <c r="AP75" t="s">
        <v>108</v>
      </c>
      <c r="AQ75" s="3">
        <v>23.244733810424805</v>
      </c>
      <c r="AT75">
        <v>188</v>
      </c>
      <c r="AU75" t="s">
        <v>267</v>
      </c>
      <c r="AV75" t="b">
        <v>0</v>
      </c>
      <c r="AW75" t="s">
        <v>427</v>
      </c>
      <c r="AX75" t="s">
        <v>204</v>
      </c>
      <c r="AY75" t="s">
        <v>106</v>
      </c>
      <c r="AZ75" t="s">
        <v>107</v>
      </c>
      <c r="BA75" t="s">
        <v>108</v>
      </c>
      <c r="BB75" s="3">
        <v>28.441234588623047</v>
      </c>
      <c r="BE75">
        <v>180</v>
      </c>
      <c r="BF75" t="s">
        <v>263</v>
      </c>
      <c r="BG75" t="b">
        <v>0</v>
      </c>
      <c r="BH75" t="s">
        <v>427</v>
      </c>
      <c r="BI75" t="s">
        <v>234</v>
      </c>
      <c r="BJ75" t="s">
        <v>106</v>
      </c>
      <c r="BK75" t="s">
        <v>107</v>
      </c>
      <c r="BL75" t="s">
        <v>108</v>
      </c>
      <c r="BM75" s="3">
        <v>32.058368682861328</v>
      </c>
      <c r="BQ75">
        <v>228</v>
      </c>
      <c r="BR75" t="s">
        <v>301</v>
      </c>
      <c r="BS75" t="b">
        <v>0</v>
      </c>
      <c r="BT75" t="s">
        <v>427</v>
      </c>
      <c r="BU75" t="s">
        <v>269</v>
      </c>
      <c r="BV75" t="s">
        <v>106</v>
      </c>
      <c r="BW75" t="s">
        <v>107</v>
      </c>
      <c r="BX75" t="s">
        <v>108</v>
      </c>
      <c r="BY75" s="3">
        <v>25.647455215454102</v>
      </c>
      <c r="CC75" s="1">
        <v>288</v>
      </c>
      <c r="CD75" s="1" t="s">
        <v>353</v>
      </c>
      <c r="CE75" s="1" t="s">
        <v>103</v>
      </c>
      <c r="CF75" s="1" t="s">
        <v>282</v>
      </c>
      <c r="CG75" s="1" t="s">
        <v>332</v>
      </c>
      <c r="CH75" s="1" t="s">
        <v>106</v>
      </c>
      <c r="CI75" s="1" t="s">
        <v>107</v>
      </c>
      <c r="CJ75" s="1" t="s">
        <v>108</v>
      </c>
      <c r="CK75" s="1" t="s">
        <v>235</v>
      </c>
      <c r="CO75">
        <v>276</v>
      </c>
      <c r="CP75" t="s">
        <v>345</v>
      </c>
      <c r="CQ75" t="b">
        <v>0</v>
      </c>
      <c r="CR75" t="s">
        <v>427</v>
      </c>
      <c r="CS75" t="s">
        <v>311</v>
      </c>
      <c r="CT75" t="s">
        <v>106</v>
      </c>
      <c r="CU75" t="s">
        <v>107</v>
      </c>
      <c r="CV75" t="s">
        <v>108</v>
      </c>
      <c r="CW75" t="s">
        <v>235</v>
      </c>
      <c r="DA75">
        <v>324</v>
      </c>
      <c r="DB75" t="s">
        <v>381</v>
      </c>
      <c r="DC75" t="b">
        <v>0</v>
      </c>
      <c r="DD75" t="s">
        <v>427</v>
      </c>
      <c r="DE75" t="s">
        <v>328</v>
      </c>
      <c r="DF75" t="s">
        <v>106</v>
      </c>
      <c r="DG75" t="s">
        <v>107</v>
      </c>
      <c r="DH75" t="s">
        <v>108</v>
      </c>
      <c r="DI75" s="3">
        <v>32.484012603759766</v>
      </c>
      <c r="DM75">
        <v>372</v>
      </c>
      <c r="DN75" t="s">
        <v>409</v>
      </c>
      <c r="DO75" t="b">
        <v>0</v>
      </c>
      <c r="DP75" t="s">
        <v>427</v>
      </c>
      <c r="DQ75" t="s">
        <v>332</v>
      </c>
      <c r="DR75" t="s">
        <v>106</v>
      </c>
      <c r="DS75" t="s">
        <v>107</v>
      </c>
      <c r="DT75" t="s">
        <v>108</v>
      </c>
      <c r="DU75" s="3">
        <v>23.727947235107422</v>
      </c>
    </row>
    <row r="76" spans="2:125" x14ac:dyDescent="0.25">
      <c r="B76" s="1" t="s">
        <v>60</v>
      </c>
      <c r="C76" s="1" t="s">
        <v>61</v>
      </c>
      <c r="D76" s="1" t="s">
        <v>62</v>
      </c>
      <c r="E76" s="1" t="s">
        <v>63</v>
      </c>
      <c r="F76" s="1" t="s">
        <v>64</v>
      </c>
      <c r="G76" s="1" t="s">
        <v>65</v>
      </c>
      <c r="H76" s="1" t="s">
        <v>66</v>
      </c>
      <c r="I76" s="1" t="s">
        <v>67</v>
      </c>
      <c r="J76" s="1" t="s">
        <v>68</v>
      </c>
    </row>
    <row r="77" spans="2:125" x14ac:dyDescent="0.25">
      <c r="CC77" s="1">
        <v>305</v>
      </c>
      <c r="CD77" s="1" t="s">
        <v>366</v>
      </c>
      <c r="CE77" s="1" t="s">
        <v>103</v>
      </c>
      <c r="CF77" s="1" t="s">
        <v>282</v>
      </c>
      <c r="CG77" s="1" t="s">
        <v>129</v>
      </c>
      <c r="CH77" s="1" t="s">
        <v>106</v>
      </c>
      <c r="CI77" s="1" t="s">
        <v>107</v>
      </c>
      <c r="CJ77" s="1" t="s">
        <v>108</v>
      </c>
      <c r="CK77" s="1">
        <v>36.951000000000001</v>
      </c>
    </row>
    <row r="78" spans="2:125" x14ac:dyDescent="0.25">
      <c r="CC78" s="1">
        <v>306</v>
      </c>
      <c r="CD78" s="1" t="s">
        <v>367</v>
      </c>
      <c r="CE78" s="1" t="s">
        <v>103</v>
      </c>
      <c r="CF78" s="1" t="s">
        <v>282</v>
      </c>
      <c r="CG78" s="1" t="s">
        <v>129</v>
      </c>
      <c r="CH78" s="1" t="s">
        <v>106</v>
      </c>
      <c r="CI78" s="1" t="s">
        <v>107</v>
      </c>
      <c r="CJ78" s="1" t="s">
        <v>108</v>
      </c>
      <c r="CK78" s="1">
        <v>38.627000000000002</v>
      </c>
    </row>
    <row r="79" spans="2:125" x14ac:dyDescent="0.25">
      <c r="CC79" s="1">
        <v>307</v>
      </c>
      <c r="CD79" s="1" t="s">
        <v>368</v>
      </c>
      <c r="CE79" s="1" t="s">
        <v>103</v>
      </c>
      <c r="CF79" s="1" t="s">
        <v>282</v>
      </c>
      <c r="CG79" s="1" t="s">
        <v>204</v>
      </c>
      <c r="CH79" s="1" t="s">
        <v>106</v>
      </c>
      <c r="CI79" s="1" t="s">
        <v>107</v>
      </c>
      <c r="CJ79" s="1" t="s">
        <v>108</v>
      </c>
      <c r="CK79" s="1" t="s">
        <v>235</v>
      </c>
    </row>
    <row r="80" spans="2:125" x14ac:dyDescent="0.25">
      <c r="CC80" s="1">
        <v>308</v>
      </c>
      <c r="CD80" s="1" t="s">
        <v>369</v>
      </c>
      <c r="CE80" s="1" t="s">
        <v>103</v>
      </c>
      <c r="CF80" s="1" t="s">
        <v>282</v>
      </c>
      <c r="CG80" s="1" t="s">
        <v>204</v>
      </c>
      <c r="CH80" s="1" t="s">
        <v>106</v>
      </c>
      <c r="CI80" s="1" t="s">
        <v>107</v>
      </c>
      <c r="CJ80" s="1" t="s">
        <v>108</v>
      </c>
      <c r="CK80" s="1" t="s">
        <v>235</v>
      </c>
    </row>
    <row r="81" spans="2:90" x14ac:dyDescent="0.25">
      <c r="B81" s="1">
        <v>1</v>
      </c>
      <c r="C81" s="1" t="s">
        <v>128</v>
      </c>
      <c r="D81" s="1" t="s">
        <v>103</v>
      </c>
      <c r="E81" s="1" t="s">
        <v>104</v>
      </c>
      <c r="F81" s="1" t="s">
        <v>129</v>
      </c>
      <c r="G81" s="1" t="s">
        <v>106</v>
      </c>
      <c r="H81" s="1" t="s">
        <v>107</v>
      </c>
      <c r="I81" s="1" t="s">
        <v>108</v>
      </c>
      <c r="J81" s="1">
        <v>18.398</v>
      </c>
      <c r="N81" s="1">
        <v>113</v>
      </c>
      <c r="O81" s="1" t="s">
        <v>203</v>
      </c>
      <c r="P81" s="1" t="s">
        <v>103</v>
      </c>
      <c r="Q81" s="1" t="s">
        <v>104</v>
      </c>
      <c r="R81" s="1" t="s">
        <v>204</v>
      </c>
      <c r="S81" s="1" t="s">
        <v>106</v>
      </c>
      <c r="T81" s="1" t="s">
        <v>107</v>
      </c>
      <c r="U81" s="1" t="s">
        <v>108</v>
      </c>
      <c r="V81" s="1">
        <v>30.41</v>
      </c>
      <c r="AA81" s="1">
        <v>209</v>
      </c>
      <c r="AB81" s="1" t="s">
        <v>281</v>
      </c>
      <c r="AC81" s="1" t="s">
        <v>103</v>
      </c>
      <c r="AD81" s="1" t="s">
        <v>282</v>
      </c>
      <c r="AE81" s="1" t="s">
        <v>105</v>
      </c>
      <c r="AF81" s="1" t="s">
        <v>106</v>
      </c>
      <c r="AG81" s="1" t="s">
        <v>107</v>
      </c>
      <c r="AH81" s="1" t="s">
        <v>108</v>
      </c>
      <c r="AI81" s="1" t="s">
        <v>235</v>
      </c>
      <c r="CC81" s="1">
        <v>329</v>
      </c>
      <c r="CD81" s="1" t="s">
        <v>382</v>
      </c>
      <c r="CE81" s="1" t="s">
        <v>103</v>
      </c>
      <c r="CF81" s="1" t="s">
        <v>282</v>
      </c>
      <c r="CG81" s="1" t="s">
        <v>129</v>
      </c>
      <c r="CH81" s="1" t="s">
        <v>106</v>
      </c>
      <c r="CI81" s="1" t="s">
        <v>107</v>
      </c>
      <c r="CJ81" s="1" t="s">
        <v>108</v>
      </c>
      <c r="CK81" s="1" t="s">
        <v>235</v>
      </c>
      <c r="CL81" s="1">
        <v>37.789000000000001</v>
      </c>
    </row>
    <row r="82" spans="2:90" x14ac:dyDescent="0.25">
      <c r="B82" s="1">
        <v>1</v>
      </c>
      <c r="C82" s="1" t="s">
        <v>149</v>
      </c>
      <c r="D82" s="1" t="s">
        <v>103</v>
      </c>
      <c r="E82" s="1" t="s">
        <v>104</v>
      </c>
      <c r="F82" s="1" t="s">
        <v>129</v>
      </c>
      <c r="G82" s="1" t="s">
        <v>106</v>
      </c>
      <c r="H82" s="1" t="s">
        <v>107</v>
      </c>
      <c r="I82" s="1" t="s">
        <v>108</v>
      </c>
      <c r="J82" s="1">
        <v>18.263999999999999</v>
      </c>
      <c r="N82" s="1">
        <v>137</v>
      </c>
      <c r="O82" s="1" t="s">
        <v>225</v>
      </c>
      <c r="P82" s="1" t="s">
        <v>103</v>
      </c>
      <c r="Q82" s="1" t="s">
        <v>104</v>
      </c>
      <c r="R82" s="1" t="s">
        <v>204</v>
      </c>
      <c r="S82" s="1" t="s">
        <v>106</v>
      </c>
      <c r="T82" s="1" t="s">
        <v>107</v>
      </c>
      <c r="U82" s="1" t="s">
        <v>108</v>
      </c>
      <c r="V82" s="1">
        <v>31.282</v>
      </c>
      <c r="AA82" s="1">
        <v>210</v>
      </c>
      <c r="AB82" s="1" t="s">
        <v>283</v>
      </c>
      <c r="AC82" s="1" t="s">
        <v>103</v>
      </c>
      <c r="AD82" s="1" t="s">
        <v>282</v>
      </c>
      <c r="AE82" s="1" t="s">
        <v>105</v>
      </c>
      <c r="AF82" s="1" t="s">
        <v>106</v>
      </c>
      <c r="AG82" s="1" t="s">
        <v>107</v>
      </c>
      <c r="AH82" s="1" t="s">
        <v>108</v>
      </c>
      <c r="AI82" s="1" t="s">
        <v>235</v>
      </c>
      <c r="CC82" s="1">
        <v>330</v>
      </c>
      <c r="CD82" s="1" t="s">
        <v>383</v>
      </c>
      <c r="CE82" s="1" t="s">
        <v>103</v>
      </c>
      <c r="CF82" s="1" t="s">
        <v>282</v>
      </c>
      <c r="CG82" s="1" t="s">
        <v>129</v>
      </c>
      <c r="CH82" s="1" t="s">
        <v>106</v>
      </c>
      <c r="CI82" s="1" t="s">
        <v>107</v>
      </c>
      <c r="CJ82" s="1" t="s">
        <v>108</v>
      </c>
      <c r="CK82" s="1" t="s">
        <v>235</v>
      </c>
      <c r="CL82" s="1">
        <v>37.789000000000001</v>
      </c>
    </row>
    <row r="83" spans="2:90" x14ac:dyDescent="0.25">
      <c r="B83" s="1">
        <v>2</v>
      </c>
      <c r="C83" s="1" t="s">
        <v>130</v>
      </c>
      <c r="D83" s="1" t="s">
        <v>103</v>
      </c>
      <c r="E83" s="1" t="s">
        <v>104</v>
      </c>
      <c r="F83" s="1" t="s">
        <v>129</v>
      </c>
      <c r="G83" s="1" t="s">
        <v>106</v>
      </c>
      <c r="H83" s="1" t="s">
        <v>107</v>
      </c>
      <c r="I83" s="1" t="s">
        <v>108</v>
      </c>
      <c r="J83" s="1">
        <v>18.318999999999999</v>
      </c>
      <c r="N83" s="1">
        <v>114</v>
      </c>
      <c r="O83" s="1" t="s">
        <v>206</v>
      </c>
      <c r="P83" s="1" t="s">
        <v>103</v>
      </c>
      <c r="Q83" s="1" t="s">
        <v>104</v>
      </c>
      <c r="R83" s="1" t="s">
        <v>204</v>
      </c>
      <c r="S83" s="1" t="s">
        <v>106</v>
      </c>
      <c r="T83" s="1" t="s">
        <v>107</v>
      </c>
      <c r="U83" s="1" t="s">
        <v>108</v>
      </c>
      <c r="V83" s="1">
        <v>31.62</v>
      </c>
      <c r="AA83" s="1">
        <v>233</v>
      </c>
      <c r="AB83" s="1" t="s">
        <v>302</v>
      </c>
      <c r="AC83" s="1" t="s">
        <v>103</v>
      </c>
      <c r="AD83" s="1" t="s">
        <v>282</v>
      </c>
      <c r="AE83" s="1" t="s">
        <v>105</v>
      </c>
      <c r="AF83" s="1" t="s">
        <v>106</v>
      </c>
      <c r="AG83" s="1" t="s">
        <v>107</v>
      </c>
      <c r="AH83" s="1" t="s">
        <v>108</v>
      </c>
      <c r="AI83" s="1">
        <v>20.882000000000001</v>
      </c>
      <c r="CC83" s="1">
        <v>331</v>
      </c>
      <c r="CD83" s="1" t="s">
        <v>384</v>
      </c>
      <c r="CE83" s="1" t="s">
        <v>103</v>
      </c>
      <c r="CF83" s="1" t="s">
        <v>282</v>
      </c>
      <c r="CG83" s="1" t="s">
        <v>204</v>
      </c>
      <c r="CH83" s="1" t="s">
        <v>106</v>
      </c>
      <c r="CI83" s="1" t="s">
        <v>107</v>
      </c>
      <c r="CJ83" s="1" t="s">
        <v>108</v>
      </c>
      <c r="CK83" s="1">
        <v>15.439</v>
      </c>
      <c r="CL83" s="1">
        <v>15.439</v>
      </c>
    </row>
    <row r="84" spans="2:90" x14ac:dyDescent="0.25">
      <c r="B84" s="1">
        <v>2</v>
      </c>
      <c r="C84" s="1" t="s">
        <v>150</v>
      </c>
      <c r="D84" s="1" t="s">
        <v>103</v>
      </c>
      <c r="E84" s="1" t="s">
        <v>104</v>
      </c>
      <c r="F84" s="1" t="s">
        <v>129</v>
      </c>
      <c r="G84" s="1" t="s">
        <v>106</v>
      </c>
      <c r="H84" s="1" t="s">
        <v>107</v>
      </c>
      <c r="I84" s="1" t="s">
        <v>108</v>
      </c>
      <c r="J84" s="1">
        <v>18.21</v>
      </c>
      <c r="N84" s="1">
        <v>138</v>
      </c>
      <c r="O84" s="1" t="s">
        <v>226</v>
      </c>
      <c r="P84" s="1" t="s">
        <v>103</v>
      </c>
      <c r="Q84" s="1" t="s">
        <v>104</v>
      </c>
      <c r="R84" s="1" t="s">
        <v>204</v>
      </c>
      <c r="S84" s="1" t="s">
        <v>106</v>
      </c>
      <c r="T84" s="1" t="s">
        <v>107</v>
      </c>
      <c r="U84" s="1" t="s">
        <v>108</v>
      </c>
      <c r="V84" s="1">
        <v>30.731000000000002</v>
      </c>
      <c r="AA84" s="1">
        <v>234</v>
      </c>
      <c r="AB84" s="1" t="s">
        <v>303</v>
      </c>
      <c r="AC84" s="1" t="s">
        <v>103</v>
      </c>
      <c r="AD84" s="1" t="s">
        <v>282</v>
      </c>
      <c r="AE84" s="1" t="s">
        <v>105</v>
      </c>
      <c r="AF84" s="1" t="s">
        <v>106</v>
      </c>
      <c r="AG84" s="1" t="s">
        <v>107</v>
      </c>
      <c r="AH84" s="1" t="s">
        <v>108</v>
      </c>
      <c r="AI84" s="1">
        <v>24.774000000000001</v>
      </c>
      <c r="CC84" s="1">
        <v>332</v>
      </c>
      <c r="CD84" s="1" t="s">
        <v>385</v>
      </c>
      <c r="CE84" s="1" t="s">
        <v>103</v>
      </c>
      <c r="CF84" s="1" t="s">
        <v>282</v>
      </c>
      <c r="CG84" s="1" t="s">
        <v>204</v>
      </c>
      <c r="CH84" s="1" t="s">
        <v>106</v>
      </c>
      <c r="CI84" s="1" t="s">
        <v>107</v>
      </c>
      <c r="CJ84" s="1" t="s">
        <v>108</v>
      </c>
      <c r="CK84" s="1" t="s">
        <v>235</v>
      </c>
      <c r="CL84" s="1">
        <v>15.439</v>
      </c>
    </row>
    <row r="85" spans="2:90" x14ac:dyDescent="0.25">
      <c r="B85" s="1">
        <v>3</v>
      </c>
      <c r="C85" s="1" t="s">
        <v>131</v>
      </c>
      <c r="D85" s="1" t="s">
        <v>103</v>
      </c>
      <c r="E85" s="1" t="s">
        <v>114</v>
      </c>
      <c r="F85" s="1" t="s">
        <v>129</v>
      </c>
      <c r="G85" s="1" t="s">
        <v>106</v>
      </c>
      <c r="H85" s="1" t="s">
        <v>107</v>
      </c>
      <c r="I85" s="1" t="s">
        <v>108</v>
      </c>
      <c r="J85" s="1">
        <v>18.141999999999999</v>
      </c>
      <c r="N85" s="1">
        <v>115</v>
      </c>
      <c r="O85" s="1" t="s">
        <v>207</v>
      </c>
      <c r="P85" s="1" t="s">
        <v>103</v>
      </c>
      <c r="Q85" s="1" t="s">
        <v>114</v>
      </c>
      <c r="R85" s="1" t="s">
        <v>204</v>
      </c>
      <c r="S85" s="1" t="s">
        <v>106</v>
      </c>
      <c r="T85" s="1" t="s">
        <v>107</v>
      </c>
      <c r="U85" s="1" t="s">
        <v>108</v>
      </c>
      <c r="V85" s="1">
        <v>30.327000000000002</v>
      </c>
      <c r="AA85" s="1">
        <v>209</v>
      </c>
      <c r="AB85" s="1" t="s">
        <v>281</v>
      </c>
      <c r="AC85" s="1" t="s">
        <v>103</v>
      </c>
      <c r="AD85" s="1" t="s">
        <v>282</v>
      </c>
      <c r="AE85" s="1" t="s">
        <v>105</v>
      </c>
      <c r="AF85" s="1" t="s">
        <v>106</v>
      </c>
      <c r="AG85" s="1" t="s">
        <v>107</v>
      </c>
      <c r="AH85" s="1" t="s">
        <v>108</v>
      </c>
      <c r="AI85" s="1" t="s">
        <v>235</v>
      </c>
      <c r="CC85">
        <v>209</v>
      </c>
      <c r="CD85" t="s">
        <v>281</v>
      </c>
      <c r="CE85" t="b">
        <v>0</v>
      </c>
      <c r="CF85" t="s">
        <v>282</v>
      </c>
      <c r="CG85" t="s">
        <v>105</v>
      </c>
      <c r="CH85" t="s">
        <v>106</v>
      </c>
      <c r="CI85" t="s">
        <v>107</v>
      </c>
      <c r="CJ85" t="s">
        <v>108</v>
      </c>
      <c r="CK85" t="s">
        <v>235</v>
      </c>
    </row>
    <row r="86" spans="2:90" x14ac:dyDescent="0.25">
      <c r="B86" s="1">
        <v>3</v>
      </c>
      <c r="C86" s="1" t="s">
        <v>151</v>
      </c>
      <c r="D86" s="1" t="s">
        <v>103</v>
      </c>
      <c r="E86" s="1" t="s">
        <v>114</v>
      </c>
      <c r="F86" s="1" t="s">
        <v>129</v>
      </c>
      <c r="G86" s="1" t="s">
        <v>106</v>
      </c>
      <c r="H86" s="1" t="s">
        <v>107</v>
      </c>
      <c r="I86" s="1" t="s">
        <v>108</v>
      </c>
      <c r="J86" s="1">
        <v>18.074000000000002</v>
      </c>
      <c r="N86" s="1">
        <v>139</v>
      </c>
      <c r="O86" s="1" t="s">
        <v>227</v>
      </c>
      <c r="P86" s="1" t="s">
        <v>103</v>
      </c>
      <c r="Q86" s="1" t="s">
        <v>114</v>
      </c>
      <c r="R86" s="1" t="s">
        <v>204</v>
      </c>
      <c r="S86" s="1" t="s">
        <v>106</v>
      </c>
      <c r="T86" s="1" t="s">
        <v>107</v>
      </c>
      <c r="U86" s="1" t="s">
        <v>108</v>
      </c>
      <c r="V86" s="1">
        <v>30.562000000000001</v>
      </c>
      <c r="AA86" s="1">
        <v>210</v>
      </c>
      <c r="AB86" s="1" t="s">
        <v>283</v>
      </c>
      <c r="AC86" s="1" t="s">
        <v>103</v>
      </c>
      <c r="AD86" s="1" t="s">
        <v>282</v>
      </c>
      <c r="AE86" s="1" t="s">
        <v>105</v>
      </c>
      <c r="AF86" s="1" t="s">
        <v>106</v>
      </c>
      <c r="AG86" s="1" t="s">
        <v>107</v>
      </c>
      <c r="AH86" s="1" t="s">
        <v>108</v>
      </c>
      <c r="AI86" s="1" t="s">
        <v>235</v>
      </c>
      <c r="CC86">
        <v>210</v>
      </c>
      <c r="CD86" t="s">
        <v>283</v>
      </c>
      <c r="CE86" t="b">
        <v>0</v>
      </c>
      <c r="CF86" t="s">
        <v>282</v>
      </c>
      <c r="CG86" t="s">
        <v>105</v>
      </c>
      <c r="CH86" t="s">
        <v>106</v>
      </c>
      <c r="CI86" t="s">
        <v>107</v>
      </c>
      <c r="CJ86" t="s">
        <v>108</v>
      </c>
      <c r="CK86" t="s">
        <v>235</v>
      </c>
    </row>
    <row r="87" spans="2:90" x14ac:dyDescent="0.25">
      <c r="B87" s="1">
        <v>4</v>
      </c>
      <c r="C87" s="1" t="s">
        <v>132</v>
      </c>
      <c r="D87" s="1" t="s">
        <v>103</v>
      </c>
      <c r="E87" s="1" t="s">
        <v>114</v>
      </c>
      <c r="F87" s="1" t="s">
        <v>129</v>
      </c>
      <c r="G87" s="1" t="s">
        <v>106</v>
      </c>
      <c r="H87" s="1" t="s">
        <v>107</v>
      </c>
      <c r="I87" s="1" t="s">
        <v>108</v>
      </c>
      <c r="J87" s="1">
        <v>18.117000000000001</v>
      </c>
      <c r="N87" s="1">
        <v>116</v>
      </c>
      <c r="O87" s="1" t="s">
        <v>208</v>
      </c>
      <c r="P87" s="1" t="s">
        <v>103</v>
      </c>
      <c r="Q87" s="1" t="s">
        <v>114</v>
      </c>
      <c r="R87" s="1" t="s">
        <v>204</v>
      </c>
      <c r="S87" s="1" t="s">
        <v>106</v>
      </c>
      <c r="T87" s="1" t="s">
        <v>107</v>
      </c>
      <c r="U87" s="1" t="s">
        <v>108</v>
      </c>
      <c r="V87" s="1">
        <v>30.936</v>
      </c>
      <c r="AA87" s="1">
        <v>233</v>
      </c>
      <c r="AB87" s="1" t="s">
        <v>302</v>
      </c>
      <c r="AC87" s="1" t="s">
        <v>103</v>
      </c>
      <c r="AD87" s="1" t="s">
        <v>282</v>
      </c>
      <c r="AE87" s="1" t="s">
        <v>105</v>
      </c>
      <c r="AF87" s="1" t="s">
        <v>106</v>
      </c>
      <c r="AG87" s="1" t="s">
        <v>107</v>
      </c>
      <c r="AH87" s="1" t="s">
        <v>108</v>
      </c>
      <c r="AI87" s="1" t="s">
        <v>235</v>
      </c>
      <c r="CC87">
        <v>211</v>
      </c>
      <c r="CD87" t="s">
        <v>284</v>
      </c>
      <c r="CE87" t="b">
        <v>0</v>
      </c>
      <c r="CF87" t="s">
        <v>282</v>
      </c>
      <c r="CG87" t="s">
        <v>158</v>
      </c>
      <c r="CH87" t="s">
        <v>106</v>
      </c>
      <c r="CI87" t="s">
        <v>107</v>
      </c>
      <c r="CJ87" t="s">
        <v>108</v>
      </c>
      <c r="CK87" t="s">
        <v>235</v>
      </c>
    </row>
    <row r="88" spans="2:90" x14ac:dyDescent="0.25">
      <c r="B88" s="1">
        <v>4</v>
      </c>
      <c r="C88" s="1" t="s">
        <v>152</v>
      </c>
      <c r="D88" s="1" t="s">
        <v>103</v>
      </c>
      <c r="E88" s="1" t="s">
        <v>114</v>
      </c>
      <c r="F88" s="1" t="s">
        <v>129</v>
      </c>
      <c r="G88" s="1" t="s">
        <v>106</v>
      </c>
      <c r="H88" s="1" t="s">
        <v>107</v>
      </c>
      <c r="I88" s="1" t="s">
        <v>108</v>
      </c>
      <c r="J88" s="1">
        <v>18.041</v>
      </c>
      <c r="N88" s="1">
        <v>140</v>
      </c>
      <c r="O88" s="1" t="s">
        <v>228</v>
      </c>
      <c r="P88" s="1" t="s">
        <v>103</v>
      </c>
      <c r="Q88" s="1" t="s">
        <v>114</v>
      </c>
      <c r="R88" s="1" t="s">
        <v>204</v>
      </c>
      <c r="S88" s="1" t="s">
        <v>106</v>
      </c>
      <c r="T88" s="1" t="s">
        <v>107</v>
      </c>
      <c r="U88" s="1" t="s">
        <v>108</v>
      </c>
      <c r="V88" s="1">
        <v>30.367999999999999</v>
      </c>
      <c r="AA88" s="1">
        <v>234</v>
      </c>
      <c r="AB88" s="1" t="s">
        <v>303</v>
      </c>
      <c r="AC88" s="1" t="s">
        <v>103</v>
      </c>
      <c r="AD88" s="1" t="s">
        <v>282</v>
      </c>
      <c r="AE88" s="1" t="s">
        <v>105</v>
      </c>
      <c r="AF88" s="1" t="s">
        <v>106</v>
      </c>
      <c r="AG88" s="1" t="s">
        <v>107</v>
      </c>
      <c r="AH88" s="1" t="s">
        <v>108</v>
      </c>
      <c r="AI88" s="1">
        <v>5.5309999999999997</v>
      </c>
      <c r="CC88">
        <v>212</v>
      </c>
      <c r="CD88" t="s">
        <v>285</v>
      </c>
      <c r="CE88" t="b">
        <v>0</v>
      </c>
      <c r="CF88" t="s">
        <v>282</v>
      </c>
      <c r="CG88" t="s">
        <v>158</v>
      </c>
      <c r="CH88" t="s">
        <v>106</v>
      </c>
      <c r="CI88" t="s">
        <v>107</v>
      </c>
      <c r="CJ88" t="s">
        <v>108</v>
      </c>
      <c r="CK88" s="3">
        <v>34.938259124755859</v>
      </c>
    </row>
    <row r="89" spans="2:90" x14ac:dyDescent="0.25">
      <c r="B89" s="1">
        <v>5</v>
      </c>
      <c r="C89" s="1" t="s">
        <v>133</v>
      </c>
      <c r="D89" s="1" t="s">
        <v>103</v>
      </c>
      <c r="E89" s="1" t="s">
        <v>117</v>
      </c>
      <c r="F89" s="1" t="s">
        <v>129</v>
      </c>
      <c r="G89" s="1" t="s">
        <v>106</v>
      </c>
      <c r="H89" s="1" t="s">
        <v>107</v>
      </c>
      <c r="I89" s="1" t="s">
        <v>108</v>
      </c>
      <c r="J89" s="1">
        <v>17.544</v>
      </c>
      <c r="N89" s="1">
        <v>117</v>
      </c>
      <c r="O89" s="1" t="s">
        <v>209</v>
      </c>
      <c r="P89" s="1" t="s">
        <v>103</v>
      </c>
      <c r="Q89" s="1" t="s">
        <v>117</v>
      </c>
      <c r="R89" s="1" t="s">
        <v>204</v>
      </c>
      <c r="S89" s="1" t="s">
        <v>106</v>
      </c>
      <c r="T89" s="1" t="s">
        <v>107</v>
      </c>
      <c r="U89" s="1" t="s">
        <v>108</v>
      </c>
      <c r="V89" s="1">
        <v>28.061</v>
      </c>
      <c r="AA89">
        <v>209</v>
      </c>
      <c r="AB89" t="s">
        <v>281</v>
      </c>
      <c r="AC89" t="b">
        <v>0</v>
      </c>
      <c r="AD89" t="s">
        <v>282</v>
      </c>
      <c r="AE89" t="s">
        <v>105</v>
      </c>
      <c r="AF89" t="s">
        <v>106</v>
      </c>
      <c r="AG89" t="s">
        <v>107</v>
      </c>
      <c r="AH89" t="s">
        <v>108</v>
      </c>
      <c r="AI89" t="s">
        <v>235</v>
      </c>
      <c r="CC89">
        <v>213</v>
      </c>
      <c r="CD89" t="s">
        <v>286</v>
      </c>
      <c r="CE89" t="b">
        <v>0</v>
      </c>
      <c r="CF89" t="s">
        <v>282</v>
      </c>
      <c r="CG89" t="s">
        <v>191</v>
      </c>
      <c r="CH89" t="s">
        <v>106</v>
      </c>
      <c r="CI89" t="s">
        <v>107</v>
      </c>
      <c r="CJ89" t="s">
        <v>108</v>
      </c>
      <c r="CK89" t="s">
        <v>235</v>
      </c>
    </row>
    <row r="90" spans="2:90" x14ac:dyDescent="0.25">
      <c r="B90" s="1">
        <v>5</v>
      </c>
      <c r="C90" s="1" t="s">
        <v>153</v>
      </c>
      <c r="D90" s="1" t="s">
        <v>103</v>
      </c>
      <c r="E90" s="1" t="s">
        <v>117</v>
      </c>
      <c r="F90" s="1" t="s">
        <v>129</v>
      </c>
      <c r="G90" s="1" t="s">
        <v>106</v>
      </c>
      <c r="H90" s="1" t="s">
        <v>107</v>
      </c>
      <c r="I90" s="1" t="s">
        <v>108</v>
      </c>
      <c r="J90" s="1">
        <v>17.760999999999999</v>
      </c>
      <c r="N90" s="1">
        <v>141</v>
      </c>
      <c r="O90" s="1" t="s">
        <v>229</v>
      </c>
      <c r="P90" s="1" t="s">
        <v>103</v>
      </c>
      <c r="Q90" s="1" t="s">
        <v>117</v>
      </c>
      <c r="R90" s="1" t="s">
        <v>204</v>
      </c>
      <c r="S90" s="1" t="s">
        <v>106</v>
      </c>
      <c r="T90" s="1" t="s">
        <v>107</v>
      </c>
      <c r="U90" s="1" t="s">
        <v>108</v>
      </c>
      <c r="V90" s="1">
        <v>27.617000000000001</v>
      </c>
      <c r="AA90">
        <v>210</v>
      </c>
      <c r="AB90" t="s">
        <v>283</v>
      </c>
      <c r="AC90" t="b">
        <v>0</v>
      </c>
      <c r="AD90" t="s">
        <v>282</v>
      </c>
      <c r="AE90" t="s">
        <v>105</v>
      </c>
      <c r="AF90" t="s">
        <v>106</v>
      </c>
      <c r="AG90" t="s">
        <v>107</v>
      </c>
      <c r="AH90" t="s">
        <v>108</v>
      </c>
      <c r="AI90" t="s">
        <v>235</v>
      </c>
      <c r="CC90">
        <v>214</v>
      </c>
      <c r="CD90" t="s">
        <v>287</v>
      </c>
      <c r="CE90" t="b">
        <v>0</v>
      </c>
      <c r="CF90" t="s">
        <v>282</v>
      </c>
      <c r="CG90" t="s">
        <v>191</v>
      </c>
      <c r="CH90" t="s">
        <v>106</v>
      </c>
      <c r="CI90" t="s">
        <v>107</v>
      </c>
      <c r="CJ90" t="s">
        <v>108</v>
      </c>
      <c r="CK90" t="s">
        <v>235</v>
      </c>
    </row>
    <row r="91" spans="2:90" x14ac:dyDescent="0.25">
      <c r="B91" s="1">
        <v>6</v>
      </c>
      <c r="C91" s="1" t="s">
        <v>134</v>
      </c>
      <c r="D91" s="1" t="s">
        <v>103</v>
      </c>
      <c r="E91" s="1" t="s">
        <v>117</v>
      </c>
      <c r="F91" s="1" t="s">
        <v>129</v>
      </c>
      <c r="G91" s="1" t="s">
        <v>106</v>
      </c>
      <c r="H91" s="1" t="s">
        <v>107</v>
      </c>
      <c r="I91" s="1" t="s">
        <v>108</v>
      </c>
      <c r="J91" s="1">
        <v>17.477</v>
      </c>
      <c r="N91" s="1">
        <v>118</v>
      </c>
      <c r="O91" s="1" t="s">
        <v>210</v>
      </c>
      <c r="P91" s="1" t="s">
        <v>103</v>
      </c>
      <c r="Q91" s="1" t="s">
        <v>117</v>
      </c>
      <c r="R91" s="1" t="s">
        <v>204</v>
      </c>
      <c r="S91" s="1" t="s">
        <v>106</v>
      </c>
      <c r="T91" s="1" t="s">
        <v>107</v>
      </c>
      <c r="U91" s="1" t="s">
        <v>108</v>
      </c>
      <c r="V91" s="1">
        <v>28.076000000000001</v>
      </c>
      <c r="AA91">
        <v>233</v>
      </c>
      <c r="AB91" t="s">
        <v>302</v>
      </c>
      <c r="AC91" t="b">
        <v>0</v>
      </c>
      <c r="AD91" t="s">
        <v>282</v>
      </c>
      <c r="AE91" t="s">
        <v>105</v>
      </c>
      <c r="AF91" t="s">
        <v>106</v>
      </c>
      <c r="AG91" t="s">
        <v>107</v>
      </c>
      <c r="AH91" t="s">
        <v>108</v>
      </c>
      <c r="AI91" t="s">
        <v>235</v>
      </c>
      <c r="CC91">
        <v>215</v>
      </c>
      <c r="CD91" t="s">
        <v>288</v>
      </c>
      <c r="CE91" t="b">
        <v>0</v>
      </c>
      <c r="CF91" t="s">
        <v>282</v>
      </c>
      <c r="CG91" t="s">
        <v>234</v>
      </c>
      <c r="CH91" t="s">
        <v>106</v>
      </c>
      <c r="CI91" t="s">
        <v>107</v>
      </c>
      <c r="CJ91" t="s">
        <v>108</v>
      </c>
      <c r="CK91" t="s">
        <v>235</v>
      </c>
    </row>
    <row r="92" spans="2:90" x14ac:dyDescent="0.25">
      <c r="B92" s="1">
        <v>6</v>
      </c>
      <c r="C92" s="1" t="s">
        <v>154</v>
      </c>
      <c r="D92" s="1" t="s">
        <v>103</v>
      </c>
      <c r="E92" s="1" t="s">
        <v>117</v>
      </c>
      <c r="F92" s="1" t="s">
        <v>129</v>
      </c>
      <c r="G92" s="1" t="s">
        <v>106</v>
      </c>
      <c r="H92" s="1" t="s">
        <v>107</v>
      </c>
      <c r="I92" s="1" t="s">
        <v>108</v>
      </c>
      <c r="J92" s="1">
        <v>17.635999999999999</v>
      </c>
      <c r="N92" s="1">
        <v>142</v>
      </c>
      <c r="O92" s="1" t="s">
        <v>230</v>
      </c>
      <c r="P92" s="1" t="s">
        <v>103</v>
      </c>
      <c r="Q92" s="1" t="s">
        <v>117</v>
      </c>
      <c r="R92" s="1" t="s">
        <v>204</v>
      </c>
      <c r="S92" s="1" t="s">
        <v>106</v>
      </c>
      <c r="T92" s="1" t="s">
        <v>107</v>
      </c>
      <c r="U92" s="1" t="s">
        <v>108</v>
      </c>
      <c r="V92" s="1">
        <v>28.042000000000002</v>
      </c>
      <c r="AA92">
        <v>234</v>
      </c>
      <c r="AB92" t="s">
        <v>303</v>
      </c>
      <c r="AC92" t="b">
        <v>0</v>
      </c>
      <c r="AD92" t="s">
        <v>282</v>
      </c>
      <c r="AE92" t="s">
        <v>105</v>
      </c>
      <c r="AF92" t="s">
        <v>106</v>
      </c>
      <c r="AG92" t="s">
        <v>107</v>
      </c>
      <c r="AH92" t="s">
        <v>108</v>
      </c>
      <c r="AI92" s="3">
        <v>33.878814697265625</v>
      </c>
      <c r="CC92">
        <v>216</v>
      </c>
      <c r="CD92" t="s">
        <v>289</v>
      </c>
      <c r="CE92" t="b">
        <v>0</v>
      </c>
      <c r="CF92" t="s">
        <v>282</v>
      </c>
      <c r="CG92" t="s">
        <v>234</v>
      </c>
      <c r="CH92" t="s">
        <v>106</v>
      </c>
      <c r="CI92" t="s">
        <v>107</v>
      </c>
      <c r="CJ92" t="s">
        <v>108</v>
      </c>
      <c r="CK92" t="s">
        <v>235</v>
      </c>
    </row>
    <row r="93" spans="2:90" x14ac:dyDescent="0.25">
      <c r="B93" s="1">
        <v>7</v>
      </c>
      <c r="C93" s="1" t="s">
        <v>135</v>
      </c>
      <c r="D93" s="1" t="s">
        <v>103</v>
      </c>
      <c r="E93" s="1" t="s">
        <v>120</v>
      </c>
      <c r="F93" s="1" t="s">
        <v>129</v>
      </c>
      <c r="G93" s="1" t="s">
        <v>106</v>
      </c>
      <c r="H93" s="1" t="s">
        <v>107</v>
      </c>
      <c r="I93" s="1" t="s">
        <v>108</v>
      </c>
      <c r="J93" s="1">
        <v>17.564</v>
      </c>
      <c r="N93" s="1">
        <v>119</v>
      </c>
      <c r="O93" s="1" t="s">
        <v>211</v>
      </c>
      <c r="P93" s="1" t="s">
        <v>103</v>
      </c>
      <c r="Q93" s="1" t="s">
        <v>120</v>
      </c>
      <c r="R93" s="1" t="s">
        <v>204</v>
      </c>
      <c r="S93" s="1" t="s">
        <v>106</v>
      </c>
      <c r="T93" s="1" t="s">
        <v>107</v>
      </c>
      <c r="U93" s="1" t="s">
        <v>108</v>
      </c>
      <c r="V93" s="1">
        <v>27.548999999999999</v>
      </c>
      <c r="AA93" s="1">
        <v>263</v>
      </c>
      <c r="AB93" s="1" t="s">
        <v>331</v>
      </c>
      <c r="AC93" s="1" t="s">
        <v>103</v>
      </c>
      <c r="AD93" s="1" t="s">
        <v>282</v>
      </c>
      <c r="AE93" s="1" t="s">
        <v>332</v>
      </c>
      <c r="AF93" s="1" t="s">
        <v>106</v>
      </c>
      <c r="AG93" s="1" t="s">
        <v>107</v>
      </c>
      <c r="AH93" s="1" t="s">
        <v>108</v>
      </c>
      <c r="AI93" s="1" t="s">
        <v>235</v>
      </c>
      <c r="CC93">
        <v>233</v>
      </c>
      <c r="CD93" t="s">
        <v>302</v>
      </c>
      <c r="CE93" t="b">
        <v>0</v>
      </c>
      <c r="CF93" t="s">
        <v>282</v>
      </c>
      <c r="CG93" t="s">
        <v>105</v>
      </c>
      <c r="CH93" t="s">
        <v>106</v>
      </c>
      <c r="CI93" t="s">
        <v>107</v>
      </c>
      <c r="CJ93" t="s">
        <v>108</v>
      </c>
      <c r="CK93" t="s">
        <v>235</v>
      </c>
    </row>
    <row r="94" spans="2:90" x14ac:dyDescent="0.25">
      <c r="B94" s="1">
        <v>7</v>
      </c>
      <c r="C94" s="1" t="s">
        <v>155</v>
      </c>
      <c r="D94" s="1" t="s">
        <v>103</v>
      </c>
      <c r="E94" s="1" t="s">
        <v>120</v>
      </c>
      <c r="F94" s="1" t="s">
        <v>129</v>
      </c>
      <c r="G94" s="1" t="s">
        <v>106</v>
      </c>
      <c r="H94" s="1" t="s">
        <v>107</v>
      </c>
      <c r="I94" s="1" t="s">
        <v>108</v>
      </c>
      <c r="J94" s="1">
        <v>17.535</v>
      </c>
      <c r="N94" s="1">
        <v>143</v>
      </c>
      <c r="O94" s="1" t="s">
        <v>231</v>
      </c>
      <c r="P94" s="1" t="s">
        <v>103</v>
      </c>
      <c r="Q94" s="1" t="s">
        <v>120</v>
      </c>
      <c r="R94" s="1" t="s">
        <v>204</v>
      </c>
      <c r="S94" s="1" t="s">
        <v>106</v>
      </c>
      <c r="T94" s="1" t="s">
        <v>107</v>
      </c>
      <c r="U94" s="1" t="s">
        <v>108</v>
      </c>
      <c r="V94" s="1">
        <v>27.719000000000001</v>
      </c>
      <c r="AA94" s="1">
        <v>264</v>
      </c>
      <c r="AB94" s="1" t="s">
        <v>333</v>
      </c>
      <c r="AC94" s="1" t="s">
        <v>103</v>
      </c>
      <c r="AD94" s="1" t="s">
        <v>282</v>
      </c>
      <c r="AE94" s="1" t="s">
        <v>332</v>
      </c>
      <c r="AF94" s="1" t="s">
        <v>106</v>
      </c>
      <c r="AG94" s="1" t="s">
        <v>107</v>
      </c>
      <c r="AH94" s="1" t="s">
        <v>108</v>
      </c>
      <c r="AI94" s="1" t="s">
        <v>235</v>
      </c>
      <c r="CC94">
        <v>234</v>
      </c>
      <c r="CD94" t="s">
        <v>303</v>
      </c>
      <c r="CE94" t="b">
        <v>0</v>
      </c>
      <c r="CF94" t="s">
        <v>282</v>
      </c>
      <c r="CG94" t="s">
        <v>105</v>
      </c>
      <c r="CH94" t="s">
        <v>106</v>
      </c>
      <c r="CI94" t="s">
        <v>107</v>
      </c>
      <c r="CJ94" t="s">
        <v>108</v>
      </c>
      <c r="CK94" s="3">
        <v>33.878814697265625</v>
      </c>
    </row>
    <row r="95" spans="2:90" x14ac:dyDescent="0.25">
      <c r="B95" s="1">
        <v>8</v>
      </c>
      <c r="C95" s="1" t="s">
        <v>136</v>
      </c>
      <c r="D95" s="1" t="s">
        <v>103</v>
      </c>
      <c r="E95" s="1" t="s">
        <v>120</v>
      </c>
      <c r="F95" s="1" t="s">
        <v>129</v>
      </c>
      <c r="G95" s="1" t="s">
        <v>106</v>
      </c>
      <c r="H95" s="1" t="s">
        <v>107</v>
      </c>
      <c r="I95" s="1" t="s">
        <v>108</v>
      </c>
      <c r="J95" s="1">
        <v>17.882999999999999</v>
      </c>
      <c r="N95" s="1">
        <v>120</v>
      </c>
      <c r="O95" s="1" t="s">
        <v>212</v>
      </c>
      <c r="P95" s="1" t="s">
        <v>103</v>
      </c>
      <c r="Q95" s="1" t="s">
        <v>120</v>
      </c>
      <c r="R95" s="1" t="s">
        <v>204</v>
      </c>
      <c r="S95" s="1" t="s">
        <v>106</v>
      </c>
      <c r="T95" s="1" t="s">
        <v>107</v>
      </c>
      <c r="U95" s="1" t="s">
        <v>108</v>
      </c>
      <c r="V95" s="1">
        <v>28.167000000000002</v>
      </c>
      <c r="AA95" s="1">
        <v>287</v>
      </c>
      <c r="AB95" s="1" t="s">
        <v>352</v>
      </c>
      <c r="AC95" s="1" t="s">
        <v>103</v>
      </c>
      <c r="AD95" s="1" t="s">
        <v>282</v>
      </c>
      <c r="AE95" s="1" t="s">
        <v>332</v>
      </c>
      <c r="AF95" s="1" t="s">
        <v>106</v>
      </c>
      <c r="AG95" s="1" t="s">
        <v>107</v>
      </c>
      <c r="AH95" s="1" t="s">
        <v>108</v>
      </c>
      <c r="AI95" s="1" t="s">
        <v>235</v>
      </c>
      <c r="CC95">
        <v>235</v>
      </c>
      <c r="CD95" t="s">
        <v>304</v>
      </c>
      <c r="CE95" t="b">
        <v>0</v>
      </c>
      <c r="CF95" t="s">
        <v>282</v>
      </c>
      <c r="CG95" t="s">
        <v>158</v>
      </c>
      <c r="CH95" t="s">
        <v>106</v>
      </c>
      <c r="CI95" t="s">
        <v>107</v>
      </c>
      <c r="CJ95" t="s">
        <v>108</v>
      </c>
      <c r="CK95" t="s">
        <v>235</v>
      </c>
    </row>
    <row r="96" spans="2:90" x14ac:dyDescent="0.25">
      <c r="B96" s="1">
        <v>8</v>
      </c>
      <c r="C96" s="1" t="s">
        <v>156</v>
      </c>
      <c r="D96" s="1" t="s">
        <v>103</v>
      </c>
      <c r="E96" s="1" t="s">
        <v>120</v>
      </c>
      <c r="F96" s="1" t="s">
        <v>129</v>
      </c>
      <c r="G96" s="1" t="s">
        <v>106</v>
      </c>
      <c r="H96" s="1" t="s">
        <v>107</v>
      </c>
      <c r="I96" s="1" t="s">
        <v>108</v>
      </c>
      <c r="J96" s="1">
        <v>17.716999999999999</v>
      </c>
      <c r="N96" s="1">
        <v>144</v>
      </c>
      <c r="O96" s="1" t="s">
        <v>232</v>
      </c>
      <c r="P96" s="1" t="s">
        <v>103</v>
      </c>
      <c r="Q96" s="1" t="s">
        <v>120</v>
      </c>
      <c r="R96" s="1" t="s">
        <v>204</v>
      </c>
      <c r="S96" s="1" t="s">
        <v>106</v>
      </c>
      <c r="T96" s="1" t="s">
        <v>107</v>
      </c>
      <c r="U96" s="1" t="s">
        <v>108</v>
      </c>
      <c r="V96" s="1">
        <v>27.62</v>
      </c>
      <c r="AA96" s="1">
        <v>288</v>
      </c>
      <c r="AB96" s="1" t="s">
        <v>353</v>
      </c>
      <c r="AC96" s="1" t="s">
        <v>103</v>
      </c>
      <c r="AD96" s="1" t="s">
        <v>282</v>
      </c>
      <c r="AE96" s="1" t="s">
        <v>332</v>
      </c>
      <c r="AF96" s="1" t="s">
        <v>106</v>
      </c>
      <c r="AG96" s="1" t="s">
        <v>107</v>
      </c>
      <c r="AH96" s="1" t="s">
        <v>108</v>
      </c>
      <c r="AI96" s="1">
        <v>23.638000000000002</v>
      </c>
      <c r="CC96">
        <v>236</v>
      </c>
      <c r="CD96" t="s">
        <v>305</v>
      </c>
      <c r="CE96" t="b">
        <v>0</v>
      </c>
      <c r="CF96" t="s">
        <v>282</v>
      </c>
      <c r="CG96" t="s">
        <v>158</v>
      </c>
      <c r="CH96" t="s">
        <v>106</v>
      </c>
      <c r="CI96" t="s">
        <v>107</v>
      </c>
      <c r="CJ96" t="s">
        <v>108</v>
      </c>
      <c r="CK96" s="3">
        <v>31.151691436767578</v>
      </c>
    </row>
    <row r="97" spans="2:89" x14ac:dyDescent="0.25">
      <c r="B97" s="1">
        <v>9</v>
      </c>
      <c r="C97" s="1" t="s">
        <v>170</v>
      </c>
      <c r="D97" s="1" t="s">
        <v>103</v>
      </c>
      <c r="E97" s="1" t="s">
        <v>123</v>
      </c>
      <c r="F97" s="1" t="s">
        <v>129</v>
      </c>
      <c r="G97" s="1" t="s">
        <v>106</v>
      </c>
      <c r="H97" s="1" t="s">
        <v>107</v>
      </c>
      <c r="I97" s="1" t="s">
        <v>108</v>
      </c>
      <c r="J97" s="1">
        <v>18.623999999999999</v>
      </c>
      <c r="N97" s="1">
        <v>161</v>
      </c>
      <c r="O97" s="1" t="s">
        <v>248</v>
      </c>
      <c r="P97" s="1" t="s">
        <v>103</v>
      </c>
      <c r="Q97" s="1" t="s">
        <v>123</v>
      </c>
      <c r="R97" s="1" t="s">
        <v>204</v>
      </c>
      <c r="S97" s="1" t="s">
        <v>106</v>
      </c>
      <c r="T97" s="1" t="s">
        <v>107</v>
      </c>
      <c r="U97" s="1" t="s">
        <v>108</v>
      </c>
      <c r="V97" s="1">
        <v>27.856999999999999</v>
      </c>
      <c r="AA97" s="1">
        <v>263</v>
      </c>
      <c r="AB97" s="1" t="s">
        <v>331</v>
      </c>
      <c r="AC97" s="1" t="s">
        <v>103</v>
      </c>
      <c r="AD97" s="1" t="s">
        <v>282</v>
      </c>
      <c r="AE97" s="1" t="s">
        <v>332</v>
      </c>
      <c r="AF97" s="1" t="s">
        <v>106</v>
      </c>
      <c r="AG97" s="1" t="s">
        <v>107</v>
      </c>
      <c r="AH97" s="1" t="s">
        <v>108</v>
      </c>
      <c r="AI97" s="1" t="s">
        <v>235</v>
      </c>
      <c r="CC97">
        <v>237</v>
      </c>
      <c r="CD97" t="s">
        <v>306</v>
      </c>
      <c r="CE97" t="b">
        <v>0</v>
      </c>
      <c r="CF97" t="s">
        <v>282</v>
      </c>
      <c r="CG97" t="s">
        <v>191</v>
      </c>
      <c r="CH97" t="s">
        <v>106</v>
      </c>
      <c r="CI97" t="s">
        <v>107</v>
      </c>
      <c r="CJ97" t="s">
        <v>108</v>
      </c>
      <c r="CK97" s="3">
        <v>29.85161018371582</v>
      </c>
    </row>
    <row r="98" spans="2:89" x14ac:dyDescent="0.25">
      <c r="B98" s="1">
        <v>9</v>
      </c>
      <c r="C98" s="1" t="s">
        <v>186</v>
      </c>
      <c r="D98" s="1" t="s">
        <v>103</v>
      </c>
      <c r="E98" s="1" t="s">
        <v>123</v>
      </c>
      <c r="F98" s="1" t="s">
        <v>129</v>
      </c>
      <c r="G98" s="1" t="s">
        <v>106</v>
      </c>
      <c r="H98" s="1" t="s">
        <v>107</v>
      </c>
      <c r="I98" s="1" t="s">
        <v>108</v>
      </c>
      <c r="J98" s="1">
        <v>18.565999999999999</v>
      </c>
      <c r="N98" s="1">
        <v>185</v>
      </c>
      <c r="O98" s="1" t="s">
        <v>264</v>
      </c>
      <c r="P98" s="1" t="s">
        <v>103</v>
      </c>
      <c r="Q98" s="1" t="s">
        <v>123</v>
      </c>
      <c r="R98" s="1" t="s">
        <v>204</v>
      </c>
      <c r="S98" s="1" t="s">
        <v>106</v>
      </c>
      <c r="T98" s="1" t="s">
        <v>107</v>
      </c>
      <c r="U98" s="1" t="s">
        <v>108</v>
      </c>
      <c r="V98" s="1">
        <v>27.905000000000001</v>
      </c>
      <c r="AA98" s="1">
        <v>264</v>
      </c>
      <c r="AB98" s="1" t="s">
        <v>333</v>
      </c>
      <c r="AC98" s="1" t="s">
        <v>103</v>
      </c>
      <c r="AD98" s="1" t="s">
        <v>282</v>
      </c>
      <c r="AE98" s="1" t="s">
        <v>332</v>
      </c>
      <c r="AF98" s="1" t="s">
        <v>106</v>
      </c>
      <c r="AG98" s="1" t="s">
        <v>107</v>
      </c>
      <c r="AH98" s="1" t="s">
        <v>108</v>
      </c>
      <c r="AI98" s="1" t="s">
        <v>235</v>
      </c>
      <c r="CC98">
        <v>238</v>
      </c>
      <c r="CD98" t="s">
        <v>307</v>
      </c>
      <c r="CE98" t="b">
        <v>0</v>
      </c>
      <c r="CF98" t="s">
        <v>282</v>
      </c>
      <c r="CG98" t="s">
        <v>191</v>
      </c>
      <c r="CH98" t="s">
        <v>106</v>
      </c>
      <c r="CI98" t="s">
        <v>107</v>
      </c>
      <c r="CJ98" t="s">
        <v>108</v>
      </c>
      <c r="CK98" s="3">
        <v>33.225040435791016</v>
      </c>
    </row>
    <row r="99" spans="2:89" x14ac:dyDescent="0.25">
      <c r="B99" s="1">
        <v>10</v>
      </c>
      <c r="C99" s="1" t="s">
        <v>171</v>
      </c>
      <c r="D99" s="1" t="s">
        <v>103</v>
      </c>
      <c r="E99" s="1" t="s">
        <v>123</v>
      </c>
      <c r="F99" s="1" t="s">
        <v>129</v>
      </c>
      <c r="G99" s="1" t="s">
        <v>106</v>
      </c>
      <c r="H99" s="1" t="s">
        <v>107</v>
      </c>
      <c r="I99" s="1" t="s">
        <v>108</v>
      </c>
      <c r="J99" s="1">
        <v>18.457000000000001</v>
      </c>
      <c r="N99" s="1">
        <v>162</v>
      </c>
      <c r="O99" s="1" t="s">
        <v>249</v>
      </c>
      <c r="P99" s="1" t="s">
        <v>103</v>
      </c>
      <c r="Q99" s="1" t="s">
        <v>123</v>
      </c>
      <c r="R99" s="1" t="s">
        <v>204</v>
      </c>
      <c r="S99" s="1" t="s">
        <v>106</v>
      </c>
      <c r="T99" s="1" t="s">
        <v>107</v>
      </c>
      <c r="U99" s="1" t="s">
        <v>108</v>
      </c>
      <c r="V99" s="1">
        <v>27.992000000000001</v>
      </c>
      <c r="AA99" s="1">
        <v>287</v>
      </c>
      <c r="AB99" s="1" t="s">
        <v>352</v>
      </c>
      <c r="AC99" s="1" t="s">
        <v>103</v>
      </c>
      <c r="AD99" s="1" t="s">
        <v>282</v>
      </c>
      <c r="AE99" s="1" t="s">
        <v>332</v>
      </c>
      <c r="AF99" s="1" t="s">
        <v>106</v>
      </c>
      <c r="AG99" s="1" t="s">
        <v>107</v>
      </c>
      <c r="AH99" s="1" t="s">
        <v>108</v>
      </c>
      <c r="AI99" s="1">
        <v>7.3739999999999997</v>
      </c>
      <c r="CC99">
        <v>239</v>
      </c>
      <c r="CD99" t="s">
        <v>308</v>
      </c>
      <c r="CE99" t="b">
        <v>0</v>
      </c>
      <c r="CF99" t="s">
        <v>282</v>
      </c>
      <c r="CG99" t="s">
        <v>234</v>
      </c>
      <c r="CH99" t="s">
        <v>106</v>
      </c>
      <c r="CI99" t="s">
        <v>107</v>
      </c>
      <c r="CJ99" t="s">
        <v>108</v>
      </c>
      <c r="CK99" s="3">
        <v>6.7125344276428223</v>
      </c>
    </row>
    <row r="100" spans="2:89" x14ac:dyDescent="0.25">
      <c r="B100" s="1">
        <v>10</v>
      </c>
      <c r="C100" s="1" t="s">
        <v>187</v>
      </c>
      <c r="D100" s="1" t="s">
        <v>103</v>
      </c>
      <c r="E100" s="1" t="s">
        <v>123</v>
      </c>
      <c r="F100" s="1" t="s">
        <v>129</v>
      </c>
      <c r="G100" s="1" t="s">
        <v>106</v>
      </c>
      <c r="H100" s="1" t="s">
        <v>107</v>
      </c>
      <c r="I100" s="1" t="s">
        <v>108</v>
      </c>
      <c r="J100" s="1">
        <v>18.597999999999999</v>
      </c>
      <c r="N100" s="1">
        <v>186</v>
      </c>
      <c r="O100" s="1" t="s">
        <v>265</v>
      </c>
      <c r="P100" s="1" t="s">
        <v>103</v>
      </c>
      <c r="Q100" s="1" t="s">
        <v>123</v>
      </c>
      <c r="R100" s="1" t="s">
        <v>204</v>
      </c>
      <c r="S100" s="1" t="s">
        <v>106</v>
      </c>
      <c r="T100" s="1" t="s">
        <v>107</v>
      </c>
      <c r="U100" s="1" t="s">
        <v>108</v>
      </c>
      <c r="V100" s="1">
        <v>27.856999999999999</v>
      </c>
      <c r="AA100" s="1">
        <v>288</v>
      </c>
      <c r="AB100" s="1" t="s">
        <v>353</v>
      </c>
      <c r="AC100" s="1" t="s">
        <v>103</v>
      </c>
      <c r="AD100" s="1" t="s">
        <v>282</v>
      </c>
      <c r="AE100" s="1" t="s">
        <v>332</v>
      </c>
      <c r="AF100" s="1" t="s">
        <v>106</v>
      </c>
      <c r="AG100" s="1" t="s">
        <v>107</v>
      </c>
      <c r="AH100" s="1" t="s">
        <v>108</v>
      </c>
      <c r="AI100" s="1" t="s">
        <v>235</v>
      </c>
      <c r="CC100">
        <v>240</v>
      </c>
      <c r="CD100" t="s">
        <v>309</v>
      </c>
      <c r="CE100" t="b">
        <v>0</v>
      </c>
      <c r="CF100" t="s">
        <v>282</v>
      </c>
      <c r="CG100" t="s">
        <v>234</v>
      </c>
      <c r="CH100" t="s">
        <v>106</v>
      </c>
      <c r="CI100" t="s">
        <v>107</v>
      </c>
      <c r="CJ100" t="s">
        <v>108</v>
      </c>
      <c r="CK100" s="3">
        <v>20.890724182128906</v>
      </c>
    </row>
    <row r="101" spans="2:89" x14ac:dyDescent="0.25">
      <c r="B101" s="1">
        <v>11</v>
      </c>
      <c r="C101" s="1" t="s">
        <v>172</v>
      </c>
      <c r="D101" s="1" t="s">
        <v>103</v>
      </c>
      <c r="E101" s="1" t="s">
        <v>126</v>
      </c>
      <c r="F101" s="1" t="s">
        <v>129</v>
      </c>
      <c r="G101" s="1" t="s">
        <v>106</v>
      </c>
      <c r="H101" s="1" t="s">
        <v>107</v>
      </c>
      <c r="I101" s="1" t="s">
        <v>108</v>
      </c>
      <c r="J101" s="1">
        <v>18.567</v>
      </c>
      <c r="N101" s="1">
        <v>163</v>
      </c>
      <c r="O101" s="1" t="s">
        <v>250</v>
      </c>
      <c r="P101" s="1" t="s">
        <v>103</v>
      </c>
      <c r="Q101" s="1" t="s">
        <v>126</v>
      </c>
      <c r="R101" s="1" t="s">
        <v>204</v>
      </c>
      <c r="S101" s="1" t="s">
        <v>106</v>
      </c>
      <c r="T101" s="1" t="s">
        <v>107</v>
      </c>
      <c r="U101" s="1" t="s">
        <v>108</v>
      </c>
      <c r="V101" s="1">
        <v>27.821000000000002</v>
      </c>
      <c r="AA101">
        <v>263</v>
      </c>
      <c r="AB101" t="s">
        <v>331</v>
      </c>
      <c r="AC101" t="b">
        <v>0</v>
      </c>
      <c r="AD101" t="s">
        <v>282</v>
      </c>
      <c r="AE101" t="s">
        <v>332</v>
      </c>
      <c r="AF101" t="s">
        <v>106</v>
      </c>
      <c r="AG101" t="s">
        <v>107</v>
      </c>
      <c r="AH101" t="s">
        <v>108</v>
      </c>
      <c r="AI101" t="s">
        <v>235</v>
      </c>
      <c r="CC101">
        <v>257</v>
      </c>
      <c r="CD101" t="s">
        <v>323</v>
      </c>
      <c r="CE101" t="b">
        <v>0</v>
      </c>
      <c r="CF101" t="s">
        <v>282</v>
      </c>
      <c r="CG101" t="s">
        <v>269</v>
      </c>
      <c r="CH101" t="s">
        <v>106</v>
      </c>
      <c r="CI101" t="s">
        <v>107</v>
      </c>
      <c r="CJ101" t="s">
        <v>108</v>
      </c>
      <c r="CK101" t="s">
        <v>235</v>
      </c>
    </row>
    <row r="102" spans="2:89" x14ac:dyDescent="0.25">
      <c r="B102" s="1">
        <v>11</v>
      </c>
      <c r="C102" s="1" t="s">
        <v>188</v>
      </c>
      <c r="D102" s="1" t="s">
        <v>103</v>
      </c>
      <c r="E102" s="1" t="s">
        <v>126</v>
      </c>
      <c r="F102" s="1" t="s">
        <v>129</v>
      </c>
      <c r="G102" s="1" t="s">
        <v>106</v>
      </c>
      <c r="H102" s="1" t="s">
        <v>107</v>
      </c>
      <c r="I102" s="1" t="s">
        <v>108</v>
      </c>
      <c r="J102" s="1">
        <v>18.613</v>
      </c>
      <c r="N102" s="1">
        <v>187</v>
      </c>
      <c r="O102" s="1" t="s">
        <v>266</v>
      </c>
      <c r="P102" s="1" t="s">
        <v>103</v>
      </c>
      <c r="Q102" s="1" t="s">
        <v>126</v>
      </c>
      <c r="R102" s="1" t="s">
        <v>204</v>
      </c>
      <c r="S102" s="1" t="s">
        <v>106</v>
      </c>
      <c r="T102" s="1" t="s">
        <v>107</v>
      </c>
      <c r="U102" s="1" t="s">
        <v>108</v>
      </c>
      <c r="V102" s="1">
        <v>27.812999999999999</v>
      </c>
      <c r="AA102">
        <v>264</v>
      </c>
      <c r="AB102" t="s">
        <v>333</v>
      </c>
      <c r="AC102" t="b">
        <v>0</v>
      </c>
      <c r="AD102" t="s">
        <v>282</v>
      </c>
      <c r="AE102" t="s">
        <v>332</v>
      </c>
      <c r="AF102" t="s">
        <v>106</v>
      </c>
      <c r="AG102" t="s">
        <v>107</v>
      </c>
      <c r="AH102" t="s">
        <v>108</v>
      </c>
      <c r="AI102" t="s">
        <v>235</v>
      </c>
      <c r="CC102">
        <v>258</v>
      </c>
      <c r="CD102" t="s">
        <v>324</v>
      </c>
      <c r="CE102" t="b">
        <v>0</v>
      </c>
      <c r="CF102" t="s">
        <v>282</v>
      </c>
      <c r="CG102" t="s">
        <v>269</v>
      </c>
      <c r="CH102" t="s">
        <v>106</v>
      </c>
      <c r="CI102" t="s">
        <v>107</v>
      </c>
      <c r="CJ102" t="s">
        <v>108</v>
      </c>
      <c r="CK102" t="s">
        <v>235</v>
      </c>
    </row>
    <row r="103" spans="2:89" x14ac:dyDescent="0.25">
      <c r="B103" s="1">
        <v>12</v>
      </c>
      <c r="C103" s="1" t="s">
        <v>173</v>
      </c>
      <c r="D103" s="1" t="s">
        <v>103</v>
      </c>
      <c r="E103" s="1" t="s">
        <v>126</v>
      </c>
      <c r="F103" s="1" t="s">
        <v>129</v>
      </c>
      <c r="G103" s="1" t="s">
        <v>106</v>
      </c>
      <c r="H103" s="1" t="s">
        <v>107</v>
      </c>
      <c r="I103" s="1" t="s">
        <v>108</v>
      </c>
      <c r="J103" s="1">
        <v>18.332999999999998</v>
      </c>
      <c r="N103" s="1">
        <v>164</v>
      </c>
      <c r="O103" s="1" t="s">
        <v>251</v>
      </c>
      <c r="P103" s="1" t="s">
        <v>103</v>
      </c>
      <c r="Q103" s="1" t="s">
        <v>126</v>
      </c>
      <c r="R103" s="1" t="s">
        <v>204</v>
      </c>
      <c r="S103" s="1" t="s">
        <v>106</v>
      </c>
      <c r="T103" s="1" t="s">
        <v>107</v>
      </c>
      <c r="U103" s="1" t="s">
        <v>108</v>
      </c>
      <c r="V103" s="1">
        <v>27.684000000000001</v>
      </c>
      <c r="AA103">
        <v>287</v>
      </c>
      <c r="AB103" t="s">
        <v>352</v>
      </c>
      <c r="AC103" t="b">
        <v>0</v>
      </c>
      <c r="AD103" t="s">
        <v>282</v>
      </c>
      <c r="AE103" t="s">
        <v>332</v>
      </c>
      <c r="AF103" t="s">
        <v>106</v>
      </c>
      <c r="AG103" t="s">
        <v>107</v>
      </c>
      <c r="AH103" t="s">
        <v>108</v>
      </c>
      <c r="AI103" s="3">
        <v>37.402786254882813</v>
      </c>
      <c r="CC103">
        <v>259</v>
      </c>
      <c r="CD103" t="s">
        <v>325</v>
      </c>
      <c r="CE103" t="b">
        <v>0</v>
      </c>
      <c r="CF103" t="s">
        <v>282</v>
      </c>
      <c r="CG103" t="s">
        <v>311</v>
      </c>
      <c r="CH103" t="s">
        <v>106</v>
      </c>
      <c r="CI103" t="s">
        <v>107</v>
      </c>
      <c r="CJ103" t="s">
        <v>108</v>
      </c>
      <c r="CK103" s="3">
        <v>32.839210510253906</v>
      </c>
    </row>
    <row r="104" spans="2:89" x14ac:dyDescent="0.25">
      <c r="B104" s="1">
        <v>12</v>
      </c>
      <c r="C104" s="1" t="s">
        <v>189</v>
      </c>
      <c r="D104" s="1" t="s">
        <v>103</v>
      </c>
      <c r="E104" s="1" t="s">
        <v>126</v>
      </c>
      <c r="F104" s="1" t="s">
        <v>129</v>
      </c>
      <c r="G104" s="1" t="s">
        <v>106</v>
      </c>
      <c r="H104" s="1" t="s">
        <v>107</v>
      </c>
      <c r="I104" s="1" t="s">
        <v>108</v>
      </c>
      <c r="J104" s="1">
        <v>18.491</v>
      </c>
      <c r="N104" s="1">
        <v>188</v>
      </c>
      <c r="O104" s="1" t="s">
        <v>267</v>
      </c>
      <c r="P104" s="1" t="s">
        <v>103</v>
      </c>
      <c r="Q104" s="1" t="s">
        <v>126</v>
      </c>
      <c r="R104" s="1" t="s">
        <v>204</v>
      </c>
      <c r="S104" s="1" t="s">
        <v>106</v>
      </c>
      <c r="T104" s="1" t="s">
        <v>107</v>
      </c>
      <c r="U104" s="1" t="s">
        <v>108</v>
      </c>
      <c r="V104" s="1">
        <v>27.489000000000001</v>
      </c>
      <c r="AA104">
        <v>288</v>
      </c>
      <c r="AB104" t="s">
        <v>353</v>
      </c>
      <c r="AC104" t="b">
        <v>0</v>
      </c>
      <c r="AD104" t="s">
        <v>282</v>
      </c>
      <c r="AE104" t="s">
        <v>332</v>
      </c>
      <c r="AF104" t="s">
        <v>106</v>
      </c>
      <c r="AG104" t="s">
        <v>107</v>
      </c>
      <c r="AH104" t="s">
        <v>108</v>
      </c>
      <c r="AI104" t="s">
        <v>235</v>
      </c>
      <c r="CC104">
        <v>260</v>
      </c>
      <c r="CD104" t="s">
        <v>326</v>
      </c>
      <c r="CE104" t="b">
        <v>0</v>
      </c>
      <c r="CF104" t="s">
        <v>282</v>
      </c>
      <c r="CG104" t="s">
        <v>311</v>
      </c>
      <c r="CH104" t="s">
        <v>106</v>
      </c>
      <c r="CI104" t="s">
        <v>107</v>
      </c>
      <c r="CJ104" t="s">
        <v>108</v>
      </c>
      <c r="CK104" s="3">
        <v>32.586154937744141</v>
      </c>
    </row>
    <row r="105" spans="2:89" x14ac:dyDescent="0.25">
      <c r="B105" s="1">
        <v>13</v>
      </c>
      <c r="C105" s="1" t="s">
        <v>128</v>
      </c>
      <c r="D105" s="1" t="s">
        <v>103</v>
      </c>
      <c r="E105" s="1" t="s">
        <v>416</v>
      </c>
      <c r="F105" s="1" t="s">
        <v>129</v>
      </c>
      <c r="G105" s="1" t="s">
        <v>106</v>
      </c>
      <c r="H105" s="1" t="s">
        <v>107</v>
      </c>
      <c r="I105" s="1" t="s">
        <v>108</v>
      </c>
      <c r="J105" s="1">
        <v>18.667000000000002</v>
      </c>
      <c r="N105" s="1">
        <v>113</v>
      </c>
      <c r="O105" s="1" t="s">
        <v>203</v>
      </c>
      <c r="P105" s="1" t="s">
        <v>103</v>
      </c>
      <c r="Q105" s="1" t="s">
        <v>416</v>
      </c>
      <c r="R105" s="1" t="s">
        <v>204</v>
      </c>
      <c r="S105" s="1" t="s">
        <v>106</v>
      </c>
      <c r="T105" s="1" t="s">
        <v>107</v>
      </c>
      <c r="U105" s="1" t="s">
        <v>108</v>
      </c>
      <c r="V105" s="1">
        <v>30.562000000000001</v>
      </c>
      <c r="AA105" s="1">
        <v>211</v>
      </c>
      <c r="AB105" s="1" t="s">
        <v>284</v>
      </c>
      <c r="AC105" s="1" t="s">
        <v>103</v>
      </c>
      <c r="AD105" s="1" t="s">
        <v>282</v>
      </c>
      <c r="AE105" s="1" t="s">
        <v>158</v>
      </c>
      <c r="AF105" s="1" t="s">
        <v>106</v>
      </c>
      <c r="AG105" s="1" t="s">
        <v>107</v>
      </c>
      <c r="AH105" s="1" t="s">
        <v>108</v>
      </c>
      <c r="AI105" s="1">
        <v>35.116</v>
      </c>
      <c r="CC105">
        <v>261</v>
      </c>
      <c r="CD105" t="s">
        <v>327</v>
      </c>
      <c r="CE105" t="b">
        <v>0</v>
      </c>
      <c r="CF105" t="s">
        <v>282</v>
      </c>
      <c r="CG105" t="s">
        <v>328</v>
      </c>
      <c r="CH105" t="s">
        <v>106</v>
      </c>
      <c r="CI105" t="s">
        <v>107</v>
      </c>
      <c r="CJ105" t="s">
        <v>108</v>
      </c>
      <c r="CK105" s="3">
        <v>32.883689880371094</v>
      </c>
    </row>
    <row r="106" spans="2:89" x14ac:dyDescent="0.25">
      <c r="B106" s="1">
        <v>13</v>
      </c>
      <c r="C106" s="1" t="s">
        <v>149</v>
      </c>
      <c r="D106" s="1" t="s">
        <v>103</v>
      </c>
      <c r="E106" s="1" t="s">
        <v>416</v>
      </c>
      <c r="F106" s="1" t="s">
        <v>129</v>
      </c>
      <c r="G106" s="1" t="s">
        <v>106</v>
      </c>
      <c r="H106" s="1" t="s">
        <v>107</v>
      </c>
      <c r="I106" s="1" t="s">
        <v>108</v>
      </c>
      <c r="J106" s="1">
        <v>18.940000000000001</v>
      </c>
      <c r="N106" s="1">
        <v>137</v>
      </c>
      <c r="O106" s="1" t="s">
        <v>225</v>
      </c>
      <c r="P106" s="1" t="s">
        <v>103</v>
      </c>
      <c r="Q106" s="1" t="s">
        <v>416</v>
      </c>
      <c r="R106" s="1" t="s">
        <v>204</v>
      </c>
      <c r="S106" s="1" t="s">
        <v>106</v>
      </c>
      <c r="T106" s="1" t="s">
        <v>107</v>
      </c>
      <c r="U106" s="1" t="s">
        <v>108</v>
      </c>
      <c r="V106" s="1">
        <v>31.094999999999999</v>
      </c>
      <c r="AA106" s="1">
        <v>212</v>
      </c>
      <c r="AB106" s="1" t="s">
        <v>285</v>
      </c>
      <c r="AC106" s="1" t="s">
        <v>103</v>
      </c>
      <c r="AD106" s="1" t="s">
        <v>282</v>
      </c>
      <c r="AE106" s="1" t="s">
        <v>158</v>
      </c>
      <c r="AF106" s="1" t="s">
        <v>106</v>
      </c>
      <c r="AG106" s="1" t="s">
        <v>107</v>
      </c>
      <c r="AH106" s="1" t="s">
        <v>108</v>
      </c>
      <c r="AI106" s="1" t="s">
        <v>235</v>
      </c>
      <c r="CC106">
        <v>262</v>
      </c>
      <c r="CD106" t="s">
        <v>329</v>
      </c>
      <c r="CE106" t="b">
        <v>0</v>
      </c>
      <c r="CF106" t="s">
        <v>282</v>
      </c>
      <c r="CG106" t="s">
        <v>328</v>
      </c>
      <c r="CH106" t="s">
        <v>106</v>
      </c>
      <c r="CI106" t="s">
        <v>107</v>
      </c>
      <c r="CJ106" t="s">
        <v>108</v>
      </c>
      <c r="CK106" t="s">
        <v>235</v>
      </c>
    </row>
    <row r="107" spans="2:89" x14ac:dyDescent="0.25">
      <c r="B107" s="1">
        <v>14</v>
      </c>
      <c r="C107" s="1" t="s">
        <v>130</v>
      </c>
      <c r="D107" s="1" t="s">
        <v>103</v>
      </c>
      <c r="E107" s="1" t="s">
        <v>416</v>
      </c>
      <c r="F107" s="1" t="s">
        <v>129</v>
      </c>
      <c r="G107" s="1" t="s">
        <v>106</v>
      </c>
      <c r="H107" s="1" t="s">
        <v>107</v>
      </c>
      <c r="I107" s="1" t="s">
        <v>108</v>
      </c>
      <c r="J107" s="1">
        <v>18.649000000000001</v>
      </c>
      <c r="N107" s="1">
        <v>114</v>
      </c>
      <c r="O107" s="1" t="s">
        <v>206</v>
      </c>
      <c r="P107" s="1" t="s">
        <v>103</v>
      </c>
      <c r="Q107" s="1" t="s">
        <v>416</v>
      </c>
      <c r="R107" s="1" t="s">
        <v>204</v>
      </c>
      <c r="S107" s="1" t="s">
        <v>106</v>
      </c>
      <c r="T107" s="1" t="s">
        <v>107</v>
      </c>
      <c r="U107" s="1" t="s">
        <v>108</v>
      </c>
      <c r="V107" s="1">
        <v>29.917999999999999</v>
      </c>
      <c r="AA107" s="1">
        <v>235</v>
      </c>
      <c r="AB107" s="1" t="s">
        <v>304</v>
      </c>
      <c r="AC107" s="1" t="s">
        <v>103</v>
      </c>
      <c r="AD107" s="1" t="s">
        <v>282</v>
      </c>
      <c r="AE107" s="1" t="s">
        <v>158</v>
      </c>
      <c r="AF107" s="1" t="s">
        <v>106</v>
      </c>
      <c r="AG107" s="1" t="s">
        <v>107</v>
      </c>
      <c r="AH107" s="1" t="s">
        <v>108</v>
      </c>
      <c r="AI107" s="1" t="s">
        <v>235</v>
      </c>
      <c r="CC107">
        <v>263</v>
      </c>
      <c r="CD107" t="s">
        <v>331</v>
      </c>
      <c r="CE107" t="b">
        <v>0</v>
      </c>
      <c r="CF107" t="s">
        <v>282</v>
      </c>
      <c r="CG107" t="s">
        <v>332</v>
      </c>
      <c r="CH107" t="s">
        <v>106</v>
      </c>
      <c r="CI107" t="s">
        <v>107</v>
      </c>
      <c r="CJ107" t="s">
        <v>108</v>
      </c>
      <c r="CK107" t="s">
        <v>235</v>
      </c>
    </row>
    <row r="108" spans="2:89" x14ac:dyDescent="0.25">
      <c r="B108" s="1">
        <v>14</v>
      </c>
      <c r="C108" s="1" t="s">
        <v>150</v>
      </c>
      <c r="D108" s="1" t="s">
        <v>103</v>
      </c>
      <c r="E108" s="1" t="s">
        <v>416</v>
      </c>
      <c r="F108" s="1" t="s">
        <v>129</v>
      </c>
      <c r="G108" s="1" t="s">
        <v>106</v>
      </c>
      <c r="H108" s="1" t="s">
        <v>107</v>
      </c>
      <c r="I108" s="1" t="s">
        <v>108</v>
      </c>
      <c r="J108" s="1">
        <v>18.774000000000001</v>
      </c>
      <c r="N108" s="1">
        <v>138</v>
      </c>
      <c r="O108" s="1" t="s">
        <v>226</v>
      </c>
      <c r="P108" s="1" t="s">
        <v>103</v>
      </c>
      <c r="Q108" s="1" t="s">
        <v>416</v>
      </c>
      <c r="R108" s="1" t="s">
        <v>204</v>
      </c>
      <c r="S108" s="1" t="s">
        <v>106</v>
      </c>
      <c r="T108" s="1" t="s">
        <v>107</v>
      </c>
      <c r="U108" s="1" t="s">
        <v>108</v>
      </c>
      <c r="V108" s="1">
        <v>29.959</v>
      </c>
      <c r="AA108" s="1">
        <v>236</v>
      </c>
      <c r="AB108" s="1" t="s">
        <v>305</v>
      </c>
      <c r="AC108" s="1" t="s">
        <v>103</v>
      </c>
      <c r="AD108" s="1" t="s">
        <v>282</v>
      </c>
      <c r="AE108" s="1" t="s">
        <v>158</v>
      </c>
      <c r="AF108" s="1" t="s">
        <v>106</v>
      </c>
      <c r="AG108" s="1" t="s">
        <v>107</v>
      </c>
      <c r="AH108" s="1" t="s">
        <v>108</v>
      </c>
      <c r="AI108" s="1">
        <v>23.965</v>
      </c>
      <c r="CC108">
        <v>264</v>
      </c>
      <c r="CD108" t="s">
        <v>333</v>
      </c>
      <c r="CE108" t="b">
        <v>0</v>
      </c>
      <c r="CF108" t="s">
        <v>282</v>
      </c>
      <c r="CG108" t="s">
        <v>332</v>
      </c>
      <c r="CH108" t="s">
        <v>106</v>
      </c>
      <c r="CI108" t="s">
        <v>107</v>
      </c>
      <c r="CJ108" t="s">
        <v>108</v>
      </c>
      <c r="CK108" t="s">
        <v>235</v>
      </c>
    </row>
    <row r="109" spans="2:89" x14ac:dyDescent="0.25">
      <c r="B109" s="1">
        <v>15</v>
      </c>
      <c r="C109" s="1" t="s">
        <v>131</v>
      </c>
      <c r="D109" s="1" t="s">
        <v>103</v>
      </c>
      <c r="E109" s="1" t="s">
        <v>417</v>
      </c>
      <c r="F109" s="1" t="s">
        <v>129</v>
      </c>
      <c r="G109" s="1" t="s">
        <v>106</v>
      </c>
      <c r="H109" s="1" t="s">
        <v>107</v>
      </c>
      <c r="I109" s="1" t="s">
        <v>108</v>
      </c>
      <c r="J109" s="1">
        <v>18.515000000000001</v>
      </c>
      <c r="N109" s="1">
        <v>115</v>
      </c>
      <c r="O109" s="1" t="s">
        <v>207</v>
      </c>
      <c r="P109" s="1" t="s">
        <v>103</v>
      </c>
      <c r="Q109" s="1" t="s">
        <v>417</v>
      </c>
      <c r="R109" s="1" t="s">
        <v>204</v>
      </c>
      <c r="S109" s="1" t="s">
        <v>106</v>
      </c>
      <c r="T109" s="1" t="s">
        <v>107</v>
      </c>
      <c r="U109" s="1" t="s">
        <v>108</v>
      </c>
      <c r="V109" s="1">
        <v>29.920999999999999</v>
      </c>
      <c r="AA109" s="1">
        <v>211</v>
      </c>
      <c r="AB109" s="1" t="s">
        <v>284</v>
      </c>
      <c r="AC109" s="1" t="s">
        <v>103</v>
      </c>
      <c r="AD109" s="1" t="s">
        <v>282</v>
      </c>
      <c r="AE109" s="1" t="s">
        <v>158</v>
      </c>
      <c r="AF109" s="1" t="s">
        <v>106</v>
      </c>
      <c r="AG109" s="1" t="s">
        <v>107</v>
      </c>
      <c r="AH109" s="1" t="s">
        <v>108</v>
      </c>
      <c r="AI109" s="1">
        <v>34.965000000000003</v>
      </c>
      <c r="CC109">
        <v>281</v>
      </c>
      <c r="CD109" t="s">
        <v>346</v>
      </c>
      <c r="CE109" t="b">
        <v>0</v>
      </c>
      <c r="CF109" t="s">
        <v>282</v>
      </c>
      <c r="CG109" t="s">
        <v>269</v>
      </c>
      <c r="CH109" t="s">
        <v>106</v>
      </c>
      <c r="CI109" t="s">
        <v>107</v>
      </c>
      <c r="CJ109" t="s">
        <v>108</v>
      </c>
      <c r="CK109" s="3">
        <v>24.009401321411133</v>
      </c>
    </row>
    <row r="110" spans="2:89" x14ac:dyDescent="0.25">
      <c r="B110" s="1">
        <v>15</v>
      </c>
      <c r="C110" s="1" t="s">
        <v>151</v>
      </c>
      <c r="D110" s="1" t="s">
        <v>103</v>
      </c>
      <c r="E110" s="1" t="s">
        <v>417</v>
      </c>
      <c r="F110" s="1" t="s">
        <v>129</v>
      </c>
      <c r="G110" s="1" t="s">
        <v>106</v>
      </c>
      <c r="H110" s="1" t="s">
        <v>107</v>
      </c>
      <c r="I110" s="1" t="s">
        <v>108</v>
      </c>
      <c r="J110" s="1">
        <v>18.596</v>
      </c>
      <c r="N110" s="1">
        <v>139</v>
      </c>
      <c r="O110" s="1" t="s">
        <v>227</v>
      </c>
      <c r="P110" s="1" t="s">
        <v>103</v>
      </c>
      <c r="Q110" s="1" t="s">
        <v>417</v>
      </c>
      <c r="R110" s="1" t="s">
        <v>204</v>
      </c>
      <c r="S110" s="1" t="s">
        <v>106</v>
      </c>
      <c r="T110" s="1" t="s">
        <v>107</v>
      </c>
      <c r="U110" s="1" t="s">
        <v>108</v>
      </c>
      <c r="V110" s="1">
        <v>29.690999999999999</v>
      </c>
      <c r="AA110" s="1">
        <v>212</v>
      </c>
      <c r="AB110" s="1" t="s">
        <v>285</v>
      </c>
      <c r="AC110" s="1" t="s">
        <v>103</v>
      </c>
      <c r="AD110" s="1" t="s">
        <v>282</v>
      </c>
      <c r="AE110" s="1" t="s">
        <v>158</v>
      </c>
      <c r="AF110" s="1" t="s">
        <v>106</v>
      </c>
      <c r="AG110" s="1" t="s">
        <v>107</v>
      </c>
      <c r="AH110" s="1" t="s">
        <v>108</v>
      </c>
      <c r="AI110" s="1" t="s">
        <v>235</v>
      </c>
      <c r="CC110">
        <v>282</v>
      </c>
      <c r="CD110" t="s">
        <v>347</v>
      </c>
      <c r="CE110" t="b">
        <v>0</v>
      </c>
      <c r="CF110" t="s">
        <v>282</v>
      </c>
      <c r="CG110" t="s">
        <v>269</v>
      </c>
      <c r="CH110" t="s">
        <v>106</v>
      </c>
      <c r="CI110" t="s">
        <v>107</v>
      </c>
      <c r="CJ110" t="s">
        <v>108</v>
      </c>
      <c r="CK110" t="s">
        <v>235</v>
      </c>
    </row>
    <row r="111" spans="2:89" x14ac:dyDescent="0.25">
      <c r="B111" s="1">
        <v>16</v>
      </c>
      <c r="C111" s="1" t="s">
        <v>132</v>
      </c>
      <c r="D111" s="1" t="s">
        <v>103</v>
      </c>
      <c r="E111" s="1" t="s">
        <v>417</v>
      </c>
      <c r="F111" s="1" t="s">
        <v>129</v>
      </c>
      <c r="G111" s="1" t="s">
        <v>106</v>
      </c>
      <c r="H111" s="1" t="s">
        <v>107</v>
      </c>
      <c r="I111" s="1" t="s">
        <v>108</v>
      </c>
      <c r="J111" s="1">
        <v>18.411999999999999</v>
      </c>
      <c r="N111" s="1">
        <v>116</v>
      </c>
      <c r="O111" s="1" t="s">
        <v>208</v>
      </c>
      <c r="P111" s="1" t="s">
        <v>103</v>
      </c>
      <c r="Q111" s="1" t="s">
        <v>417</v>
      </c>
      <c r="R111" s="1" t="s">
        <v>204</v>
      </c>
      <c r="S111" s="1" t="s">
        <v>106</v>
      </c>
      <c r="T111" s="1" t="s">
        <v>107</v>
      </c>
      <c r="U111" s="1" t="s">
        <v>108</v>
      </c>
      <c r="V111" s="1">
        <v>30.343</v>
      </c>
      <c r="AA111" s="1">
        <v>235</v>
      </c>
      <c r="AB111" s="1" t="s">
        <v>304</v>
      </c>
      <c r="AC111" s="1" t="s">
        <v>103</v>
      </c>
      <c r="AD111" s="1" t="s">
        <v>282</v>
      </c>
      <c r="AE111" s="1" t="s">
        <v>158</v>
      </c>
      <c r="AF111" s="1" t="s">
        <v>106</v>
      </c>
      <c r="AG111" s="1" t="s">
        <v>107</v>
      </c>
      <c r="AH111" s="1" t="s">
        <v>108</v>
      </c>
      <c r="AI111" s="1" t="s">
        <v>235</v>
      </c>
      <c r="CC111">
        <v>283</v>
      </c>
      <c r="CD111" t="s">
        <v>348</v>
      </c>
      <c r="CE111" t="b">
        <v>0</v>
      </c>
      <c r="CF111" t="s">
        <v>282</v>
      </c>
      <c r="CG111" t="s">
        <v>311</v>
      </c>
      <c r="CH111" t="s">
        <v>106</v>
      </c>
      <c r="CI111" t="s">
        <v>107</v>
      </c>
      <c r="CJ111" t="s">
        <v>108</v>
      </c>
      <c r="CK111" s="3">
        <v>15.911330223083496</v>
      </c>
    </row>
    <row r="112" spans="2:89" x14ac:dyDescent="0.25">
      <c r="B112" s="1">
        <v>16</v>
      </c>
      <c r="C112" s="1" t="s">
        <v>152</v>
      </c>
      <c r="D112" s="1" t="s">
        <v>103</v>
      </c>
      <c r="E112" s="1" t="s">
        <v>417</v>
      </c>
      <c r="F112" s="1" t="s">
        <v>129</v>
      </c>
      <c r="G112" s="1" t="s">
        <v>106</v>
      </c>
      <c r="H112" s="1" t="s">
        <v>107</v>
      </c>
      <c r="I112" s="1" t="s">
        <v>108</v>
      </c>
      <c r="J112" s="1">
        <v>17.638000000000002</v>
      </c>
      <c r="N112" s="1">
        <v>140</v>
      </c>
      <c r="O112" s="1" t="s">
        <v>228</v>
      </c>
      <c r="P112" s="1" t="s">
        <v>103</v>
      </c>
      <c r="Q112" s="1" t="s">
        <v>417</v>
      </c>
      <c r="R112" s="1" t="s">
        <v>204</v>
      </c>
      <c r="S112" s="1" t="s">
        <v>106</v>
      </c>
      <c r="T112" s="1" t="s">
        <v>107</v>
      </c>
      <c r="U112" s="1" t="s">
        <v>108</v>
      </c>
      <c r="V112" s="1">
        <v>30.262</v>
      </c>
      <c r="AA112" s="1">
        <v>236</v>
      </c>
      <c r="AB112" s="1" t="s">
        <v>305</v>
      </c>
      <c r="AC112" s="1" t="s">
        <v>103</v>
      </c>
      <c r="AD112" s="1" t="s">
        <v>282</v>
      </c>
      <c r="AE112" s="1" t="s">
        <v>158</v>
      </c>
      <c r="AF112" s="1" t="s">
        <v>106</v>
      </c>
      <c r="AG112" s="1" t="s">
        <v>107</v>
      </c>
      <c r="AH112" s="1" t="s">
        <v>108</v>
      </c>
      <c r="AI112" s="1">
        <v>19.643999999999998</v>
      </c>
      <c r="CC112">
        <v>284</v>
      </c>
      <c r="CD112" t="s">
        <v>349</v>
      </c>
      <c r="CE112" t="b">
        <v>0</v>
      </c>
      <c r="CF112" t="s">
        <v>282</v>
      </c>
      <c r="CG112" t="s">
        <v>311</v>
      </c>
      <c r="CH112" t="s">
        <v>106</v>
      </c>
      <c r="CI112" t="s">
        <v>107</v>
      </c>
      <c r="CJ112" t="s">
        <v>108</v>
      </c>
      <c r="CK112" s="3">
        <v>23.165014266967773</v>
      </c>
    </row>
    <row r="113" spans="2:89" x14ac:dyDescent="0.25">
      <c r="B113" s="1">
        <v>17</v>
      </c>
      <c r="C113" s="1" t="s">
        <v>133</v>
      </c>
      <c r="D113" s="1" t="s">
        <v>103</v>
      </c>
      <c r="E113" s="1" t="s">
        <v>418</v>
      </c>
      <c r="F113" s="1" t="s">
        <v>129</v>
      </c>
      <c r="G113" s="1" t="s">
        <v>106</v>
      </c>
      <c r="H113" s="1" t="s">
        <v>107</v>
      </c>
      <c r="I113" s="1" t="s">
        <v>108</v>
      </c>
      <c r="J113" s="1">
        <v>18.010000000000002</v>
      </c>
      <c r="N113" s="1">
        <v>117</v>
      </c>
      <c r="O113" s="1" t="s">
        <v>209</v>
      </c>
      <c r="P113" s="1" t="s">
        <v>103</v>
      </c>
      <c r="Q113" s="1" t="s">
        <v>418</v>
      </c>
      <c r="R113" s="1" t="s">
        <v>204</v>
      </c>
      <c r="S113" s="1" t="s">
        <v>106</v>
      </c>
      <c r="T113" s="1" t="s">
        <v>107</v>
      </c>
      <c r="U113" s="1" t="s">
        <v>108</v>
      </c>
      <c r="V113" s="1">
        <v>28.100999999999999</v>
      </c>
      <c r="AA113">
        <v>211</v>
      </c>
      <c r="AB113" t="s">
        <v>284</v>
      </c>
      <c r="AC113" t="b">
        <v>0</v>
      </c>
      <c r="AD113" t="s">
        <v>282</v>
      </c>
      <c r="AE113" t="s">
        <v>158</v>
      </c>
      <c r="AF113" t="s">
        <v>106</v>
      </c>
      <c r="AG113" t="s">
        <v>107</v>
      </c>
      <c r="AH113" t="s">
        <v>108</v>
      </c>
      <c r="AI113" t="s">
        <v>235</v>
      </c>
      <c r="CC113">
        <v>285</v>
      </c>
      <c r="CD113" t="s">
        <v>350</v>
      </c>
      <c r="CE113" t="b">
        <v>0</v>
      </c>
      <c r="CF113" t="s">
        <v>282</v>
      </c>
      <c r="CG113" t="s">
        <v>328</v>
      </c>
      <c r="CH113" t="s">
        <v>106</v>
      </c>
      <c r="CI113" t="s">
        <v>107</v>
      </c>
      <c r="CJ113" t="s">
        <v>108</v>
      </c>
      <c r="CK113" s="3">
        <v>34.651172637939453</v>
      </c>
    </row>
    <row r="114" spans="2:89" x14ac:dyDescent="0.25">
      <c r="B114" s="1">
        <v>17</v>
      </c>
      <c r="C114" s="1" t="s">
        <v>153</v>
      </c>
      <c r="D114" s="1" t="s">
        <v>103</v>
      </c>
      <c r="E114" s="1" t="s">
        <v>418</v>
      </c>
      <c r="F114" s="1" t="s">
        <v>129</v>
      </c>
      <c r="G114" s="1" t="s">
        <v>106</v>
      </c>
      <c r="H114" s="1" t="s">
        <v>107</v>
      </c>
      <c r="I114" s="1" t="s">
        <v>108</v>
      </c>
      <c r="J114" s="1">
        <v>18.193000000000001</v>
      </c>
      <c r="N114" s="1">
        <v>141</v>
      </c>
      <c r="O114" s="1" t="s">
        <v>229</v>
      </c>
      <c r="P114" s="1" t="s">
        <v>103</v>
      </c>
      <c r="Q114" s="1" t="s">
        <v>418</v>
      </c>
      <c r="R114" s="1" t="s">
        <v>204</v>
      </c>
      <c r="S114" s="1" t="s">
        <v>106</v>
      </c>
      <c r="T114" s="1" t="s">
        <v>107</v>
      </c>
      <c r="U114" s="1" t="s">
        <v>108</v>
      </c>
      <c r="V114" s="1">
        <v>27.925999999999998</v>
      </c>
      <c r="AA114">
        <v>212</v>
      </c>
      <c r="AB114" t="s">
        <v>285</v>
      </c>
      <c r="AC114" t="b">
        <v>0</v>
      </c>
      <c r="AD114" t="s">
        <v>282</v>
      </c>
      <c r="AE114" t="s">
        <v>158</v>
      </c>
      <c r="AF114" t="s">
        <v>106</v>
      </c>
      <c r="AG114" t="s">
        <v>107</v>
      </c>
      <c r="AH114" t="s">
        <v>108</v>
      </c>
      <c r="AI114" s="3">
        <v>34.938259124755859</v>
      </c>
      <c r="CC114">
        <v>286</v>
      </c>
      <c r="CD114" t="s">
        <v>351</v>
      </c>
      <c r="CE114" t="b">
        <v>0</v>
      </c>
      <c r="CF114" t="s">
        <v>282</v>
      </c>
      <c r="CG114" t="s">
        <v>328</v>
      </c>
      <c r="CH114" t="s">
        <v>106</v>
      </c>
      <c r="CI114" t="s">
        <v>107</v>
      </c>
      <c r="CJ114" t="s">
        <v>108</v>
      </c>
      <c r="CK114" t="s">
        <v>235</v>
      </c>
    </row>
    <row r="115" spans="2:89" x14ac:dyDescent="0.25">
      <c r="B115" s="1">
        <v>18</v>
      </c>
      <c r="C115" s="1" t="s">
        <v>134</v>
      </c>
      <c r="D115" s="1" t="s">
        <v>103</v>
      </c>
      <c r="E115" s="1" t="s">
        <v>418</v>
      </c>
      <c r="F115" s="1" t="s">
        <v>129</v>
      </c>
      <c r="G115" s="1" t="s">
        <v>106</v>
      </c>
      <c r="H115" s="1" t="s">
        <v>107</v>
      </c>
      <c r="I115" s="1" t="s">
        <v>108</v>
      </c>
      <c r="J115" s="1">
        <v>17.946000000000002</v>
      </c>
      <c r="N115" s="1">
        <v>118</v>
      </c>
      <c r="O115" s="1" t="s">
        <v>210</v>
      </c>
      <c r="P115" s="1" t="s">
        <v>103</v>
      </c>
      <c r="Q115" s="1" t="s">
        <v>418</v>
      </c>
      <c r="R115" s="1" t="s">
        <v>204</v>
      </c>
      <c r="S115" s="1" t="s">
        <v>106</v>
      </c>
      <c r="T115" s="1" t="s">
        <v>107</v>
      </c>
      <c r="U115" s="1" t="s">
        <v>108</v>
      </c>
      <c r="V115" s="1">
        <v>28.085000000000001</v>
      </c>
      <c r="AA115">
        <v>235</v>
      </c>
      <c r="AB115" t="s">
        <v>304</v>
      </c>
      <c r="AC115" t="b">
        <v>0</v>
      </c>
      <c r="AD115" t="s">
        <v>282</v>
      </c>
      <c r="AE115" t="s">
        <v>158</v>
      </c>
      <c r="AF115" t="s">
        <v>106</v>
      </c>
      <c r="AG115" t="s">
        <v>107</v>
      </c>
      <c r="AH115" t="s">
        <v>108</v>
      </c>
      <c r="AI115" t="s">
        <v>235</v>
      </c>
      <c r="CC115">
        <v>287</v>
      </c>
      <c r="CD115" t="s">
        <v>352</v>
      </c>
      <c r="CE115" t="b">
        <v>0</v>
      </c>
      <c r="CF115" t="s">
        <v>282</v>
      </c>
      <c r="CG115" t="s">
        <v>332</v>
      </c>
      <c r="CH115" t="s">
        <v>106</v>
      </c>
      <c r="CI115" t="s">
        <v>107</v>
      </c>
      <c r="CJ115" t="s">
        <v>108</v>
      </c>
      <c r="CK115" s="3">
        <v>37.402786254882813</v>
      </c>
    </row>
    <row r="116" spans="2:89" x14ac:dyDescent="0.25">
      <c r="B116" s="1">
        <v>18</v>
      </c>
      <c r="C116" s="1" t="s">
        <v>154</v>
      </c>
      <c r="D116" s="1" t="s">
        <v>103</v>
      </c>
      <c r="E116" s="1" t="s">
        <v>418</v>
      </c>
      <c r="F116" s="1" t="s">
        <v>129</v>
      </c>
      <c r="G116" s="1" t="s">
        <v>106</v>
      </c>
      <c r="H116" s="1" t="s">
        <v>107</v>
      </c>
      <c r="I116" s="1" t="s">
        <v>108</v>
      </c>
      <c r="J116" s="1">
        <v>18.123000000000001</v>
      </c>
      <c r="N116" s="1">
        <v>142</v>
      </c>
      <c r="O116" s="1" t="s">
        <v>230</v>
      </c>
      <c r="P116" s="1" t="s">
        <v>103</v>
      </c>
      <c r="Q116" s="1" t="s">
        <v>418</v>
      </c>
      <c r="R116" s="1" t="s">
        <v>204</v>
      </c>
      <c r="S116" s="1" t="s">
        <v>106</v>
      </c>
      <c r="T116" s="1" t="s">
        <v>107</v>
      </c>
      <c r="U116" s="1" t="s">
        <v>108</v>
      </c>
      <c r="V116" s="1">
        <v>27.952999999999999</v>
      </c>
      <c r="AA116">
        <v>236</v>
      </c>
      <c r="AB116" t="s">
        <v>305</v>
      </c>
      <c r="AC116" t="b">
        <v>0</v>
      </c>
      <c r="AD116" t="s">
        <v>282</v>
      </c>
      <c r="AE116" t="s">
        <v>158</v>
      </c>
      <c r="AF116" t="s">
        <v>106</v>
      </c>
      <c r="AG116" t="s">
        <v>107</v>
      </c>
      <c r="AH116" t="s">
        <v>108</v>
      </c>
      <c r="AI116" s="3">
        <v>31.151691436767578</v>
      </c>
      <c r="CC116">
        <v>288</v>
      </c>
      <c r="CD116" t="s">
        <v>353</v>
      </c>
      <c r="CE116" t="b">
        <v>0</v>
      </c>
      <c r="CF116" t="s">
        <v>282</v>
      </c>
      <c r="CG116" t="s">
        <v>332</v>
      </c>
      <c r="CH116" t="s">
        <v>106</v>
      </c>
      <c r="CI116" t="s">
        <v>107</v>
      </c>
      <c r="CJ116" t="s">
        <v>108</v>
      </c>
      <c r="CK116" t="s">
        <v>235</v>
      </c>
    </row>
    <row r="117" spans="2:89" x14ac:dyDescent="0.25">
      <c r="B117" s="1">
        <v>19</v>
      </c>
      <c r="C117" s="1" t="s">
        <v>135</v>
      </c>
      <c r="D117" s="1" t="s">
        <v>103</v>
      </c>
      <c r="E117" s="1" t="s">
        <v>419</v>
      </c>
      <c r="F117" s="1" t="s">
        <v>129</v>
      </c>
      <c r="G117" s="1" t="s">
        <v>106</v>
      </c>
      <c r="H117" s="1" t="s">
        <v>107</v>
      </c>
      <c r="I117" s="1" t="s">
        <v>108</v>
      </c>
      <c r="J117" s="1">
        <v>17.954999999999998</v>
      </c>
      <c r="N117" s="1">
        <v>119</v>
      </c>
      <c r="O117" s="1" t="s">
        <v>211</v>
      </c>
      <c r="P117" s="1" t="s">
        <v>103</v>
      </c>
      <c r="Q117" s="1" t="s">
        <v>419</v>
      </c>
      <c r="R117" s="1" t="s">
        <v>204</v>
      </c>
      <c r="S117" s="1" t="s">
        <v>106</v>
      </c>
      <c r="T117" s="1" t="s">
        <v>107</v>
      </c>
      <c r="U117" s="1" t="s">
        <v>108</v>
      </c>
      <c r="V117" s="1">
        <v>27.902999999999999</v>
      </c>
      <c r="AA117" s="1">
        <v>261</v>
      </c>
      <c r="AB117" s="1" t="s">
        <v>327</v>
      </c>
      <c r="AC117" s="1" t="s">
        <v>103</v>
      </c>
      <c r="AD117" s="1" t="s">
        <v>282</v>
      </c>
      <c r="AE117" s="1" t="s">
        <v>328</v>
      </c>
      <c r="AF117" s="1" t="s">
        <v>106</v>
      </c>
      <c r="AG117" s="1" t="s">
        <v>107</v>
      </c>
      <c r="AH117" s="1" t="s">
        <v>108</v>
      </c>
      <c r="AI117" s="1" t="s">
        <v>235</v>
      </c>
      <c r="CC117">
        <v>305</v>
      </c>
      <c r="CD117" t="s">
        <v>366</v>
      </c>
      <c r="CE117" t="b">
        <v>0</v>
      </c>
      <c r="CF117" t="s">
        <v>282</v>
      </c>
      <c r="CG117" t="s">
        <v>129</v>
      </c>
      <c r="CH117" t="s">
        <v>106</v>
      </c>
      <c r="CI117" t="s">
        <v>107</v>
      </c>
      <c r="CJ117" t="s">
        <v>108</v>
      </c>
      <c r="CK117" s="3">
        <v>34.826026916503906</v>
      </c>
    </row>
    <row r="118" spans="2:89" x14ac:dyDescent="0.25">
      <c r="B118" s="1">
        <v>19</v>
      </c>
      <c r="C118" s="1" t="s">
        <v>155</v>
      </c>
      <c r="D118" s="1" t="s">
        <v>103</v>
      </c>
      <c r="E118" s="1" t="s">
        <v>419</v>
      </c>
      <c r="F118" s="1" t="s">
        <v>129</v>
      </c>
      <c r="G118" s="1" t="s">
        <v>106</v>
      </c>
      <c r="H118" s="1" t="s">
        <v>107</v>
      </c>
      <c r="I118" s="1" t="s">
        <v>108</v>
      </c>
      <c r="J118" s="1">
        <v>18.097000000000001</v>
      </c>
      <c r="N118" s="1">
        <v>143</v>
      </c>
      <c r="O118" s="1" t="s">
        <v>231</v>
      </c>
      <c r="P118" s="1" t="s">
        <v>103</v>
      </c>
      <c r="Q118" s="1" t="s">
        <v>419</v>
      </c>
      <c r="R118" s="1" t="s">
        <v>204</v>
      </c>
      <c r="S118" s="1" t="s">
        <v>106</v>
      </c>
      <c r="T118" s="1" t="s">
        <v>107</v>
      </c>
      <c r="U118" s="1" t="s">
        <v>108</v>
      </c>
      <c r="V118" s="1">
        <v>27.93</v>
      </c>
      <c r="AA118" s="1">
        <v>262</v>
      </c>
      <c r="AB118" s="1" t="s">
        <v>329</v>
      </c>
      <c r="AC118" s="1" t="s">
        <v>103</v>
      </c>
      <c r="AD118" s="1" t="s">
        <v>282</v>
      </c>
      <c r="AE118" s="1" t="s">
        <v>328</v>
      </c>
      <c r="AF118" s="1" t="s">
        <v>106</v>
      </c>
      <c r="AG118" s="1" t="s">
        <v>107</v>
      </c>
      <c r="AH118" s="1" t="s">
        <v>108</v>
      </c>
      <c r="AI118" s="1">
        <v>36.997</v>
      </c>
      <c r="CC118">
        <v>306</v>
      </c>
      <c r="CD118" t="s">
        <v>367</v>
      </c>
      <c r="CE118" t="b">
        <v>0</v>
      </c>
      <c r="CF118" t="s">
        <v>282</v>
      </c>
      <c r="CG118" t="s">
        <v>129</v>
      </c>
      <c r="CH118" t="s">
        <v>106</v>
      </c>
      <c r="CI118" t="s">
        <v>107</v>
      </c>
      <c r="CJ118" t="s">
        <v>108</v>
      </c>
      <c r="CK118" s="3">
        <v>35.361324310302734</v>
      </c>
    </row>
    <row r="119" spans="2:89" x14ac:dyDescent="0.25">
      <c r="B119" s="1">
        <v>20</v>
      </c>
      <c r="C119" s="1" t="s">
        <v>136</v>
      </c>
      <c r="D119" s="1" t="s">
        <v>103</v>
      </c>
      <c r="E119" s="1" t="s">
        <v>419</v>
      </c>
      <c r="F119" s="1" t="s">
        <v>129</v>
      </c>
      <c r="G119" s="1" t="s">
        <v>106</v>
      </c>
      <c r="H119" s="1" t="s">
        <v>107</v>
      </c>
      <c r="I119" s="1" t="s">
        <v>108</v>
      </c>
      <c r="J119" s="1">
        <v>17.888999999999999</v>
      </c>
      <c r="N119" s="1">
        <v>120</v>
      </c>
      <c r="O119" s="1" t="s">
        <v>212</v>
      </c>
      <c r="P119" s="1" t="s">
        <v>103</v>
      </c>
      <c r="Q119" s="1" t="s">
        <v>419</v>
      </c>
      <c r="R119" s="1" t="s">
        <v>204</v>
      </c>
      <c r="S119" s="1" t="s">
        <v>106</v>
      </c>
      <c r="T119" s="1" t="s">
        <v>107</v>
      </c>
      <c r="U119" s="1" t="s">
        <v>108</v>
      </c>
      <c r="V119" s="1">
        <v>27.876999999999999</v>
      </c>
      <c r="AA119" s="1">
        <v>285</v>
      </c>
      <c r="AB119" s="1" t="s">
        <v>350</v>
      </c>
      <c r="AC119" s="1" t="s">
        <v>103</v>
      </c>
      <c r="AD119" s="1" t="s">
        <v>282</v>
      </c>
      <c r="AE119" s="1" t="s">
        <v>328</v>
      </c>
      <c r="AF119" s="1" t="s">
        <v>106</v>
      </c>
      <c r="AG119" s="1" t="s">
        <v>107</v>
      </c>
      <c r="AH119" s="1" t="s">
        <v>108</v>
      </c>
      <c r="AI119" s="1">
        <v>24.233000000000001</v>
      </c>
      <c r="CC119">
        <v>307</v>
      </c>
      <c r="CD119" t="s">
        <v>368</v>
      </c>
      <c r="CE119" t="b">
        <v>0</v>
      </c>
      <c r="CF119" t="s">
        <v>282</v>
      </c>
      <c r="CG119" t="s">
        <v>204</v>
      </c>
      <c r="CH119" t="s">
        <v>106</v>
      </c>
      <c r="CI119" t="s">
        <v>107</v>
      </c>
      <c r="CJ119" t="s">
        <v>108</v>
      </c>
      <c r="CK119" t="s">
        <v>235</v>
      </c>
    </row>
    <row r="120" spans="2:89" x14ac:dyDescent="0.25">
      <c r="B120" s="1">
        <v>20</v>
      </c>
      <c r="C120" s="1" t="s">
        <v>156</v>
      </c>
      <c r="D120" s="1" t="s">
        <v>103</v>
      </c>
      <c r="E120" s="1" t="s">
        <v>419</v>
      </c>
      <c r="F120" s="1" t="s">
        <v>129</v>
      </c>
      <c r="G120" s="1" t="s">
        <v>106</v>
      </c>
      <c r="H120" s="1" t="s">
        <v>107</v>
      </c>
      <c r="I120" s="1" t="s">
        <v>108</v>
      </c>
      <c r="J120" s="1">
        <v>18.041</v>
      </c>
      <c r="N120" s="1">
        <v>144</v>
      </c>
      <c r="O120" s="1" t="s">
        <v>232</v>
      </c>
      <c r="P120" s="1" t="s">
        <v>103</v>
      </c>
      <c r="Q120" s="1" t="s">
        <v>419</v>
      </c>
      <c r="R120" s="1" t="s">
        <v>204</v>
      </c>
      <c r="S120" s="1" t="s">
        <v>106</v>
      </c>
      <c r="T120" s="1" t="s">
        <v>107</v>
      </c>
      <c r="U120" s="1" t="s">
        <v>108</v>
      </c>
      <c r="V120" s="1">
        <v>28.076000000000001</v>
      </c>
      <c r="AA120" s="1">
        <v>286</v>
      </c>
      <c r="AB120" s="1" t="s">
        <v>351</v>
      </c>
      <c r="AC120" s="1" t="s">
        <v>103</v>
      </c>
      <c r="AD120" s="1" t="s">
        <v>282</v>
      </c>
      <c r="AE120" s="1" t="s">
        <v>328</v>
      </c>
      <c r="AF120" s="1" t="s">
        <v>106</v>
      </c>
      <c r="AG120" s="1" t="s">
        <v>107</v>
      </c>
      <c r="AH120" s="1" t="s">
        <v>108</v>
      </c>
      <c r="AI120" s="1" t="s">
        <v>235</v>
      </c>
      <c r="CC120">
        <v>308</v>
      </c>
      <c r="CD120" t="s">
        <v>369</v>
      </c>
      <c r="CE120" t="b">
        <v>0</v>
      </c>
      <c r="CF120" t="s">
        <v>282</v>
      </c>
      <c r="CG120" t="s">
        <v>204</v>
      </c>
      <c r="CH120" t="s">
        <v>106</v>
      </c>
      <c r="CI120" t="s">
        <v>107</v>
      </c>
      <c r="CJ120" t="s">
        <v>108</v>
      </c>
      <c r="CK120" t="s">
        <v>235</v>
      </c>
    </row>
    <row r="121" spans="2:89" x14ac:dyDescent="0.25">
      <c r="B121" s="1">
        <v>20</v>
      </c>
      <c r="C121" s="1" t="s">
        <v>186</v>
      </c>
      <c r="D121" s="1" t="s">
        <v>103</v>
      </c>
      <c r="E121" s="1" t="s">
        <v>420</v>
      </c>
      <c r="F121" s="1" t="s">
        <v>129</v>
      </c>
      <c r="G121" s="1" t="s">
        <v>106</v>
      </c>
      <c r="H121" s="1" t="s">
        <v>107</v>
      </c>
      <c r="I121" s="1" t="s">
        <v>108</v>
      </c>
      <c r="J121" s="1">
        <v>20.016999999999999</v>
      </c>
      <c r="N121" s="1">
        <v>185</v>
      </c>
      <c r="O121" s="1" t="s">
        <v>264</v>
      </c>
      <c r="P121" s="1" t="s">
        <v>103</v>
      </c>
      <c r="Q121" s="1" t="s">
        <v>420</v>
      </c>
      <c r="R121" s="1" t="s">
        <v>204</v>
      </c>
      <c r="S121" s="1" t="s">
        <v>106</v>
      </c>
      <c r="T121" s="1" t="s">
        <v>107</v>
      </c>
      <c r="U121" s="1" t="s">
        <v>108</v>
      </c>
      <c r="V121" s="1">
        <v>28.282</v>
      </c>
      <c r="AA121" s="1">
        <v>261</v>
      </c>
      <c r="AB121" s="1" t="s">
        <v>327</v>
      </c>
      <c r="AC121" s="1" t="s">
        <v>103</v>
      </c>
      <c r="AD121" s="1" t="s">
        <v>282</v>
      </c>
      <c r="AE121" s="1" t="s">
        <v>328</v>
      </c>
      <c r="AF121" s="1" t="s">
        <v>106</v>
      </c>
      <c r="AG121" s="1" t="s">
        <v>107</v>
      </c>
      <c r="AH121" s="1" t="s">
        <v>108</v>
      </c>
      <c r="AI121" s="1">
        <v>32.976999999999997</v>
      </c>
      <c r="CC121">
        <v>329</v>
      </c>
      <c r="CD121" t="s">
        <v>382</v>
      </c>
      <c r="CE121" t="b">
        <v>0</v>
      </c>
      <c r="CF121" t="s">
        <v>282</v>
      </c>
      <c r="CG121" t="s">
        <v>129</v>
      </c>
      <c r="CH121" t="s">
        <v>106</v>
      </c>
      <c r="CI121" t="s">
        <v>107</v>
      </c>
      <c r="CJ121" t="s">
        <v>108</v>
      </c>
      <c r="CK121" s="3">
        <v>11.980865478515625</v>
      </c>
    </row>
    <row r="122" spans="2:89" x14ac:dyDescent="0.25">
      <c r="B122" s="1">
        <v>21</v>
      </c>
      <c r="C122" s="1" t="s">
        <v>170</v>
      </c>
      <c r="D122" s="1" t="s">
        <v>103</v>
      </c>
      <c r="E122" s="1" t="s">
        <v>420</v>
      </c>
      <c r="F122" s="1" t="s">
        <v>129</v>
      </c>
      <c r="G122" s="1" t="s">
        <v>106</v>
      </c>
      <c r="H122" s="1" t="s">
        <v>107</v>
      </c>
      <c r="I122" s="1" t="s">
        <v>108</v>
      </c>
      <c r="J122" s="1">
        <v>20.026</v>
      </c>
      <c r="N122" s="1">
        <v>161</v>
      </c>
      <c r="O122" s="1" t="s">
        <v>248</v>
      </c>
      <c r="P122" s="1" t="s">
        <v>103</v>
      </c>
      <c r="Q122" s="1" t="s">
        <v>420</v>
      </c>
      <c r="R122" s="1" t="s">
        <v>204</v>
      </c>
      <c r="S122" s="1" t="s">
        <v>106</v>
      </c>
      <c r="T122" s="1" t="s">
        <v>107</v>
      </c>
      <c r="U122" s="1" t="s">
        <v>108</v>
      </c>
      <c r="V122" s="1">
        <v>28.193999999999999</v>
      </c>
      <c r="AA122" s="1">
        <v>262</v>
      </c>
      <c r="AB122" s="1" t="s">
        <v>329</v>
      </c>
      <c r="AC122" s="1" t="s">
        <v>103</v>
      </c>
      <c r="AD122" s="1" t="s">
        <v>282</v>
      </c>
      <c r="AE122" s="1" t="s">
        <v>328</v>
      </c>
      <c r="AF122" s="1" t="s">
        <v>106</v>
      </c>
      <c r="AG122" s="1" t="s">
        <v>107</v>
      </c>
      <c r="AH122" s="1" t="s">
        <v>108</v>
      </c>
      <c r="AI122" s="1">
        <v>34.561999999999998</v>
      </c>
      <c r="CC122">
        <v>330</v>
      </c>
      <c r="CD122" t="s">
        <v>383</v>
      </c>
      <c r="CE122" t="b">
        <v>0</v>
      </c>
      <c r="CF122" t="s">
        <v>282</v>
      </c>
      <c r="CG122" t="s">
        <v>129</v>
      </c>
      <c r="CH122" t="s">
        <v>106</v>
      </c>
      <c r="CI122" t="s">
        <v>107</v>
      </c>
      <c r="CJ122" t="s">
        <v>108</v>
      </c>
      <c r="CK122" s="3">
        <v>21.75514030456543</v>
      </c>
    </row>
    <row r="123" spans="2:89" x14ac:dyDescent="0.25">
      <c r="B123" s="1">
        <v>21</v>
      </c>
      <c r="C123" s="1" t="s">
        <v>187</v>
      </c>
      <c r="D123" s="1" t="s">
        <v>103</v>
      </c>
      <c r="E123" s="1" t="s">
        <v>420</v>
      </c>
      <c r="F123" s="1" t="s">
        <v>129</v>
      </c>
      <c r="G123" s="1" t="s">
        <v>106</v>
      </c>
      <c r="H123" s="1" t="s">
        <v>107</v>
      </c>
      <c r="I123" s="1" t="s">
        <v>108</v>
      </c>
      <c r="J123" s="1">
        <v>19.843</v>
      </c>
      <c r="N123" s="1">
        <v>186</v>
      </c>
      <c r="O123" s="1" t="s">
        <v>265</v>
      </c>
      <c r="P123" s="1" t="s">
        <v>103</v>
      </c>
      <c r="Q123" s="1" t="s">
        <v>420</v>
      </c>
      <c r="R123" s="1" t="s">
        <v>204</v>
      </c>
      <c r="S123" s="1" t="s">
        <v>106</v>
      </c>
      <c r="T123" s="1" t="s">
        <v>107</v>
      </c>
      <c r="U123" s="1" t="s">
        <v>108</v>
      </c>
      <c r="V123" s="1">
        <v>28.245999999999999</v>
      </c>
      <c r="AA123" s="1">
        <v>285</v>
      </c>
      <c r="AB123" s="1" t="s">
        <v>350</v>
      </c>
      <c r="AC123" s="1" t="s">
        <v>103</v>
      </c>
      <c r="AD123" s="1" t="s">
        <v>282</v>
      </c>
      <c r="AE123" s="1" t="s">
        <v>328</v>
      </c>
      <c r="AF123" s="1" t="s">
        <v>106</v>
      </c>
      <c r="AG123" s="1" t="s">
        <v>107</v>
      </c>
      <c r="AH123" s="1" t="s">
        <v>108</v>
      </c>
      <c r="AI123" s="1">
        <v>36.049999999999997</v>
      </c>
      <c r="CC123">
        <v>331</v>
      </c>
      <c r="CD123" t="s">
        <v>384</v>
      </c>
      <c r="CE123" t="b">
        <v>0</v>
      </c>
      <c r="CF123" t="s">
        <v>282</v>
      </c>
      <c r="CG123" t="s">
        <v>204</v>
      </c>
      <c r="CH123" t="s">
        <v>106</v>
      </c>
      <c r="CI123" t="s">
        <v>107</v>
      </c>
      <c r="CJ123" t="s">
        <v>108</v>
      </c>
      <c r="CK123" s="3">
        <v>15.328773498535156</v>
      </c>
    </row>
    <row r="124" spans="2:89" x14ac:dyDescent="0.25">
      <c r="B124" s="1">
        <v>22</v>
      </c>
      <c r="C124" s="1" t="s">
        <v>171</v>
      </c>
      <c r="D124" s="1" t="s">
        <v>103</v>
      </c>
      <c r="E124" s="1" t="s">
        <v>420</v>
      </c>
      <c r="F124" s="1" t="s">
        <v>129</v>
      </c>
      <c r="G124" s="1" t="s">
        <v>106</v>
      </c>
      <c r="H124" s="1" t="s">
        <v>107</v>
      </c>
      <c r="I124" s="1" t="s">
        <v>108</v>
      </c>
      <c r="J124" s="1">
        <v>20.100000000000001</v>
      </c>
      <c r="N124" s="1">
        <v>162</v>
      </c>
      <c r="O124" s="1" t="s">
        <v>249</v>
      </c>
      <c r="P124" s="1" t="s">
        <v>103</v>
      </c>
      <c r="Q124" s="1" t="s">
        <v>420</v>
      </c>
      <c r="R124" s="1" t="s">
        <v>204</v>
      </c>
      <c r="S124" s="1" t="s">
        <v>106</v>
      </c>
      <c r="T124" s="1" t="s">
        <v>107</v>
      </c>
      <c r="U124" s="1" t="s">
        <v>108</v>
      </c>
      <c r="V124" s="1">
        <v>28.459</v>
      </c>
      <c r="AA124" s="1">
        <v>286</v>
      </c>
      <c r="AB124" s="1" t="s">
        <v>351</v>
      </c>
      <c r="AC124" s="1" t="s">
        <v>103</v>
      </c>
      <c r="AD124" s="1" t="s">
        <v>282</v>
      </c>
      <c r="AE124" s="1" t="s">
        <v>328</v>
      </c>
      <c r="AF124" s="1" t="s">
        <v>106</v>
      </c>
      <c r="AG124" s="1" t="s">
        <v>107</v>
      </c>
      <c r="AH124" s="1" t="s">
        <v>108</v>
      </c>
      <c r="AI124" s="1" t="s">
        <v>235</v>
      </c>
      <c r="CC124">
        <v>332</v>
      </c>
      <c r="CD124" t="s">
        <v>385</v>
      </c>
      <c r="CE124" t="b">
        <v>0</v>
      </c>
      <c r="CF124" t="s">
        <v>282</v>
      </c>
      <c r="CG124" t="s">
        <v>204</v>
      </c>
      <c r="CH124" t="s">
        <v>106</v>
      </c>
      <c r="CI124" t="s">
        <v>107</v>
      </c>
      <c r="CJ124" t="s">
        <v>108</v>
      </c>
      <c r="CK124" s="3">
        <v>7.2854347229003906</v>
      </c>
    </row>
    <row r="125" spans="2:89" x14ac:dyDescent="0.25">
      <c r="B125" s="1">
        <v>22</v>
      </c>
      <c r="C125" s="1" t="s">
        <v>188</v>
      </c>
      <c r="D125" s="1" t="s">
        <v>103</v>
      </c>
      <c r="E125" s="1" t="s">
        <v>421</v>
      </c>
      <c r="F125" s="1" t="s">
        <v>129</v>
      </c>
      <c r="G125" s="1" t="s">
        <v>106</v>
      </c>
      <c r="H125" s="1" t="s">
        <v>107</v>
      </c>
      <c r="I125" s="1" t="s">
        <v>108</v>
      </c>
      <c r="J125" s="1">
        <v>18.948</v>
      </c>
      <c r="N125" s="1">
        <v>187</v>
      </c>
      <c r="O125" s="1" t="s">
        <v>266</v>
      </c>
      <c r="P125" s="1" t="s">
        <v>103</v>
      </c>
      <c r="Q125" s="1" t="s">
        <v>421</v>
      </c>
      <c r="R125" s="1" t="s">
        <v>204</v>
      </c>
      <c r="S125" s="1" t="s">
        <v>106</v>
      </c>
      <c r="T125" s="1" t="s">
        <v>107</v>
      </c>
      <c r="U125" s="1" t="s">
        <v>108</v>
      </c>
      <c r="V125" s="1">
        <v>27.725000000000001</v>
      </c>
      <c r="AA125">
        <v>261</v>
      </c>
      <c r="AB125" t="s">
        <v>327</v>
      </c>
      <c r="AC125" t="b">
        <v>0</v>
      </c>
      <c r="AD125" t="s">
        <v>282</v>
      </c>
      <c r="AE125" t="s">
        <v>328</v>
      </c>
      <c r="AF125" t="s">
        <v>106</v>
      </c>
      <c r="AG125" t="s">
        <v>107</v>
      </c>
      <c r="AH125" t="s">
        <v>108</v>
      </c>
      <c r="AI125" s="3">
        <v>32.883689880371094</v>
      </c>
    </row>
    <row r="126" spans="2:89" x14ac:dyDescent="0.25">
      <c r="B126" s="1">
        <v>23</v>
      </c>
      <c r="C126" s="1" t="s">
        <v>172</v>
      </c>
      <c r="D126" s="1" t="s">
        <v>103</v>
      </c>
      <c r="E126" s="1" t="s">
        <v>421</v>
      </c>
      <c r="F126" s="1" t="s">
        <v>129</v>
      </c>
      <c r="G126" s="1" t="s">
        <v>106</v>
      </c>
      <c r="H126" s="1" t="s">
        <v>107</v>
      </c>
      <c r="I126" s="1" t="s">
        <v>108</v>
      </c>
      <c r="J126" s="1">
        <v>18.928999999999998</v>
      </c>
      <c r="N126" s="1">
        <v>163</v>
      </c>
      <c r="O126" s="1" t="s">
        <v>250</v>
      </c>
      <c r="P126" s="1" t="s">
        <v>103</v>
      </c>
      <c r="Q126" s="1" t="s">
        <v>421</v>
      </c>
      <c r="R126" s="1" t="s">
        <v>204</v>
      </c>
      <c r="S126" s="1" t="s">
        <v>106</v>
      </c>
      <c r="T126" s="1" t="s">
        <v>107</v>
      </c>
      <c r="U126" s="1" t="s">
        <v>108</v>
      </c>
      <c r="V126" s="1">
        <v>27.576000000000001</v>
      </c>
      <c r="AA126">
        <v>262</v>
      </c>
      <c r="AB126" t="s">
        <v>329</v>
      </c>
      <c r="AC126" t="b">
        <v>0</v>
      </c>
      <c r="AD126" t="s">
        <v>282</v>
      </c>
      <c r="AE126" t="s">
        <v>328</v>
      </c>
      <c r="AF126" t="s">
        <v>106</v>
      </c>
      <c r="AG126" t="s">
        <v>107</v>
      </c>
      <c r="AH126" t="s">
        <v>108</v>
      </c>
      <c r="AI126" t="s">
        <v>235</v>
      </c>
    </row>
    <row r="127" spans="2:89" x14ac:dyDescent="0.25">
      <c r="B127" s="1">
        <v>23</v>
      </c>
      <c r="C127" s="1" t="s">
        <v>189</v>
      </c>
      <c r="D127" s="1" t="s">
        <v>103</v>
      </c>
      <c r="E127" s="1" t="s">
        <v>421</v>
      </c>
      <c r="F127" s="1" t="s">
        <v>129</v>
      </c>
      <c r="G127" s="1" t="s">
        <v>106</v>
      </c>
      <c r="H127" s="1" t="s">
        <v>107</v>
      </c>
      <c r="I127" s="1" t="s">
        <v>108</v>
      </c>
      <c r="J127" s="1">
        <v>18.931000000000001</v>
      </c>
      <c r="N127" s="1">
        <v>188</v>
      </c>
      <c r="O127" s="1" t="s">
        <v>267</v>
      </c>
      <c r="P127" s="1" t="s">
        <v>103</v>
      </c>
      <c r="Q127" s="1" t="s">
        <v>421</v>
      </c>
      <c r="R127" s="1" t="s">
        <v>204</v>
      </c>
      <c r="S127" s="1" t="s">
        <v>106</v>
      </c>
      <c r="T127" s="1" t="s">
        <v>107</v>
      </c>
      <c r="U127" s="1" t="s">
        <v>108</v>
      </c>
      <c r="V127" s="1">
        <v>27.303999999999998</v>
      </c>
      <c r="AA127">
        <v>285</v>
      </c>
      <c r="AB127" t="s">
        <v>350</v>
      </c>
      <c r="AC127" t="b">
        <v>0</v>
      </c>
      <c r="AD127" t="s">
        <v>282</v>
      </c>
      <c r="AE127" t="s">
        <v>328</v>
      </c>
      <c r="AF127" t="s">
        <v>106</v>
      </c>
      <c r="AG127" t="s">
        <v>107</v>
      </c>
      <c r="AH127" t="s">
        <v>108</v>
      </c>
      <c r="AI127" s="3">
        <v>34.651172637939453</v>
      </c>
    </row>
    <row r="128" spans="2:89" x14ac:dyDescent="0.25">
      <c r="B128" s="1">
        <v>24</v>
      </c>
      <c r="C128" s="1" t="s">
        <v>173</v>
      </c>
      <c r="D128" s="1" t="s">
        <v>103</v>
      </c>
      <c r="E128" s="1" t="s">
        <v>421</v>
      </c>
      <c r="F128" s="1" t="s">
        <v>129</v>
      </c>
      <c r="G128" s="1" t="s">
        <v>106</v>
      </c>
      <c r="H128" s="1" t="s">
        <v>107</v>
      </c>
      <c r="I128" s="1" t="s">
        <v>108</v>
      </c>
      <c r="J128" s="1">
        <v>18.837</v>
      </c>
      <c r="N128" s="1">
        <v>164</v>
      </c>
      <c r="O128" s="1" t="s">
        <v>251</v>
      </c>
      <c r="P128" s="1" t="s">
        <v>103</v>
      </c>
      <c r="Q128" s="1" t="s">
        <v>421</v>
      </c>
      <c r="R128" s="1" t="s">
        <v>204</v>
      </c>
      <c r="S128" s="1" t="s">
        <v>106</v>
      </c>
      <c r="T128" s="1" t="s">
        <v>107</v>
      </c>
      <c r="U128" s="1" t="s">
        <v>108</v>
      </c>
      <c r="V128" s="1">
        <v>27.812999999999999</v>
      </c>
      <c r="AA128">
        <v>286</v>
      </c>
      <c r="AB128" t="s">
        <v>351</v>
      </c>
      <c r="AC128" t="b">
        <v>0</v>
      </c>
      <c r="AD128" t="s">
        <v>282</v>
      </c>
      <c r="AE128" t="s">
        <v>328</v>
      </c>
      <c r="AF128" t="s">
        <v>106</v>
      </c>
      <c r="AG128" t="s">
        <v>107</v>
      </c>
      <c r="AH128" t="s">
        <v>108</v>
      </c>
      <c r="AI128" t="s">
        <v>235</v>
      </c>
    </row>
    <row r="129" spans="2:35" x14ac:dyDescent="0.25">
      <c r="B129" s="1">
        <v>24</v>
      </c>
      <c r="C129" t="s">
        <v>128</v>
      </c>
      <c r="D129" t="b">
        <v>0</v>
      </c>
      <c r="E129" t="s">
        <v>422</v>
      </c>
      <c r="F129" t="s">
        <v>129</v>
      </c>
      <c r="G129" t="s">
        <v>106</v>
      </c>
      <c r="H129" t="s">
        <v>107</v>
      </c>
      <c r="I129" t="s">
        <v>108</v>
      </c>
      <c r="J129" s="3">
        <v>17.946588516235352</v>
      </c>
      <c r="N129">
        <v>113</v>
      </c>
      <c r="O129" t="s">
        <v>203</v>
      </c>
      <c r="P129" t="b">
        <v>0</v>
      </c>
      <c r="Q129" t="s">
        <v>422</v>
      </c>
      <c r="R129" t="s">
        <v>204</v>
      </c>
      <c r="S129" t="s">
        <v>106</v>
      </c>
      <c r="T129" t="s">
        <v>107</v>
      </c>
      <c r="U129" t="s">
        <v>108</v>
      </c>
      <c r="V129" s="3">
        <v>31.312955856323242</v>
      </c>
      <c r="AA129" s="1">
        <v>305</v>
      </c>
      <c r="AB129" s="1" t="s">
        <v>366</v>
      </c>
      <c r="AC129" s="1" t="s">
        <v>103</v>
      </c>
      <c r="AD129" s="1" t="s">
        <v>282</v>
      </c>
      <c r="AE129" s="1" t="s">
        <v>129</v>
      </c>
      <c r="AF129" s="1" t="s">
        <v>106</v>
      </c>
      <c r="AG129" s="1" t="s">
        <v>107</v>
      </c>
      <c r="AH129" s="1" t="s">
        <v>108</v>
      </c>
      <c r="AI129" s="1">
        <v>34.139000000000003</v>
      </c>
    </row>
    <row r="130" spans="2:35" x14ac:dyDescent="0.25">
      <c r="B130" s="1">
        <v>24</v>
      </c>
      <c r="C130" t="s">
        <v>149</v>
      </c>
      <c r="D130" t="b">
        <v>0</v>
      </c>
      <c r="E130" t="s">
        <v>422</v>
      </c>
      <c r="F130" t="s">
        <v>129</v>
      </c>
      <c r="G130" t="s">
        <v>106</v>
      </c>
      <c r="H130" t="s">
        <v>107</v>
      </c>
      <c r="I130" t="s">
        <v>108</v>
      </c>
      <c r="J130" s="3">
        <v>17.91816520690918</v>
      </c>
      <c r="N130">
        <v>137</v>
      </c>
      <c r="O130" t="s">
        <v>225</v>
      </c>
      <c r="P130" t="b">
        <v>0</v>
      </c>
      <c r="Q130" t="s">
        <v>422</v>
      </c>
      <c r="R130" t="s">
        <v>204</v>
      </c>
      <c r="S130" t="s">
        <v>106</v>
      </c>
      <c r="T130" t="s">
        <v>107</v>
      </c>
      <c r="U130" t="s">
        <v>108</v>
      </c>
      <c r="V130" s="3">
        <v>30.001653671264648</v>
      </c>
      <c r="AA130" s="1">
        <v>306</v>
      </c>
      <c r="AB130" s="1" t="s">
        <v>367</v>
      </c>
      <c r="AC130" s="1" t="s">
        <v>103</v>
      </c>
      <c r="AD130" s="1" t="s">
        <v>282</v>
      </c>
      <c r="AE130" s="1" t="s">
        <v>129</v>
      </c>
      <c r="AF130" s="1" t="s">
        <v>106</v>
      </c>
      <c r="AG130" s="1" t="s">
        <v>107</v>
      </c>
      <c r="AH130" s="1" t="s">
        <v>108</v>
      </c>
      <c r="AI130" s="1">
        <v>35.356999999999999</v>
      </c>
    </row>
    <row r="131" spans="2:35" x14ac:dyDescent="0.25">
      <c r="B131" s="1">
        <v>25</v>
      </c>
      <c r="C131" t="s">
        <v>130</v>
      </c>
      <c r="D131" t="b">
        <v>0</v>
      </c>
      <c r="E131" t="s">
        <v>422</v>
      </c>
      <c r="F131" t="s">
        <v>129</v>
      </c>
      <c r="G131" t="s">
        <v>106</v>
      </c>
      <c r="H131" t="s">
        <v>107</v>
      </c>
      <c r="I131" t="s">
        <v>108</v>
      </c>
      <c r="J131" s="3">
        <v>17.994478225708008</v>
      </c>
      <c r="N131">
        <v>114</v>
      </c>
      <c r="O131" t="s">
        <v>206</v>
      </c>
      <c r="P131" t="b">
        <v>0</v>
      </c>
      <c r="Q131" t="s">
        <v>422</v>
      </c>
      <c r="R131" t="s">
        <v>204</v>
      </c>
      <c r="S131" t="s">
        <v>106</v>
      </c>
      <c r="T131" t="s">
        <v>107</v>
      </c>
      <c r="U131" t="s">
        <v>108</v>
      </c>
      <c r="V131" s="3">
        <v>30.427064895629883</v>
      </c>
      <c r="AA131" s="1">
        <v>329</v>
      </c>
      <c r="AB131" s="1" t="s">
        <v>382</v>
      </c>
      <c r="AC131" s="1" t="s">
        <v>103</v>
      </c>
      <c r="AD131" s="1" t="s">
        <v>282</v>
      </c>
      <c r="AE131" s="1" t="s">
        <v>129</v>
      </c>
      <c r="AF131" s="1" t="s">
        <v>106</v>
      </c>
      <c r="AG131" s="1" t="s">
        <v>107</v>
      </c>
      <c r="AH131" s="1" t="s">
        <v>108</v>
      </c>
      <c r="AI131" s="1">
        <v>23.992000000000001</v>
      </c>
    </row>
    <row r="132" spans="2:35" x14ac:dyDescent="0.25">
      <c r="B132" s="1">
        <v>25</v>
      </c>
      <c r="C132" t="s">
        <v>150</v>
      </c>
      <c r="D132" t="b">
        <v>0</v>
      </c>
      <c r="E132" t="s">
        <v>422</v>
      </c>
      <c r="F132" t="s">
        <v>129</v>
      </c>
      <c r="G132" t="s">
        <v>106</v>
      </c>
      <c r="H132" t="s">
        <v>107</v>
      </c>
      <c r="I132" t="s">
        <v>108</v>
      </c>
      <c r="J132" s="3">
        <v>17.798603057861328</v>
      </c>
      <c r="N132">
        <v>138</v>
      </c>
      <c r="O132" t="s">
        <v>226</v>
      </c>
      <c r="P132" t="b">
        <v>0</v>
      </c>
      <c r="Q132" t="s">
        <v>422</v>
      </c>
      <c r="R132" t="s">
        <v>204</v>
      </c>
      <c r="S132" t="s">
        <v>106</v>
      </c>
      <c r="T132" t="s">
        <v>107</v>
      </c>
      <c r="U132" t="s">
        <v>108</v>
      </c>
      <c r="V132" s="3">
        <v>30.222959518432617</v>
      </c>
      <c r="AA132" s="1">
        <v>330</v>
      </c>
      <c r="AB132" s="1" t="s">
        <v>383</v>
      </c>
      <c r="AC132" s="1" t="s">
        <v>103</v>
      </c>
      <c r="AD132" s="1" t="s">
        <v>282</v>
      </c>
      <c r="AE132" s="1" t="s">
        <v>129</v>
      </c>
      <c r="AF132" s="1" t="s">
        <v>106</v>
      </c>
      <c r="AG132" s="1" t="s">
        <v>107</v>
      </c>
      <c r="AH132" s="1" t="s">
        <v>108</v>
      </c>
      <c r="AI132" s="1" t="s">
        <v>235</v>
      </c>
    </row>
    <row r="133" spans="2:35" x14ac:dyDescent="0.25">
      <c r="B133" s="1">
        <v>26</v>
      </c>
      <c r="C133" t="s">
        <v>131</v>
      </c>
      <c r="D133" t="b">
        <v>0</v>
      </c>
      <c r="E133" t="s">
        <v>424</v>
      </c>
      <c r="F133" t="s">
        <v>129</v>
      </c>
      <c r="G133" t="s">
        <v>106</v>
      </c>
      <c r="H133" t="s">
        <v>107</v>
      </c>
      <c r="I133" t="s">
        <v>108</v>
      </c>
      <c r="J133" s="3">
        <v>18.156644821166992</v>
      </c>
      <c r="N133">
        <v>115</v>
      </c>
      <c r="O133" t="s">
        <v>207</v>
      </c>
      <c r="P133" t="b">
        <v>0</v>
      </c>
      <c r="Q133" t="s">
        <v>424</v>
      </c>
      <c r="R133" t="s">
        <v>204</v>
      </c>
      <c r="S133" t="s">
        <v>106</v>
      </c>
      <c r="T133" t="s">
        <v>107</v>
      </c>
      <c r="U133" t="s">
        <v>108</v>
      </c>
      <c r="V133" s="3">
        <v>31.759027481079102</v>
      </c>
      <c r="AA133" s="1">
        <v>305</v>
      </c>
      <c r="AB133" s="1" t="s">
        <v>366</v>
      </c>
      <c r="AC133" s="1" t="s">
        <v>103</v>
      </c>
      <c r="AD133" s="1" t="s">
        <v>282</v>
      </c>
      <c r="AE133" s="1" t="s">
        <v>129</v>
      </c>
      <c r="AF133" s="1" t="s">
        <v>106</v>
      </c>
      <c r="AG133" s="1" t="s">
        <v>107</v>
      </c>
      <c r="AH133" s="1" t="s">
        <v>108</v>
      </c>
      <c r="AI133" s="1">
        <v>36.951000000000001</v>
      </c>
    </row>
    <row r="134" spans="2:35" x14ac:dyDescent="0.25">
      <c r="B134" s="1">
        <v>26</v>
      </c>
      <c r="C134" t="s">
        <v>151</v>
      </c>
      <c r="D134" t="b">
        <v>0</v>
      </c>
      <c r="E134" t="s">
        <v>424</v>
      </c>
      <c r="F134" t="s">
        <v>129</v>
      </c>
      <c r="G134" t="s">
        <v>106</v>
      </c>
      <c r="H134" t="s">
        <v>107</v>
      </c>
      <c r="I134" t="s">
        <v>108</v>
      </c>
      <c r="J134" s="3">
        <v>19.030796051025391</v>
      </c>
      <c r="N134">
        <v>139</v>
      </c>
      <c r="O134" t="s">
        <v>227</v>
      </c>
      <c r="P134" t="b">
        <v>0</v>
      </c>
      <c r="Q134" t="s">
        <v>424</v>
      </c>
      <c r="R134" t="s">
        <v>204</v>
      </c>
      <c r="S134" t="s">
        <v>106</v>
      </c>
      <c r="T134" t="s">
        <v>107</v>
      </c>
      <c r="U134" t="s">
        <v>108</v>
      </c>
      <c r="V134" s="3">
        <v>32.705947875976563</v>
      </c>
      <c r="AA134" s="1">
        <v>306</v>
      </c>
      <c r="AB134" s="1" t="s">
        <v>367</v>
      </c>
      <c r="AC134" s="1" t="s">
        <v>103</v>
      </c>
      <c r="AD134" s="1" t="s">
        <v>282</v>
      </c>
      <c r="AE134" s="1" t="s">
        <v>129</v>
      </c>
      <c r="AF134" s="1" t="s">
        <v>106</v>
      </c>
      <c r="AG134" s="1" t="s">
        <v>107</v>
      </c>
      <c r="AH134" s="1" t="s">
        <v>108</v>
      </c>
      <c r="AI134" s="1">
        <v>38.627000000000002</v>
      </c>
    </row>
    <row r="135" spans="2:35" x14ac:dyDescent="0.25">
      <c r="B135" s="1">
        <v>27</v>
      </c>
      <c r="C135" t="s">
        <v>132</v>
      </c>
      <c r="D135" t="b">
        <v>0</v>
      </c>
      <c r="E135" t="s">
        <v>424</v>
      </c>
      <c r="F135" t="s">
        <v>129</v>
      </c>
      <c r="G135" t="s">
        <v>106</v>
      </c>
      <c r="H135" t="s">
        <v>107</v>
      </c>
      <c r="I135" t="s">
        <v>108</v>
      </c>
      <c r="J135" s="3">
        <v>18.100671768188477</v>
      </c>
      <c r="N135">
        <v>116</v>
      </c>
      <c r="O135" t="s">
        <v>208</v>
      </c>
      <c r="P135" t="b">
        <v>0</v>
      </c>
      <c r="Q135" t="s">
        <v>424</v>
      </c>
      <c r="R135" t="s">
        <v>204</v>
      </c>
      <c r="S135" t="s">
        <v>106</v>
      </c>
      <c r="T135" t="s">
        <v>107</v>
      </c>
      <c r="U135" t="s">
        <v>108</v>
      </c>
      <c r="V135" s="3">
        <v>31.488010406494141</v>
      </c>
      <c r="AA135" s="1">
        <v>329</v>
      </c>
      <c r="AB135" s="1" t="s">
        <v>382</v>
      </c>
      <c r="AC135" s="1" t="s">
        <v>103</v>
      </c>
      <c r="AD135" s="1" t="s">
        <v>282</v>
      </c>
      <c r="AE135" s="1" t="s">
        <v>129</v>
      </c>
      <c r="AF135" s="1" t="s">
        <v>106</v>
      </c>
      <c r="AG135" s="1" t="s">
        <v>107</v>
      </c>
      <c r="AH135" s="1" t="s">
        <v>108</v>
      </c>
      <c r="AI135" s="1" t="s">
        <v>235</v>
      </c>
    </row>
    <row r="136" spans="2:35" x14ac:dyDescent="0.25">
      <c r="B136" s="1">
        <v>27</v>
      </c>
      <c r="C136" t="s">
        <v>152</v>
      </c>
      <c r="D136" t="b">
        <v>0</v>
      </c>
      <c r="E136" t="s">
        <v>424</v>
      </c>
      <c r="F136" t="s">
        <v>129</v>
      </c>
      <c r="G136" t="s">
        <v>106</v>
      </c>
      <c r="H136" t="s">
        <v>107</v>
      </c>
      <c r="I136" t="s">
        <v>108</v>
      </c>
      <c r="J136" s="3">
        <v>17.373249053955078</v>
      </c>
      <c r="N136">
        <v>140</v>
      </c>
      <c r="O136" t="s">
        <v>228</v>
      </c>
      <c r="P136" t="b">
        <v>0</v>
      </c>
      <c r="Q136" t="s">
        <v>424</v>
      </c>
      <c r="R136" t="s">
        <v>204</v>
      </c>
      <c r="S136" t="s">
        <v>106</v>
      </c>
      <c r="T136" t="s">
        <v>107</v>
      </c>
      <c r="U136" t="s">
        <v>108</v>
      </c>
      <c r="V136" s="3">
        <v>31.943874359130859</v>
      </c>
      <c r="AA136" s="1">
        <v>330</v>
      </c>
      <c r="AB136" s="1" t="s">
        <v>383</v>
      </c>
      <c r="AC136" s="1" t="s">
        <v>103</v>
      </c>
      <c r="AD136" s="1" t="s">
        <v>282</v>
      </c>
      <c r="AE136" s="1" t="s">
        <v>129</v>
      </c>
      <c r="AF136" s="1" t="s">
        <v>106</v>
      </c>
      <c r="AG136" s="1" t="s">
        <v>107</v>
      </c>
      <c r="AH136" s="1" t="s">
        <v>108</v>
      </c>
      <c r="AI136" s="1" t="s">
        <v>235</v>
      </c>
    </row>
    <row r="137" spans="2:35" x14ac:dyDescent="0.25">
      <c r="B137" s="1">
        <v>28</v>
      </c>
      <c r="C137" t="s">
        <v>133</v>
      </c>
      <c r="D137" t="b">
        <v>0</v>
      </c>
      <c r="E137" t="s">
        <v>423</v>
      </c>
      <c r="F137" t="s">
        <v>129</v>
      </c>
      <c r="G137" t="s">
        <v>106</v>
      </c>
      <c r="H137" t="s">
        <v>107</v>
      </c>
      <c r="I137" t="s">
        <v>108</v>
      </c>
      <c r="J137" s="3">
        <v>17.632972717285156</v>
      </c>
      <c r="N137">
        <v>117</v>
      </c>
      <c r="O137" t="s">
        <v>209</v>
      </c>
      <c r="P137" t="b">
        <v>0</v>
      </c>
      <c r="Q137" t="s">
        <v>423</v>
      </c>
      <c r="R137" t="s">
        <v>204</v>
      </c>
      <c r="S137" t="s">
        <v>106</v>
      </c>
      <c r="T137" t="s">
        <v>107</v>
      </c>
      <c r="U137" t="s">
        <v>108</v>
      </c>
      <c r="V137" s="3">
        <v>28.46075439453125</v>
      </c>
      <c r="AA137">
        <v>305</v>
      </c>
      <c r="AB137" t="s">
        <v>366</v>
      </c>
      <c r="AC137" t="b">
        <v>0</v>
      </c>
      <c r="AD137" t="s">
        <v>282</v>
      </c>
      <c r="AE137" t="s">
        <v>129</v>
      </c>
      <c r="AF137" t="s">
        <v>106</v>
      </c>
      <c r="AG137" t="s">
        <v>107</v>
      </c>
      <c r="AH137" t="s">
        <v>108</v>
      </c>
      <c r="AI137" s="3">
        <v>34.826026916503906</v>
      </c>
    </row>
    <row r="138" spans="2:35" x14ac:dyDescent="0.25">
      <c r="B138" s="1">
        <v>28</v>
      </c>
      <c r="C138" t="s">
        <v>153</v>
      </c>
      <c r="D138" t="b">
        <v>0</v>
      </c>
      <c r="E138" t="s">
        <v>423</v>
      </c>
      <c r="F138" t="s">
        <v>129</v>
      </c>
      <c r="G138" t="s">
        <v>106</v>
      </c>
      <c r="H138" t="s">
        <v>107</v>
      </c>
      <c r="I138" t="s">
        <v>108</v>
      </c>
      <c r="J138" s="3">
        <v>17.797683715820313</v>
      </c>
      <c r="N138">
        <v>141</v>
      </c>
      <c r="O138" t="s">
        <v>229</v>
      </c>
      <c r="P138" t="b">
        <v>0</v>
      </c>
      <c r="Q138" t="s">
        <v>423</v>
      </c>
      <c r="R138" t="s">
        <v>204</v>
      </c>
      <c r="S138" t="s">
        <v>106</v>
      </c>
      <c r="T138" t="s">
        <v>107</v>
      </c>
      <c r="U138" t="s">
        <v>108</v>
      </c>
      <c r="V138" s="3">
        <v>28.504470825195313</v>
      </c>
      <c r="AA138">
        <v>306</v>
      </c>
      <c r="AB138" t="s">
        <v>367</v>
      </c>
      <c r="AC138" t="b">
        <v>0</v>
      </c>
      <c r="AD138" t="s">
        <v>282</v>
      </c>
      <c r="AE138" t="s">
        <v>129</v>
      </c>
      <c r="AF138" t="s">
        <v>106</v>
      </c>
      <c r="AG138" t="s">
        <v>107</v>
      </c>
      <c r="AH138" t="s">
        <v>108</v>
      </c>
      <c r="AI138" s="3">
        <v>35.361324310302734</v>
      </c>
    </row>
    <row r="139" spans="2:35" x14ac:dyDescent="0.25">
      <c r="B139" s="1">
        <v>29</v>
      </c>
      <c r="C139" t="s">
        <v>134</v>
      </c>
      <c r="D139" t="b">
        <v>0</v>
      </c>
      <c r="E139" t="s">
        <v>423</v>
      </c>
      <c r="F139" t="s">
        <v>129</v>
      </c>
      <c r="G139" t="s">
        <v>106</v>
      </c>
      <c r="H139" t="s">
        <v>107</v>
      </c>
      <c r="I139" t="s">
        <v>108</v>
      </c>
      <c r="J139" s="3">
        <v>17.612838745117188</v>
      </c>
      <c r="N139">
        <v>118</v>
      </c>
      <c r="O139" t="s">
        <v>210</v>
      </c>
      <c r="P139" t="b">
        <v>0</v>
      </c>
      <c r="Q139" t="s">
        <v>423</v>
      </c>
      <c r="R139" t="s">
        <v>204</v>
      </c>
      <c r="S139" t="s">
        <v>106</v>
      </c>
      <c r="T139" t="s">
        <v>107</v>
      </c>
      <c r="U139" t="s">
        <v>108</v>
      </c>
      <c r="V139" s="3">
        <v>28.841800689697266</v>
      </c>
      <c r="AA139">
        <v>329</v>
      </c>
      <c r="AB139" t="s">
        <v>382</v>
      </c>
      <c r="AC139" t="b">
        <v>0</v>
      </c>
      <c r="AD139" t="s">
        <v>282</v>
      </c>
      <c r="AE139" t="s">
        <v>129</v>
      </c>
      <c r="AF139" t="s">
        <v>106</v>
      </c>
      <c r="AG139" t="s">
        <v>107</v>
      </c>
      <c r="AH139" t="s">
        <v>108</v>
      </c>
      <c r="AI139" s="3">
        <v>11.980865478515625</v>
      </c>
    </row>
    <row r="140" spans="2:35" x14ac:dyDescent="0.25">
      <c r="B140" s="1">
        <v>29</v>
      </c>
      <c r="C140" t="s">
        <v>154</v>
      </c>
      <c r="D140" t="b">
        <v>0</v>
      </c>
      <c r="E140" t="s">
        <v>423</v>
      </c>
      <c r="F140" t="s">
        <v>129</v>
      </c>
      <c r="G140" t="s">
        <v>106</v>
      </c>
      <c r="H140" t="s">
        <v>107</v>
      </c>
      <c r="I140" t="s">
        <v>108</v>
      </c>
      <c r="J140" s="3">
        <v>17.686054229736328</v>
      </c>
      <c r="N140">
        <v>142</v>
      </c>
      <c r="O140" t="s">
        <v>230</v>
      </c>
      <c r="P140" t="b">
        <v>0</v>
      </c>
      <c r="Q140" t="s">
        <v>423</v>
      </c>
      <c r="R140" t="s">
        <v>204</v>
      </c>
      <c r="S140" t="s">
        <v>106</v>
      </c>
      <c r="T140" t="s">
        <v>107</v>
      </c>
      <c r="U140" t="s">
        <v>108</v>
      </c>
      <c r="V140" s="3">
        <v>29.459745407104492</v>
      </c>
      <c r="AA140">
        <v>330</v>
      </c>
      <c r="AB140" t="s">
        <v>383</v>
      </c>
      <c r="AC140" t="b">
        <v>0</v>
      </c>
      <c r="AD140" t="s">
        <v>282</v>
      </c>
      <c r="AE140" t="s">
        <v>129</v>
      </c>
      <c r="AF140" t="s">
        <v>106</v>
      </c>
      <c r="AG140" t="s">
        <v>107</v>
      </c>
      <c r="AH140" t="s">
        <v>108</v>
      </c>
      <c r="AI140" s="3">
        <v>21.75514030456543</v>
      </c>
    </row>
    <row r="141" spans="2:35" x14ac:dyDescent="0.25">
      <c r="B141" s="1">
        <v>30</v>
      </c>
      <c r="C141" t="s">
        <v>135</v>
      </c>
      <c r="D141" t="b">
        <v>0</v>
      </c>
      <c r="E141" t="s">
        <v>425</v>
      </c>
      <c r="F141" t="s">
        <v>129</v>
      </c>
      <c r="G141" t="s">
        <v>106</v>
      </c>
      <c r="H141" t="s">
        <v>107</v>
      </c>
      <c r="I141" t="s">
        <v>108</v>
      </c>
      <c r="J141" s="3">
        <v>17.712419509887695</v>
      </c>
      <c r="N141">
        <v>119</v>
      </c>
      <c r="O141" t="s">
        <v>211</v>
      </c>
      <c r="P141" t="b">
        <v>0</v>
      </c>
      <c r="Q141" t="s">
        <v>425</v>
      </c>
      <c r="R141" t="s">
        <v>204</v>
      </c>
      <c r="S141" t="s">
        <v>106</v>
      </c>
      <c r="T141" t="s">
        <v>107</v>
      </c>
      <c r="U141" t="s">
        <v>108</v>
      </c>
      <c r="V141" s="3">
        <v>28.691570281982422</v>
      </c>
      <c r="AA141" s="1">
        <v>257</v>
      </c>
      <c r="AB141" s="1" t="s">
        <v>323</v>
      </c>
      <c r="AC141" s="1" t="s">
        <v>103</v>
      </c>
      <c r="AD141" s="1" t="s">
        <v>282</v>
      </c>
      <c r="AE141" s="1" t="s">
        <v>269</v>
      </c>
      <c r="AF141" s="1" t="s">
        <v>106</v>
      </c>
      <c r="AG141" s="1" t="s">
        <v>107</v>
      </c>
      <c r="AH141" s="1" t="s">
        <v>108</v>
      </c>
      <c r="AI141" s="1" t="s">
        <v>235</v>
      </c>
    </row>
    <row r="142" spans="2:35" x14ac:dyDescent="0.25">
      <c r="B142" s="1">
        <v>30</v>
      </c>
      <c r="C142" t="s">
        <v>155</v>
      </c>
      <c r="D142" t="b">
        <v>0</v>
      </c>
      <c r="E142" t="s">
        <v>425</v>
      </c>
      <c r="F142" t="s">
        <v>129</v>
      </c>
      <c r="G142" t="s">
        <v>106</v>
      </c>
      <c r="H142" t="s">
        <v>107</v>
      </c>
      <c r="I142" t="s">
        <v>108</v>
      </c>
      <c r="J142" s="3">
        <v>17.806955337524414</v>
      </c>
      <c r="N142">
        <v>143</v>
      </c>
      <c r="O142" t="s">
        <v>231</v>
      </c>
      <c r="P142" t="b">
        <v>0</v>
      </c>
      <c r="Q142" t="s">
        <v>425</v>
      </c>
      <c r="R142" t="s">
        <v>204</v>
      </c>
      <c r="S142" t="s">
        <v>106</v>
      </c>
      <c r="T142" t="s">
        <v>107</v>
      </c>
      <c r="U142" t="s">
        <v>108</v>
      </c>
      <c r="V142" s="3">
        <v>29.374477386474609</v>
      </c>
      <c r="AA142" s="1">
        <v>258</v>
      </c>
      <c r="AB142" s="1" t="s">
        <v>324</v>
      </c>
      <c r="AC142" s="1" t="s">
        <v>103</v>
      </c>
      <c r="AD142" s="1" t="s">
        <v>282</v>
      </c>
      <c r="AE142" s="1" t="s">
        <v>269</v>
      </c>
      <c r="AF142" s="1" t="s">
        <v>106</v>
      </c>
      <c r="AG142" s="1" t="s">
        <v>107</v>
      </c>
      <c r="AH142" s="1" t="s">
        <v>108</v>
      </c>
      <c r="AI142" s="1" t="s">
        <v>235</v>
      </c>
    </row>
    <row r="143" spans="2:35" x14ac:dyDescent="0.25">
      <c r="B143" s="1">
        <v>31</v>
      </c>
      <c r="C143" t="s">
        <v>136</v>
      </c>
      <c r="D143" t="b">
        <v>0</v>
      </c>
      <c r="E143" t="s">
        <v>425</v>
      </c>
      <c r="F143" t="s">
        <v>129</v>
      </c>
      <c r="G143" t="s">
        <v>106</v>
      </c>
      <c r="H143" t="s">
        <v>107</v>
      </c>
      <c r="I143" t="s">
        <v>108</v>
      </c>
      <c r="J143" s="3">
        <v>17.708463668823242</v>
      </c>
      <c r="N143">
        <v>120</v>
      </c>
      <c r="O143" t="s">
        <v>212</v>
      </c>
      <c r="P143" t="b">
        <v>0</v>
      </c>
      <c r="Q143" t="s">
        <v>425</v>
      </c>
      <c r="R143" t="s">
        <v>204</v>
      </c>
      <c r="S143" t="s">
        <v>106</v>
      </c>
      <c r="T143" t="s">
        <v>107</v>
      </c>
      <c r="U143" t="s">
        <v>108</v>
      </c>
      <c r="V143" s="3">
        <v>28.319736480712891</v>
      </c>
      <c r="AA143" s="1">
        <v>281</v>
      </c>
      <c r="AB143" s="1" t="s">
        <v>346</v>
      </c>
      <c r="AC143" s="1" t="s">
        <v>103</v>
      </c>
      <c r="AD143" s="1" t="s">
        <v>282</v>
      </c>
      <c r="AE143" s="1" t="s">
        <v>269</v>
      </c>
      <c r="AF143" s="1" t="s">
        <v>106</v>
      </c>
      <c r="AG143" s="1" t="s">
        <v>107</v>
      </c>
      <c r="AH143" s="1" t="s">
        <v>108</v>
      </c>
      <c r="AI143" s="1">
        <v>26.852</v>
      </c>
    </row>
    <row r="144" spans="2:35" x14ac:dyDescent="0.25">
      <c r="B144" s="1">
        <v>31</v>
      </c>
      <c r="C144" t="s">
        <v>156</v>
      </c>
      <c r="D144" t="b">
        <v>0</v>
      </c>
      <c r="E144" t="s">
        <v>425</v>
      </c>
      <c r="F144" t="s">
        <v>129</v>
      </c>
      <c r="G144" t="s">
        <v>106</v>
      </c>
      <c r="H144" t="s">
        <v>107</v>
      </c>
      <c r="I144" t="s">
        <v>108</v>
      </c>
      <c r="J144" s="3">
        <v>17.678775787353516</v>
      </c>
      <c r="N144">
        <v>144</v>
      </c>
      <c r="O144" t="s">
        <v>232</v>
      </c>
      <c r="P144" t="b">
        <v>0</v>
      </c>
      <c r="Q144" t="s">
        <v>425</v>
      </c>
      <c r="R144" t="s">
        <v>204</v>
      </c>
      <c r="S144" t="s">
        <v>106</v>
      </c>
      <c r="T144" t="s">
        <v>107</v>
      </c>
      <c r="U144" t="s">
        <v>108</v>
      </c>
      <c r="V144" s="3">
        <v>28.644346237182617</v>
      </c>
      <c r="AA144" s="1">
        <v>282</v>
      </c>
      <c r="AB144" s="1" t="s">
        <v>347</v>
      </c>
      <c r="AC144" s="1" t="s">
        <v>103</v>
      </c>
      <c r="AD144" s="1" t="s">
        <v>282</v>
      </c>
      <c r="AE144" s="1" t="s">
        <v>269</v>
      </c>
      <c r="AF144" s="1" t="s">
        <v>106</v>
      </c>
      <c r="AG144" s="1" t="s">
        <v>107</v>
      </c>
      <c r="AH144" s="1" t="s">
        <v>108</v>
      </c>
      <c r="AI144" s="1">
        <v>24.402000000000001</v>
      </c>
    </row>
    <row r="145" spans="2:35" x14ac:dyDescent="0.25">
      <c r="B145" s="1">
        <v>32</v>
      </c>
      <c r="C145" t="s">
        <v>170</v>
      </c>
      <c r="D145" t="b">
        <v>0</v>
      </c>
      <c r="E145" t="s">
        <v>426</v>
      </c>
      <c r="F145" t="s">
        <v>129</v>
      </c>
      <c r="G145" t="s">
        <v>106</v>
      </c>
      <c r="H145" t="s">
        <v>107</v>
      </c>
      <c r="I145" t="s">
        <v>108</v>
      </c>
      <c r="J145" s="3">
        <v>18.554037094116211</v>
      </c>
      <c r="N145">
        <v>161</v>
      </c>
      <c r="O145" t="s">
        <v>248</v>
      </c>
      <c r="P145" t="b">
        <v>0</v>
      </c>
      <c r="Q145" t="s">
        <v>426</v>
      </c>
      <c r="R145" t="s">
        <v>204</v>
      </c>
      <c r="S145" t="s">
        <v>106</v>
      </c>
      <c r="T145" t="s">
        <v>107</v>
      </c>
      <c r="U145" t="s">
        <v>108</v>
      </c>
      <c r="V145" s="3">
        <v>27.881404876708984</v>
      </c>
      <c r="AA145" s="1">
        <v>257</v>
      </c>
      <c r="AB145" s="1" t="s">
        <v>323</v>
      </c>
      <c r="AC145" s="1" t="s">
        <v>103</v>
      </c>
      <c r="AD145" s="1" t="s">
        <v>282</v>
      </c>
      <c r="AE145" s="1" t="s">
        <v>269</v>
      </c>
      <c r="AF145" s="1" t="s">
        <v>106</v>
      </c>
      <c r="AG145" s="1" t="s">
        <v>107</v>
      </c>
      <c r="AH145" s="1" t="s">
        <v>108</v>
      </c>
      <c r="AI145" s="1" t="s">
        <v>235</v>
      </c>
    </row>
    <row r="146" spans="2:35" x14ac:dyDescent="0.25">
      <c r="B146" s="1">
        <v>32</v>
      </c>
      <c r="C146" t="s">
        <v>186</v>
      </c>
      <c r="D146" t="b">
        <v>0</v>
      </c>
      <c r="E146" t="s">
        <v>426</v>
      </c>
      <c r="F146" t="s">
        <v>129</v>
      </c>
      <c r="G146" t="s">
        <v>106</v>
      </c>
      <c r="H146" t="s">
        <v>107</v>
      </c>
      <c r="I146" t="s">
        <v>108</v>
      </c>
      <c r="J146" s="3">
        <v>18.587224960327148</v>
      </c>
      <c r="N146">
        <v>185</v>
      </c>
      <c r="O146" t="s">
        <v>264</v>
      </c>
      <c r="P146" t="b">
        <v>0</v>
      </c>
      <c r="Q146" t="s">
        <v>426</v>
      </c>
      <c r="R146" t="s">
        <v>204</v>
      </c>
      <c r="S146" t="s">
        <v>106</v>
      </c>
      <c r="T146" t="s">
        <v>107</v>
      </c>
      <c r="U146" t="s">
        <v>108</v>
      </c>
      <c r="V146" s="3">
        <v>27.947055816650391</v>
      </c>
      <c r="AA146" s="1">
        <v>258</v>
      </c>
      <c r="AB146" s="1" t="s">
        <v>324</v>
      </c>
      <c r="AC146" s="1" t="s">
        <v>103</v>
      </c>
      <c r="AD146" s="1" t="s">
        <v>282</v>
      </c>
      <c r="AE146" s="1" t="s">
        <v>269</v>
      </c>
      <c r="AF146" s="1" t="s">
        <v>106</v>
      </c>
      <c r="AG146" s="1" t="s">
        <v>107</v>
      </c>
      <c r="AH146" s="1" t="s">
        <v>108</v>
      </c>
      <c r="AI146" s="1" t="s">
        <v>235</v>
      </c>
    </row>
    <row r="147" spans="2:35" x14ac:dyDescent="0.25">
      <c r="B147" s="1">
        <v>33</v>
      </c>
      <c r="C147" t="s">
        <v>171</v>
      </c>
      <c r="D147" t="b">
        <v>0</v>
      </c>
      <c r="E147" t="s">
        <v>426</v>
      </c>
      <c r="F147" t="s">
        <v>129</v>
      </c>
      <c r="G147" t="s">
        <v>106</v>
      </c>
      <c r="H147" t="s">
        <v>107</v>
      </c>
      <c r="I147" t="s">
        <v>108</v>
      </c>
      <c r="J147" s="3">
        <v>18.580108642578125</v>
      </c>
      <c r="N147">
        <v>162</v>
      </c>
      <c r="O147" t="s">
        <v>249</v>
      </c>
      <c r="P147" t="b">
        <v>0</v>
      </c>
      <c r="Q147" t="s">
        <v>426</v>
      </c>
      <c r="R147" t="s">
        <v>204</v>
      </c>
      <c r="S147" t="s">
        <v>106</v>
      </c>
      <c r="T147" t="s">
        <v>107</v>
      </c>
      <c r="U147" t="s">
        <v>108</v>
      </c>
      <c r="V147" s="3">
        <v>28.013263702392578</v>
      </c>
      <c r="AA147" s="1">
        <v>281</v>
      </c>
      <c r="AB147" s="1" t="s">
        <v>346</v>
      </c>
      <c r="AC147" s="1" t="s">
        <v>103</v>
      </c>
      <c r="AD147" s="1" t="s">
        <v>282</v>
      </c>
      <c r="AE147" s="1" t="s">
        <v>269</v>
      </c>
      <c r="AF147" s="1" t="s">
        <v>106</v>
      </c>
      <c r="AG147" s="1" t="s">
        <v>107</v>
      </c>
      <c r="AH147" s="1" t="s">
        <v>108</v>
      </c>
      <c r="AI147" s="1">
        <v>19.571000000000002</v>
      </c>
    </row>
    <row r="148" spans="2:35" x14ac:dyDescent="0.25">
      <c r="B148" s="1">
        <v>33</v>
      </c>
      <c r="C148" t="s">
        <v>187</v>
      </c>
      <c r="D148" t="b">
        <v>0</v>
      </c>
      <c r="E148" t="s">
        <v>426</v>
      </c>
      <c r="F148" t="s">
        <v>129</v>
      </c>
      <c r="G148" t="s">
        <v>106</v>
      </c>
      <c r="H148" t="s">
        <v>107</v>
      </c>
      <c r="I148" t="s">
        <v>108</v>
      </c>
      <c r="J148" s="3">
        <v>18.387544631958008</v>
      </c>
      <c r="N148">
        <v>186</v>
      </c>
      <c r="O148" t="s">
        <v>265</v>
      </c>
      <c r="P148" t="b">
        <v>0</v>
      </c>
      <c r="Q148" t="s">
        <v>426</v>
      </c>
      <c r="R148" t="s">
        <v>204</v>
      </c>
      <c r="S148" t="s">
        <v>106</v>
      </c>
      <c r="T148" t="s">
        <v>107</v>
      </c>
      <c r="U148" t="s">
        <v>108</v>
      </c>
      <c r="V148" s="3">
        <v>28.136730194091797</v>
      </c>
      <c r="AA148" s="1">
        <v>282</v>
      </c>
      <c r="AB148" s="1" t="s">
        <v>347</v>
      </c>
      <c r="AC148" s="1" t="s">
        <v>103</v>
      </c>
      <c r="AD148" s="1" t="s">
        <v>282</v>
      </c>
      <c r="AE148" s="1" t="s">
        <v>269</v>
      </c>
      <c r="AF148" s="1" t="s">
        <v>106</v>
      </c>
      <c r="AG148" s="1" t="s">
        <v>107</v>
      </c>
      <c r="AH148" s="1" t="s">
        <v>108</v>
      </c>
      <c r="AI148" s="1" t="s">
        <v>235</v>
      </c>
    </row>
    <row r="149" spans="2:35" x14ac:dyDescent="0.25">
      <c r="B149" s="1">
        <v>34</v>
      </c>
      <c r="C149" t="s">
        <v>172</v>
      </c>
      <c r="D149" t="b">
        <v>0</v>
      </c>
      <c r="E149" t="s">
        <v>427</v>
      </c>
      <c r="F149" t="s">
        <v>129</v>
      </c>
      <c r="G149" t="s">
        <v>106</v>
      </c>
      <c r="H149" t="s">
        <v>107</v>
      </c>
      <c r="I149" t="s">
        <v>108</v>
      </c>
      <c r="J149" s="3">
        <v>18.637588500976563</v>
      </c>
      <c r="N149">
        <v>163</v>
      </c>
      <c r="O149" t="s">
        <v>250</v>
      </c>
      <c r="P149" t="b">
        <v>0</v>
      </c>
      <c r="Q149" t="s">
        <v>427</v>
      </c>
      <c r="R149" t="s">
        <v>204</v>
      </c>
      <c r="S149" t="s">
        <v>106</v>
      </c>
      <c r="T149" t="s">
        <v>107</v>
      </c>
      <c r="U149" t="s">
        <v>108</v>
      </c>
      <c r="V149" s="3">
        <v>27.973781585693359</v>
      </c>
      <c r="AA149">
        <v>257</v>
      </c>
      <c r="AB149" t="s">
        <v>323</v>
      </c>
      <c r="AC149" t="b">
        <v>0</v>
      </c>
      <c r="AD149" t="s">
        <v>282</v>
      </c>
      <c r="AE149" t="s">
        <v>269</v>
      </c>
      <c r="AF149" t="s">
        <v>106</v>
      </c>
      <c r="AG149" t="s">
        <v>107</v>
      </c>
      <c r="AH149" t="s">
        <v>108</v>
      </c>
      <c r="AI149" t="s">
        <v>235</v>
      </c>
    </row>
    <row r="150" spans="2:35" x14ac:dyDescent="0.25">
      <c r="B150" s="1">
        <v>34</v>
      </c>
      <c r="C150" t="s">
        <v>188</v>
      </c>
      <c r="D150" t="b">
        <v>0</v>
      </c>
      <c r="E150" t="s">
        <v>427</v>
      </c>
      <c r="F150" t="s">
        <v>129</v>
      </c>
      <c r="G150" t="s">
        <v>106</v>
      </c>
      <c r="H150" t="s">
        <v>107</v>
      </c>
      <c r="I150" t="s">
        <v>108</v>
      </c>
      <c r="J150" s="3">
        <v>18.74791145324707</v>
      </c>
      <c r="N150">
        <v>187</v>
      </c>
      <c r="O150" t="s">
        <v>266</v>
      </c>
      <c r="P150" t="b">
        <v>0</v>
      </c>
      <c r="Q150" t="s">
        <v>427</v>
      </c>
      <c r="R150" t="s">
        <v>204</v>
      </c>
      <c r="S150" t="s">
        <v>106</v>
      </c>
      <c r="T150" t="s">
        <v>107</v>
      </c>
      <c r="U150" t="s">
        <v>108</v>
      </c>
      <c r="V150" s="3">
        <v>27.789356231689453</v>
      </c>
      <c r="AA150">
        <v>258</v>
      </c>
      <c r="AB150" t="s">
        <v>324</v>
      </c>
      <c r="AC150" t="b">
        <v>0</v>
      </c>
      <c r="AD150" t="s">
        <v>282</v>
      </c>
      <c r="AE150" t="s">
        <v>269</v>
      </c>
      <c r="AF150" t="s">
        <v>106</v>
      </c>
      <c r="AG150" t="s">
        <v>107</v>
      </c>
      <c r="AH150" t="s">
        <v>108</v>
      </c>
      <c r="AI150" t="s">
        <v>235</v>
      </c>
    </row>
    <row r="151" spans="2:35" x14ac:dyDescent="0.25">
      <c r="B151" s="1">
        <v>35</v>
      </c>
      <c r="C151" t="s">
        <v>173</v>
      </c>
      <c r="D151" t="b">
        <v>0</v>
      </c>
      <c r="E151" t="s">
        <v>427</v>
      </c>
      <c r="F151" t="s">
        <v>129</v>
      </c>
      <c r="G151" t="s">
        <v>106</v>
      </c>
      <c r="H151" t="s">
        <v>107</v>
      </c>
      <c r="I151" t="s">
        <v>108</v>
      </c>
      <c r="J151" s="3">
        <v>18.6053466796875</v>
      </c>
      <c r="N151">
        <v>164</v>
      </c>
      <c r="O151" t="s">
        <v>251</v>
      </c>
      <c r="P151" t="b">
        <v>0</v>
      </c>
      <c r="Q151" t="s">
        <v>427</v>
      </c>
      <c r="R151" t="s">
        <v>204</v>
      </c>
      <c r="S151" t="s">
        <v>106</v>
      </c>
      <c r="T151" t="s">
        <v>107</v>
      </c>
      <c r="U151" t="s">
        <v>108</v>
      </c>
      <c r="V151" s="3">
        <v>27.907535552978516</v>
      </c>
      <c r="AA151">
        <v>281</v>
      </c>
      <c r="AB151" t="s">
        <v>346</v>
      </c>
      <c r="AC151" t="b">
        <v>0</v>
      </c>
      <c r="AD151" t="s">
        <v>282</v>
      </c>
      <c r="AE151" t="s">
        <v>269</v>
      </c>
      <c r="AF151" t="s">
        <v>106</v>
      </c>
      <c r="AG151" t="s">
        <v>107</v>
      </c>
      <c r="AH151" t="s">
        <v>108</v>
      </c>
      <c r="AI151" s="3">
        <v>24.009401321411133</v>
      </c>
    </row>
    <row r="152" spans="2:35" x14ac:dyDescent="0.25">
      <c r="B152" s="1">
        <v>35</v>
      </c>
      <c r="C152" t="s">
        <v>189</v>
      </c>
      <c r="D152" t="b">
        <v>0</v>
      </c>
      <c r="E152" t="s">
        <v>427</v>
      </c>
      <c r="F152" t="s">
        <v>129</v>
      </c>
      <c r="G152" t="s">
        <v>106</v>
      </c>
      <c r="H152" t="s">
        <v>107</v>
      </c>
      <c r="I152" t="s">
        <v>108</v>
      </c>
      <c r="J152" s="3">
        <v>18.737129211425781</v>
      </c>
      <c r="N152">
        <v>188</v>
      </c>
      <c r="O152" t="s">
        <v>267</v>
      </c>
      <c r="P152" t="b">
        <v>0</v>
      </c>
      <c r="Q152" t="s">
        <v>427</v>
      </c>
      <c r="R152" t="s">
        <v>204</v>
      </c>
      <c r="S152" t="s">
        <v>106</v>
      </c>
      <c r="T152" t="s">
        <v>107</v>
      </c>
      <c r="U152" t="s">
        <v>108</v>
      </c>
      <c r="V152" s="3">
        <v>28.441234588623047</v>
      </c>
      <c r="AA152">
        <v>282</v>
      </c>
      <c r="AB152" t="s">
        <v>347</v>
      </c>
      <c r="AC152" t="b">
        <v>0</v>
      </c>
      <c r="AD152" t="s">
        <v>282</v>
      </c>
      <c r="AE152" t="s">
        <v>269</v>
      </c>
      <c r="AF152" t="s">
        <v>106</v>
      </c>
      <c r="AG152" t="s">
        <v>107</v>
      </c>
      <c r="AH152" t="s">
        <v>108</v>
      </c>
      <c r="AI152" t="s">
        <v>235</v>
      </c>
    </row>
    <row r="153" spans="2:35" x14ac:dyDescent="0.25">
      <c r="AA153" s="1">
        <v>215</v>
      </c>
      <c r="AB153" s="1" t="s">
        <v>288</v>
      </c>
      <c r="AC153" s="1" t="s">
        <v>103</v>
      </c>
      <c r="AD153" s="1" t="s">
        <v>282</v>
      </c>
      <c r="AE153" s="1" t="s">
        <v>234</v>
      </c>
      <c r="AF153" s="1" t="s">
        <v>106</v>
      </c>
      <c r="AG153" s="1" t="s">
        <v>107</v>
      </c>
      <c r="AH153" s="1" t="s">
        <v>108</v>
      </c>
      <c r="AI153" s="1" t="s">
        <v>235</v>
      </c>
    </row>
    <row r="154" spans="2:35" x14ac:dyDescent="0.25">
      <c r="AA154" s="1">
        <v>216</v>
      </c>
      <c r="AB154" s="1" t="s">
        <v>289</v>
      </c>
      <c r="AC154" s="1" t="s">
        <v>103</v>
      </c>
      <c r="AD154" s="1" t="s">
        <v>282</v>
      </c>
      <c r="AE154" s="1" t="s">
        <v>234</v>
      </c>
      <c r="AF154" s="1" t="s">
        <v>106</v>
      </c>
      <c r="AG154" s="1" t="s">
        <v>107</v>
      </c>
      <c r="AH154" s="1" t="s">
        <v>108</v>
      </c>
      <c r="AI154" s="1" t="s">
        <v>235</v>
      </c>
    </row>
    <row r="155" spans="2:35" x14ac:dyDescent="0.25">
      <c r="AA155" s="1">
        <v>239</v>
      </c>
      <c r="AB155" s="1" t="s">
        <v>308</v>
      </c>
      <c r="AC155" s="1" t="s">
        <v>103</v>
      </c>
      <c r="AD155" s="1" t="s">
        <v>282</v>
      </c>
      <c r="AE155" s="1" t="s">
        <v>234</v>
      </c>
      <c r="AF155" s="1" t="s">
        <v>106</v>
      </c>
      <c r="AG155" s="1" t="s">
        <v>107</v>
      </c>
      <c r="AH155" s="1" t="s">
        <v>108</v>
      </c>
      <c r="AI155" s="1">
        <v>20.937000000000001</v>
      </c>
    </row>
    <row r="156" spans="2:35" x14ac:dyDescent="0.25">
      <c r="AA156" s="1">
        <v>240</v>
      </c>
      <c r="AB156" s="1" t="s">
        <v>309</v>
      </c>
      <c r="AC156" s="1" t="s">
        <v>103</v>
      </c>
      <c r="AD156" s="1" t="s">
        <v>282</v>
      </c>
      <c r="AE156" s="1" t="s">
        <v>234</v>
      </c>
      <c r="AF156" s="1" t="s">
        <v>106</v>
      </c>
      <c r="AG156" s="1" t="s">
        <v>107</v>
      </c>
      <c r="AH156" s="1" t="s">
        <v>108</v>
      </c>
      <c r="AI156" s="1">
        <v>36.341999999999999</v>
      </c>
    </row>
    <row r="157" spans="2:35" x14ac:dyDescent="0.25">
      <c r="AA157" s="1">
        <v>215</v>
      </c>
      <c r="AB157" s="1" t="s">
        <v>288</v>
      </c>
      <c r="AC157" s="1" t="s">
        <v>103</v>
      </c>
      <c r="AD157" s="1" t="s">
        <v>282</v>
      </c>
      <c r="AE157" s="1" t="s">
        <v>234</v>
      </c>
      <c r="AF157" s="1" t="s">
        <v>106</v>
      </c>
      <c r="AG157" s="1" t="s">
        <v>107</v>
      </c>
      <c r="AH157" s="1" t="s">
        <v>108</v>
      </c>
      <c r="AI157" s="1" t="s">
        <v>235</v>
      </c>
    </row>
    <row r="158" spans="2:35" x14ac:dyDescent="0.25">
      <c r="AA158" s="1">
        <v>216</v>
      </c>
      <c r="AB158" s="1" t="s">
        <v>289</v>
      </c>
      <c r="AC158" s="1" t="s">
        <v>103</v>
      </c>
      <c r="AD158" s="1" t="s">
        <v>282</v>
      </c>
      <c r="AE158" s="1" t="s">
        <v>234</v>
      </c>
      <c r="AF158" s="1" t="s">
        <v>106</v>
      </c>
      <c r="AG158" s="1" t="s">
        <v>107</v>
      </c>
      <c r="AH158" s="1" t="s">
        <v>108</v>
      </c>
      <c r="AI158" s="1" t="s">
        <v>235</v>
      </c>
    </row>
    <row r="159" spans="2:35" x14ac:dyDescent="0.25">
      <c r="AA159" s="1">
        <v>239</v>
      </c>
      <c r="AB159" s="1" t="s">
        <v>308</v>
      </c>
      <c r="AC159" s="1" t="s">
        <v>103</v>
      </c>
      <c r="AD159" s="1" t="s">
        <v>282</v>
      </c>
      <c r="AE159" s="1" t="s">
        <v>234</v>
      </c>
      <c r="AF159" s="1" t="s">
        <v>106</v>
      </c>
      <c r="AG159" s="1" t="s">
        <v>107</v>
      </c>
      <c r="AH159" s="1" t="s">
        <v>108</v>
      </c>
      <c r="AI159" s="1">
        <v>21.722999999999999</v>
      </c>
    </row>
    <row r="160" spans="2:35" x14ac:dyDescent="0.25">
      <c r="AA160" s="1">
        <v>240</v>
      </c>
      <c r="AB160" s="1" t="s">
        <v>309</v>
      </c>
      <c r="AC160" s="1" t="s">
        <v>103</v>
      </c>
      <c r="AD160" s="1" t="s">
        <v>282</v>
      </c>
      <c r="AE160" s="1" t="s">
        <v>234</v>
      </c>
      <c r="AF160" s="1" t="s">
        <v>106</v>
      </c>
      <c r="AG160" s="1" t="s">
        <v>107</v>
      </c>
      <c r="AH160" s="1" t="s">
        <v>108</v>
      </c>
      <c r="AI160" s="1">
        <v>29.298999999999999</v>
      </c>
    </row>
    <row r="161" spans="27:35" x14ac:dyDescent="0.25">
      <c r="AA161">
        <v>215</v>
      </c>
      <c r="AB161" t="s">
        <v>288</v>
      </c>
      <c r="AC161" t="b">
        <v>0</v>
      </c>
      <c r="AD161" t="s">
        <v>282</v>
      </c>
      <c r="AE161" t="s">
        <v>234</v>
      </c>
      <c r="AF161" t="s">
        <v>106</v>
      </c>
      <c r="AG161" t="s">
        <v>107</v>
      </c>
      <c r="AH161" t="s">
        <v>108</v>
      </c>
      <c r="AI161" t="s">
        <v>235</v>
      </c>
    </row>
    <row r="162" spans="27:35" x14ac:dyDescent="0.25">
      <c r="AA162">
        <v>216</v>
      </c>
      <c r="AB162" t="s">
        <v>289</v>
      </c>
      <c r="AC162" t="b">
        <v>0</v>
      </c>
      <c r="AD162" t="s">
        <v>282</v>
      </c>
      <c r="AE162" t="s">
        <v>234</v>
      </c>
      <c r="AF162" t="s">
        <v>106</v>
      </c>
      <c r="AG162" t="s">
        <v>107</v>
      </c>
      <c r="AH162" t="s">
        <v>108</v>
      </c>
      <c r="AI162" t="s">
        <v>235</v>
      </c>
    </row>
    <row r="163" spans="27:35" x14ac:dyDescent="0.25">
      <c r="AA163">
        <v>239</v>
      </c>
      <c r="AB163" t="s">
        <v>308</v>
      </c>
      <c r="AC163" t="b">
        <v>0</v>
      </c>
      <c r="AD163" t="s">
        <v>282</v>
      </c>
      <c r="AE163" t="s">
        <v>234</v>
      </c>
      <c r="AF163" t="s">
        <v>106</v>
      </c>
      <c r="AG163" t="s">
        <v>107</v>
      </c>
      <c r="AH163" t="s">
        <v>108</v>
      </c>
      <c r="AI163" s="3">
        <v>6.7125344276428223</v>
      </c>
    </row>
    <row r="164" spans="27:35" x14ac:dyDescent="0.25">
      <c r="AA164">
        <v>240</v>
      </c>
      <c r="AB164" t="s">
        <v>309</v>
      </c>
      <c r="AC164" t="b">
        <v>0</v>
      </c>
      <c r="AD164" t="s">
        <v>282</v>
      </c>
      <c r="AE164" t="s">
        <v>234</v>
      </c>
      <c r="AF164" t="s">
        <v>106</v>
      </c>
      <c r="AG164" t="s">
        <v>107</v>
      </c>
      <c r="AH164" t="s">
        <v>108</v>
      </c>
      <c r="AI164" s="3">
        <v>20.890724182128906</v>
      </c>
    </row>
    <row r="165" spans="27:35" x14ac:dyDescent="0.25">
      <c r="AA165" s="1">
        <v>259</v>
      </c>
      <c r="AB165" s="1" t="s">
        <v>325</v>
      </c>
      <c r="AC165" s="1" t="s">
        <v>103</v>
      </c>
      <c r="AD165" s="1" t="s">
        <v>282</v>
      </c>
      <c r="AE165" s="1" t="s">
        <v>311</v>
      </c>
      <c r="AF165" s="1" t="s">
        <v>106</v>
      </c>
      <c r="AG165" s="1" t="s">
        <v>107</v>
      </c>
      <c r="AH165" s="1" t="s">
        <v>108</v>
      </c>
      <c r="AI165" s="1" t="s">
        <v>235</v>
      </c>
    </row>
    <row r="166" spans="27:35" x14ac:dyDescent="0.25">
      <c r="AA166" s="1">
        <v>260</v>
      </c>
      <c r="AB166" s="1" t="s">
        <v>326</v>
      </c>
      <c r="AC166" s="1" t="s">
        <v>103</v>
      </c>
      <c r="AD166" s="1" t="s">
        <v>282</v>
      </c>
      <c r="AE166" s="1" t="s">
        <v>311</v>
      </c>
      <c r="AF166" s="1" t="s">
        <v>106</v>
      </c>
      <c r="AG166" s="1" t="s">
        <v>107</v>
      </c>
      <c r="AH166" s="1" t="s">
        <v>108</v>
      </c>
      <c r="AI166" s="1" t="s">
        <v>235</v>
      </c>
    </row>
    <row r="167" spans="27:35" x14ac:dyDescent="0.25">
      <c r="AA167" s="1">
        <v>283</v>
      </c>
      <c r="AB167" s="1" t="s">
        <v>348</v>
      </c>
      <c r="AC167" s="1" t="s">
        <v>103</v>
      </c>
      <c r="AD167" s="1" t="s">
        <v>282</v>
      </c>
      <c r="AE167" s="1" t="s">
        <v>311</v>
      </c>
      <c r="AF167" s="1" t="s">
        <v>106</v>
      </c>
      <c r="AG167" s="1" t="s">
        <v>107</v>
      </c>
      <c r="AH167" s="1" t="s">
        <v>108</v>
      </c>
      <c r="AI167" s="1" t="s">
        <v>235</v>
      </c>
    </row>
    <row r="168" spans="27:35" x14ac:dyDescent="0.25">
      <c r="AA168" s="1">
        <v>284</v>
      </c>
      <c r="AB168" s="1" t="s">
        <v>349</v>
      </c>
      <c r="AC168" s="1" t="s">
        <v>103</v>
      </c>
      <c r="AD168" s="1" t="s">
        <v>282</v>
      </c>
      <c r="AE168" s="1" t="s">
        <v>311</v>
      </c>
      <c r="AF168" s="1" t="s">
        <v>106</v>
      </c>
      <c r="AG168" s="1" t="s">
        <v>107</v>
      </c>
      <c r="AH168" s="1" t="s">
        <v>108</v>
      </c>
      <c r="AI168" s="1" t="s">
        <v>235</v>
      </c>
    </row>
    <row r="169" spans="27:35" x14ac:dyDescent="0.25">
      <c r="AA169" s="1">
        <v>259</v>
      </c>
      <c r="AB169" s="1" t="s">
        <v>325</v>
      </c>
      <c r="AC169" s="1" t="s">
        <v>103</v>
      </c>
      <c r="AD169" s="1" t="s">
        <v>282</v>
      </c>
      <c r="AE169" s="1" t="s">
        <v>311</v>
      </c>
      <c r="AF169" s="1" t="s">
        <v>106</v>
      </c>
      <c r="AG169" s="1" t="s">
        <v>107</v>
      </c>
      <c r="AH169" s="1" t="s">
        <v>108</v>
      </c>
      <c r="AI169" s="1" t="s">
        <v>235</v>
      </c>
    </row>
    <row r="170" spans="27:35" x14ac:dyDescent="0.25">
      <c r="AA170" s="1">
        <v>260</v>
      </c>
      <c r="AB170" s="1" t="s">
        <v>326</v>
      </c>
      <c r="AC170" s="1" t="s">
        <v>103</v>
      </c>
      <c r="AD170" s="1" t="s">
        <v>282</v>
      </c>
      <c r="AE170" s="1" t="s">
        <v>311</v>
      </c>
      <c r="AF170" s="1" t="s">
        <v>106</v>
      </c>
      <c r="AG170" s="1" t="s">
        <v>107</v>
      </c>
      <c r="AH170" s="1" t="s">
        <v>108</v>
      </c>
      <c r="AI170" s="1" t="s">
        <v>235</v>
      </c>
    </row>
    <row r="171" spans="27:35" x14ac:dyDescent="0.25">
      <c r="AA171" s="1">
        <v>283</v>
      </c>
      <c r="AB171" s="1" t="s">
        <v>348</v>
      </c>
      <c r="AC171" s="1" t="s">
        <v>103</v>
      </c>
      <c r="AD171" s="1" t="s">
        <v>282</v>
      </c>
      <c r="AE171" s="1" t="s">
        <v>311</v>
      </c>
      <c r="AF171" s="1" t="s">
        <v>106</v>
      </c>
      <c r="AG171" s="1" t="s">
        <v>107</v>
      </c>
      <c r="AH171" s="1" t="s">
        <v>108</v>
      </c>
      <c r="AI171" s="1" t="s">
        <v>235</v>
      </c>
    </row>
    <row r="172" spans="27:35" x14ac:dyDescent="0.25">
      <c r="AA172" s="1">
        <v>284</v>
      </c>
      <c r="AB172" s="1" t="s">
        <v>349</v>
      </c>
      <c r="AC172" s="1" t="s">
        <v>103</v>
      </c>
      <c r="AD172" s="1" t="s">
        <v>282</v>
      </c>
      <c r="AE172" s="1" t="s">
        <v>311</v>
      </c>
      <c r="AF172" s="1" t="s">
        <v>106</v>
      </c>
      <c r="AG172" s="1" t="s">
        <v>107</v>
      </c>
      <c r="AH172" s="1" t="s">
        <v>108</v>
      </c>
      <c r="AI172" s="1" t="s">
        <v>235</v>
      </c>
    </row>
    <row r="173" spans="27:35" x14ac:dyDescent="0.25">
      <c r="AA173">
        <v>259</v>
      </c>
      <c r="AB173" t="s">
        <v>325</v>
      </c>
      <c r="AC173" t="b">
        <v>0</v>
      </c>
      <c r="AD173" t="s">
        <v>282</v>
      </c>
      <c r="AE173" t="s">
        <v>311</v>
      </c>
      <c r="AF173" t="s">
        <v>106</v>
      </c>
      <c r="AG173" t="s">
        <v>107</v>
      </c>
      <c r="AH173" t="s">
        <v>108</v>
      </c>
      <c r="AI173" s="3">
        <v>32.839210510253906</v>
      </c>
    </row>
    <row r="174" spans="27:35" x14ac:dyDescent="0.25">
      <c r="AA174">
        <v>260</v>
      </c>
      <c r="AB174" t="s">
        <v>326</v>
      </c>
      <c r="AC174" t="b">
        <v>0</v>
      </c>
      <c r="AD174" t="s">
        <v>282</v>
      </c>
      <c r="AE174" t="s">
        <v>311</v>
      </c>
      <c r="AF174" t="s">
        <v>106</v>
      </c>
      <c r="AG174" t="s">
        <v>107</v>
      </c>
      <c r="AH174" t="s">
        <v>108</v>
      </c>
      <c r="AI174" s="3">
        <v>32.586154937744141</v>
      </c>
    </row>
    <row r="175" spans="27:35" x14ac:dyDescent="0.25">
      <c r="AA175">
        <v>283</v>
      </c>
      <c r="AB175" t="s">
        <v>348</v>
      </c>
      <c r="AC175" t="b">
        <v>0</v>
      </c>
      <c r="AD175" t="s">
        <v>282</v>
      </c>
      <c r="AE175" t="s">
        <v>311</v>
      </c>
      <c r="AF175" t="s">
        <v>106</v>
      </c>
      <c r="AG175" t="s">
        <v>107</v>
      </c>
      <c r="AH175" t="s">
        <v>108</v>
      </c>
      <c r="AI175" s="3">
        <v>15.911330223083496</v>
      </c>
    </row>
    <row r="176" spans="27:35" x14ac:dyDescent="0.25">
      <c r="AA176">
        <v>284</v>
      </c>
      <c r="AB176" t="s">
        <v>349</v>
      </c>
      <c r="AC176" t="b">
        <v>0</v>
      </c>
      <c r="AD176" t="s">
        <v>282</v>
      </c>
      <c r="AE176" t="s">
        <v>311</v>
      </c>
      <c r="AF176" t="s">
        <v>106</v>
      </c>
      <c r="AG176" t="s">
        <v>107</v>
      </c>
      <c r="AH176" t="s">
        <v>108</v>
      </c>
      <c r="AI176" s="3">
        <v>23.165014266967773</v>
      </c>
    </row>
    <row r="177" spans="27:35" x14ac:dyDescent="0.25">
      <c r="AA177" s="1">
        <v>307</v>
      </c>
      <c r="AB177" s="1" t="s">
        <v>368</v>
      </c>
      <c r="AC177" s="1" t="s">
        <v>103</v>
      </c>
      <c r="AD177" s="1" t="s">
        <v>282</v>
      </c>
      <c r="AE177" s="1" t="s">
        <v>204</v>
      </c>
      <c r="AF177" s="1" t="s">
        <v>106</v>
      </c>
      <c r="AG177" s="1" t="s">
        <v>107</v>
      </c>
      <c r="AH177" s="1" t="s">
        <v>108</v>
      </c>
      <c r="AI177" s="1" t="s">
        <v>235</v>
      </c>
    </row>
    <row r="178" spans="27:35" x14ac:dyDescent="0.25">
      <c r="AA178" s="1">
        <v>308</v>
      </c>
      <c r="AB178" s="1" t="s">
        <v>369</v>
      </c>
      <c r="AC178" s="1" t="s">
        <v>103</v>
      </c>
      <c r="AD178" s="1" t="s">
        <v>282</v>
      </c>
      <c r="AE178" s="1" t="s">
        <v>204</v>
      </c>
      <c r="AF178" s="1" t="s">
        <v>106</v>
      </c>
      <c r="AG178" s="1" t="s">
        <v>107</v>
      </c>
      <c r="AH178" s="1" t="s">
        <v>108</v>
      </c>
      <c r="AI178" s="1" t="s">
        <v>235</v>
      </c>
    </row>
    <row r="179" spans="27:35" x14ac:dyDescent="0.25">
      <c r="AA179" s="1">
        <v>331</v>
      </c>
      <c r="AB179" s="1" t="s">
        <v>384</v>
      </c>
      <c r="AC179" s="1" t="s">
        <v>103</v>
      </c>
      <c r="AD179" s="1" t="s">
        <v>282</v>
      </c>
      <c r="AE179" s="1" t="s">
        <v>204</v>
      </c>
      <c r="AF179" s="1" t="s">
        <v>106</v>
      </c>
      <c r="AG179" s="1" t="s">
        <v>107</v>
      </c>
      <c r="AH179" s="1" t="s">
        <v>108</v>
      </c>
      <c r="AI179" s="1" t="s">
        <v>235</v>
      </c>
    </row>
    <row r="180" spans="27:35" x14ac:dyDescent="0.25">
      <c r="AA180" s="1">
        <v>332</v>
      </c>
      <c r="AB180" s="1" t="s">
        <v>385</v>
      </c>
      <c r="AC180" s="1" t="s">
        <v>103</v>
      </c>
      <c r="AD180" s="1" t="s">
        <v>282</v>
      </c>
      <c r="AE180" s="1" t="s">
        <v>204</v>
      </c>
      <c r="AF180" s="1" t="s">
        <v>106</v>
      </c>
      <c r="AG180" s="1" t="s">
        <v>107</v>
      </c>
      <c r="AH180" s="1" t="s">
        <v>108</v>
      </c>
      <c r="AI180" s="1" t="s">
        <v>235</v>
      </c>
    </row>
    <row r="181" spans="27:35" x14ac:dyDescent="0.25">
      <c r="AA181" s="1">
        <v>307</v>
      </c>
      <c r="AB181" s="1" t="s">
        <v>368</v>
      </c>
      <c r="AC181" s="1" t="s">
        <v>103</v>
      </c>
      <c r="AD181" s="1" t="s">
        <v>282</v>
      </c>
      <c r="AE181" s="1" t="s">
        <v>204</v>
      </c>
      <c r="AF181" s="1" t="s">
        <v>106</v>
      </c>
      <c r="AG181" s="1" t="s">
        <v>107</v>
      </c>
      <c r="AH181" s="1" t="s">
        <v>108</v>
      </c>
      <c r="AI181" s="1" t="s">
        <v>235</v>
      </c>
    </row>
    <row r="182" spans="27:35" x14ac:dyDescent="0.25">
      <c r="AA182" s="1">
        <v>308</v>
      </c>
      <c r="AB182" s="1" t="s">
        <v>369</v>
      </c>
      <c r="AC182" s="1" t="s">
        <v>103</v>
      </c>
      <c r="AD182" s="1" t="s">
        <v>282</v>
      </c>
      <c r="AE182" s="1" t="s">
        <v>204</v>
      </c>
      <c r="AF182" s="1" t="s">
        <v>106</v>
      </c>
      <c r="AG182" s="1" t="s">
        <v>107</v>
      </c>
      <c r="AH182" s="1" t="s">
        <v>108</v>
      </c>
      <c r="AI182" s="1" t="s">
        <v>235</v>
      </c>
    </row>
    <row r="183" spans="27:35" x14ac:dyDescent="0.25">
      <c r="AA183" s="1">
        <v>331</v>
      </c>
      <c r="AB183" s="1" t="s">
        <v>384</v>
      </c>
      <c r="AC183" s="1" t="s">
        <v>103</v>
      </c>
      <c r="AD183" s="1" t="s">
        <v>282</v>
      </c>
      <c r="AE183" s="1" t="s">
        <v>204</v>
      </c>
      <c r="AF183" s="1" t="s">
        <v>106</v>
      </c>
      <c r="AG183" s="1" t="s">
        <v>107</v>
      </c>
      <c r="AH183" s="1" t="s">
        <v>108</v>
      </c>
      <c r="AI183" s="1">
        <v>15.439</v>
      </c>
    </row>
    <row r="184" spans="27:35" x14ac:dyDescent="0.25">
      <c r="AA184" s="1">
        <v>332</v>
      </c>
      <c r="AB184" s="1" t="s">
        <v>385</v>
      </c>
      <c r="AC184" s="1" t="s">
        <v>103</v>
      </c>
      <c r="AD184" s="1" t="s">
        <v>282</v>
      </c>
      <c r="AE184" s="1" t="s">
        <v>204</v>
      </c>
      <c r="AF184" s="1" t="s">
        <v>106</v>
      </c>
      <c r="AG184" s="1" t="s">
        <v>107</v>
      </c>
      <c r="AH184" s="1" t="s">
        <v>108</v>
      </c>
      <c r="AI184" s="1" t="s">
        <v>235</v>
      </c>
    </row>
    <row r="185" spans="27:35" x14ac:dyDescent="0.25">
      <c r="AA185">
        <v>307</v>
      </c>
      <c r="AB185" t="s">
        <v>368</v>
      </c>
      <c r="AC185" t="b">
        <v>0</v>
      </c>
      <c r="AD185" t="s">
        <v>282</v>
      </c>
      <c r="AE185" t="s">
        <v>204</v>
      </c>
      <c r="AF185" t="s">
        <v>106</v>
      </c>
      <c r="AG185" t="s">
        <v>107</v>
      </c>
      <c r="AH185" t="s">
        <v>108</v>
      </c>
      <c r="AI185" t="s">
        <v>235</v>
      </c>
    </row>
    <row r="186" spans="27:35" x14ac:dyDescent="0.25">
      <c r="AA186">
        <v>308</v>
      </c>
      <c r="AB186" t="s">
        <v>369</v>
      </c>
      <c r="AC186" t="b">
        <v>0</v>
      </c>
      <c r="AD186" t="s">
        <v>282</v>
      </c>
      <c r="AE186" t="s">
        <v>204</v>
      </c>
      <c r="AF186" t="s">
        <v>106</v>
      </c>
      <c r="AG186" t="s">
        <v>107</v>
      </c>
      <c r="AH186" t="s">
        <v>108</v>
      </c>
      <c r="AI186" t="s">
        <v>235</v>
      </c>
    </row>
    <row r="187" spans="27:35" x14ac:dyDescent="0.25">
      <c r="AA187">
        <v>331</v>
      </c>
      <c r="AB187" t="s">
        <v>384</v>
      </c>
      <c r="AC187" t="b">
        <v>0</v>
      </c>
      <c r="AD187" t="s">
        <v>282</v>
      </c>
      <c r="AE187" t="s">
        <v>204</v>
      </c>
      <c r="AF187" t="s">
        <v>106</v>
      </c>
      <c r="AG187" t="s">
        <v>107</v>
      </c>
      <c r="AH187" t="s">
        <v>108</v>
      </c>
      <c r="AI187" s="3">
        <v>15.328773498535156</v>
      </c>
    </row>
    <row r="188" spans="27:35" x14ac:dyDescent="0.25">
      <c r="AA188">
        <v>332</v>
      </c>
      <c r="AB188" t="s">
        <v>385</v>
      </c>
      <c r="AC188" t="b">
        <v>0</v>
      </c>
      <c r="AD188" t="s">
        <v>282</v>
      </c>
      <c r="AE188" t="s">
        <v>204</v>
      </c>
      <c r="AF188" t="s">
        <v>106</v>
      </c>
      <c r="AG188" t="s">
        <v>107</v>
      </c>
      <c r="AH188" t="s">
        <v>108</v>
      </c>
      <c r="AI188" s="3">
        <v>7.2854347229003906</v>
      </c>
    </row>
    <row r="189" spans="27:35" x14ac:dyDescent="0.25">
      <c r="AA189" s="1">
        <v>213</v>
      </c>
      <c r="AB189" s="1" t="s">
        <v>286</v>
      </c>
      <c r="AC189" s="1" t="s">
        <v>103</v>
      </c>
      <c r="AD189" s="1" t="s">
        <v>282</v>
      </c>
      <c r="AE189" s="1" t="s">
        <v>191</v>
      </c>
      <c r="AF189" s="1" t="s">
        <v>106</v>
      </c>
      <c r="AG189" s="1" t="s">
        <v>107</v>
      </c>
      <c r="AH189" s="1" t="s">
        <v>108</v>
      </c>
      <c r="AI189" s="1" t="s">
        <v>235</v>
      </c>
    </row>
    <row r="190" spans="27:35" x14ac:dyDescent="0.25">
      <c r="AA190" s="1">
        <v>214</v>
      </c>
      <c r="AB190" s="1" t="s">
        <v>287</v>
      </c>
      <c r="AC190" s="1" t="s">
        <v>103</v>
      </c>
      <c r="AD190" s="1" t="s">
        <v>282</v>
      </c>
      <c r="AE190" s="1" t="s">
        <v>191</v>
      </c>
      <c r="AF190" s="1" t="s">
        <v>106</v>
      </c>
      <c r="AG190" s="1" t="s">
        <v>107</v>
      </c>
      <c r="AH190" s="1" t="s">
        <v>108</v>
      </c>
      <c r="AI190" s="1" t="s">
        <v>235</v>
      </c>
    </row>
    <row r="191" spans="27:35" x14ac:dyDescent="0.25">
      <c r="AA191" s="1">
        <v>237</v>
      </c>
      <c r="AB191" s="1" t="s">
        <v>306</v>
      </c>
      <c r="AC191" s="1" t="s">
        <v>103</v>
      </c>
      <c r="AD191" s="1" t="s">
        <v>282</v>
      </c>
      <c r="AE191" s="1" t="s">
        <v>191</v>
      </c>
      <c r="AF191" s="1" t="s">
        <v>106</v>
      </c>
      <c r="AG191" s="1" t="s">
        <v>107</v>
      </c>
      <c r="AH191" s="1" t="s">
        <v>108</v>
      </c>
      <c r="AI191" s="1" t="s">
        <v>235</v>
      </c>
    </row>
    <row r="192" spans="27:35" x14ac:dyDescent="0.25">
      <c r="AA192" s="1">
        <v>238</v>
      </c>
      <c r="AB192" s="1" t="s">
        <v>307</v>
      </c>
      <c r="AC192" s="1" t="s">
        <v>103</v>
      </c>
      <c r="AD192" s="1" t="s">
        <v>282</v>
      </c>
      <c r="AE192" s="1" t="s">
        <v>191</v>
      </c>
      <c r="AF192" s="1" t="s">
        <v>106</v>
      </c>
      <c r="AG192" s="1" t="s">
        <v>107</v>
      </c>
      <c r="AH192" s="1" t="s">
        <v>108</v>
      </c>
      <c r="AI192" s="1" t="s">
        <v>235</v>
      </c>
    </row>
    <row r="193" spans="27:35" x14ac:dyDescent="0.25">
      <c r="AA193" s="1">
        <v>213</v>
      </c>
      <c r="AB193" s="1" t="s">
        <v>286</v>
      </c>
      <c r="AC193" s="1" t="s">
        <v>103</v>
      </c>
      <c r="AD193" s="1" t="s">
        <v>282</v>
      </c>
      <c r="AE193" s="1" t="s">
        <v>191</v>
      </c>
      <c r="AF193" s="1" t="s">
        <v>106</v>
      </c>
      <c r="AG193" s="1" t="s">
        <v>107</v>
      </c>
      <c r="AH193" s="1" t="s">
        <v>108</v>
      </c>
      <c r="AI193" s="1" t="s">
        <v>235</v>
      </c>
    </row>
    <row r="194" spans="27:35" x14ac:dyDescent="0.25">
      <c r="AA194" s="1">
        <v>214</v>
      </c>
      <c r="AB194" s="1" t="s">
        <v>287</v>
      </c>
      <c r="AC194" s="1" t="s">
        <v>103</v>
      </c>
      <c r="AD194" s="1" t="s">
        <v>282</v>
      </c>
      <c r="AE194" s="1" t="s">
        <v>191</v>
      </c>
      <c r="AF194" s="1" t="s">
        <v>106</v>
      </c>
      <c r="AG194" s="1" t="s">
        <v>107</v>
      </c>
      <c r="AH194" s="1" t="s">
        <v>108</v>
      </c>
      <c r="AI194" s="1" t="s">
        <v>235</v>
      </c>
    </row>
    <row r="195" spans="27:35" x14ac:dyDescent="0.25">
      <c r="AA195" s="1">
        <v>237</v>
      </c>
      <c r="AB195" s="1" t="s">
        <v>306</v>
      </c>
      <c r="AC195" s="1" t="s">
        <v>103</v>
      </c>
      <c r="AD195" s="1" t="s">
        <v>282</v>
      </c>
      <c r="AE195" s="1" t="s">
        <v>191</v>
      </c>
      <c r="AF195" s="1" t="s">
        <v>106</v>
      </c>
      <c r="AG195" s="1" t="s">
        <v>107</v>
      </c>
      <c r="AH195" s="1" t="s">
        <v>108</v>
      </c>
      <c r="AI195" s="1" t="s">
        <v>235</v>
      </c>
    </row>
    <row r="196" spans="27:35" x14ac:dyDescent="0.25">
      <c r="AA196" s="1">
        <v>238</v>
      </c>
      <c r="AB196" s="1" t="s">
        <v>307</v>
      </c>
      <c r="AC196" s="1" t="s">
        <v>103</v>
      </c>
      <c r="AD196" s="1" t="s">
        <v>282</v>
      </c>
      <c r="AE196" s="1" t="s">
        <v>191</v>
      </c>
      <c r="AF196" s="1" t="s">
        <v>106</v>
      </c>
      <c r="AG196" s="1" t="s">
        <v>107</v>
      </c>
      <c r="AH196" s="1" t="s">
        <v>108</v>
      </c>
      <c r="AI196" s="1">
        <v>36.485999999999997</v>
      </c>
    </row>
    <row r="197" spans="27:35" x14ac:dyDescent="0.25">
      <c r="AA197">
        <v>213</v>
      </c>
      <c r="AB197" t="s">
        <v>286</v>
      </c>
      <c r="AC197" t="b">
        <v>0</v>
      </c>
      <c r="AD197" t="s">
        <v>282</v>
      </c>
      <c r="AE197" t="s">
        <v>191</v>
      </c>
      <c r="AF197" t="s">
        <v>106</v>
      </c>
      <c r="AG197" t="s">
        <v>107</v>
      </c>
      <c r="AH197" t="s">
        <v>108</v>
      </c>
      <c r="AI197" t="s">
        <v>235</v>
      </c>
    </row>
    <row r="198" spans="27:35" x14ac:dyDescent="0.25">
      <c r="AA198">
        <v>214</v>
      </c>
      <c r="AB198" t="s">
        <v>287</v>
      </c>
      <c r="AC198" t="b">
        <v>0</v>
      </c>
      <c r="AD198" t="s">
        <v>282</v>
      </c>
      <c r="AE198" t="s">
        <v>191</v>
      </c>
      <c r="AF198" t="s">
        <v>106</v>
      </c>
      <c r="AG198" t="s">
        <v>107</v>
      </c>
      <c r="AH198" t="s">
        <v>108</v>
      </c>
      <c r="AI198" t="s">
        <v>235</v>
      </c>
    </row>
    <row r="199" spans="27:35" x14ac:dyDescent="0.25">
      <c r="AA199">
        <v>237</v>
      </c>
      <c r="AB199" t="s">
        <v>306</v>
      </c>
      <c r="AC199" t="b">
        <v>0</v>
      </c>
      <c r="AD199" t="s">
        <v>282</v>
      </c>
      <c r="AE199" t="s">
        <v>191</v>
      </c>
      <c r="AF199" t="s">
        <v>106</v>
      </c>
      <c r="AG199" t="s">
        <v>107</v>
      </c>
      <c r="AH199" t="s">
        <v>108</v>
      </c>
      <c r="AI199" s="3">
        <v>29.85161018371582</v>
      </c>
    </row>
    <row r="200" spans="27:35" x14ac:dyDescent="0.25">
      <c r="AA200">
        <v>238</v>
      </c>
      <c r="AB200" t="s">
        <v>307</v>
      </c>
      <c r="AC200" t="b">
        <v>0</v>
      </c>
      <c r="AD200" t="s">
        <v>282</v>
      </c>
      <c r="AE200" t="s">
        <v>191</v>
      </c>
      <c r="AF200" t="s">
        <v>106</v>
      </c>
      <c r="AG200" t="s">
        <v>107</v>
      </c>
      <c r="AH200" t="s">
        <v>108</v>
      </c>
      <c r="AI200" s="3">
        <v>33.225040435791016</v>
      </c>
    </row>
  </sheetData>
  <sortState xmlns:xlrd2="http://schemas.microsoft.com/office/spreadsheetml/2017/richdata2" ref="AA81:AJ200">
    <sortCondition ref="AE81:AE20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FA67-6F7B-4F62-806A-43C99835E6BA}">
  <dimension ref="A1:AN113"/>
  <sheetViews>
    <sheetView workbookViewId="0">
      <selection sqref="A1:XFD1048576"/>
    </sheetView>
  </sheetViews>
  <sheetFormatPr defaultRowHeight="15" x14ac:dyDescent="0.25"/>
  <cols>
    <col min="5" max="5" width="49.42578125" customWidth="1"/>
    <col min="8" max="8" width="14" customWidth="1"/>
    <col min="9" max="9" width="18.28515625" customWidth="1"/>
    <col min="13" max="13" width="17.28515625" customWidth="1"/>
    <col min="17" max="17" width="44.42578125" customWidth="1"/>
    <col min="30" max="30" width="16.42578125" customWidth="1"/>
  </cols>
  <sheetData>
    <row r="1" spans="1:40" ht="15.75" thickBot="1" x14ac:dyDescent="0.3">
      <c r="A1" s="1"/>
      <c r="B1" s="4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6" t="s">
        <v>428</v>
      </c>
      <c r="I1" s="6" t="s">
        <v>429</v>
      </c>
      <c r="J1" s="7" t="s">
        <v>430</v>
      </c>
      <c r="K1" s="7" t="s">
        <v>431</v>
      </c>
      <c r="L1" s="8" t="s">
        <v>432</v>
      </c>
      <c r="M1" s="8" t="s">
        <v>433</v>
      </c>
      <c r="N1" s="4" t="s">
        <v>434</v>
      </c>
      <c r="O1" s="5"/>
      <c r="P1" s="5" t="s">
        <v>435</v>
      </c>
      <c r="Q1" s="5" t="s">
        <v>63</v>
      </c>
      <c r="R1" s="5" t="s">
        <v>64</v>
      </c>
      <c r="S1" s="5" t="s">
        <v>65</v>
      </c>
      <c r="T1" s="5" t="s">
        <v>66</v>
      </c>
      <c r="U1" s="5" t="s">
        <v>67</v>
      </c>
      <c r="V1" s="7" t="s">
        <v>68</v>
      </c>
      <c r="W1" s="5" t="s">
        <v>436</v>
      </c>
      <c r="X1" s="8" t="s">
        <v>437</v>
      </c>
      <c r="Y1" s="9" t="s">
        <v>438</v>
      </c>
      <c r="Z1" s="9" t="s">
        <v>439</v>
      </c>
      <c r="AA1" s="10" t="s">
        <v>440</v>
      </c>
      <c r="AB1" s="1"/>
      <c r="AC1" s="9" t="s">
        <v>441</v>
      </c>
      <c r="AD1" s="1"/>
      <c r="AE1" s="1"/>
    </row>
    <row r="2" spans="1:40" x14ac:dyDescent="0.25">
      <c r="A2" s="100"/>
      <c r="B2" s="9">
        <v>337</v>
      </c>
      <c r="C2" s="9" t="s">
        <v>386</v>
      </c>
      <c r="D2" s="9" t="s">
        <v>103</v>
      </c>
      <c r="E2" s="9" t="s">
        <v>104</v>
      </c>
      <c r="F2" s="9" t="s">
        <v>332</v>
      </c>
      <c r="G2" s="9" t="s">
        <v>106</v>
      </c>
      <c r="H2" s="9"/>
      <c r="I2" s="9"/>
      <c r="J2" s="9">
        <v>23.096</v>
      </c>
      <c r="K2" s="9">
        <v>18.398</v>
      </c>
      <c r="L2" s="11"/>
      <c r="M2" s="104">
        <f>AVERAGE(J2:J5)</f>
        <v>23.071750000000002</v>
      </c>
      <c r="N2" s="104">
        <f>AVERAGE(K2:K5)</f>
        <v>18.297750000000001</v>
      </c>
      <c r="O2" s="104"/>
      <c r="P2" s="89">
        <f>GEOMEAN(M2,N2)</f>
        <v>20.546559652713153</v>
      </c>
      <c r="Q2" s="1" t="s">
        <v>104</v>
      </c>
      <c r="R2" s="1" t="s">
        <v>105</v>
      </c>
      <c r="S2" s="1" t="s">
        <v>106</v>
      </c>
      <c r="T2" s="1" t="s">
        <v>107</v>
      </c>
      <c r="U2" s="1" t="s">
        <v>108</v>
      </c>
      <c r="V2" s="1">
        <v>21.99</v>
      </c>
      <c r="W2" s="96">
        <f>_xlfn.STDEV.S(V2:V5)</f>
        <v>2.9680240340446824E-2</v>
      </c>
      <c r="X2" s="128">
        <f>AVERAGE(V2:V5)</f>
        <v>22.001249999999999</v>
      </c>
      <c r="Y2" s="96">
        <f>X2-P2</f>
        <v>1.4546903472868458</v>
      </c>
      <c r="Z2" s="96">
        <f>Y2-$AE$2</f>
        <v>4.5792538042729092E-2</v>
      </c>
      <c r="AA2" s="84">
        <f>2^-Z2</f>
        <v>0.96875748815603213</v>
      </c>
      <c r="AB2" s="150"/>
      <c r="AC2" s="1">
        <f>LOG(AA2,2)</f>
        <v>-4.5792538042729272E-2</v>
      </c>
      <c r="AD2" s="153" t="s">
        <v>442</v>
      </c>
      <c r="AE2" s="155">
        <f>AVERAGE(Y2,Y6)</f>
        <v>1.4088978092441167</v>
      </c>
      <c r="AG2">
        <f>AC2</f>
        <v>-4.5792538042729272E-2</v>
      </c>
      <c r="AH2">
        <f>AC6</f>
        <v>4.5792538042729203E-2</v>
      </c>
      <c r="AJ2">
        <f>AC26</f>
        <v>5.7577308350950401E-2</v>
      </c>
      <c r="AK2">
        <f>AC30</f>
        <v>-5.7577308350950353E-2</v>
      </c>
      <c r="AM2">
        <f>AC50</f>
        <v>4.1614913773320925E-2</v>
      </c>
      <c r="AN2">
        <f>AC54</f>
        <v>-4.1614913773321001E-2</v>
      </c>
    </row>
    <row r="3" spans="1:40" x14ac:dyDescent="0.25">
      <c r="A3" s="101"/>
      <c r="B3" s="1">
        <v>361</v>
      </c>
      <c r="C3" s="1" t="s">
        <v>398</v>
      </c>
      <c r="D3" s="1" t="s">
        <v>103</v>
      </c>
      <c r="E3" s="1" t="s">
        <v>104</v>
      </c>
      <c r="F3" s="1" t="s">
        <v>332</v>
      </c>
      <c r="G3" s="1" t="s">
        <v>106</v>
      </c>
      <c r="H3" s="1"/>
      <c r="I3" s="1"/>
      <c r="J3" s="1">
        <v>23.042999999999999</v>
      </c>
      <c r="K3" s="1">
        <v>18.263999999999999</v>
      </c>
      <c r="L3" s="14"/>
      <c r="M3" s="105"/>
      <c r="N3" s="105"/>
      <c r="O3" s="105"/>
      <c r="P3" s="90"/>
      <c r="Q3" s="1" t="s">
        <v>104</v>
      </c>
      <c r="R3" s="1" t="s">
        <v>105</v>
      </c>
      <c r="S3" s="1" t="s">
        <v>106</v>
      </c>
      <c r="T3" s="1" t="s">
        <v>107</v>
      </c>
      <c r="U3" s="1" t="s">
        <v>108</v>
      </c>
      <c r="V3" s="1">
        <v>21.968</v>
      </c>
      <c r="W3" s="97"/>
      <c r="X3" s="129"/>
      <c r="Y3" s="97"/>
      <c r="Z3" s="97"/>
      <c r="AA3" s="85"/>
      <c r="AB3" s="151"/>
      <c r="AC3" s="1"/>
      <c r="AD3" s="154"/>
      <c r="AE3" s="156"/>
      <c r="AG3">
        <f>AC10</f>
        <v>-2.2167489689015589</v>
      </c>
      <c r="AH3">
        <f>AC14</f>
        <v>-2.2632017252929764</v>
      </c>
      <c r="AJ3">
        <f>AC34</f>
        <v>-1.3375930223734436</v>
      </c>
      <c r="AK3">
        <f>AC38</f>
        <v>-1.4369539036090233</v>
      </c>
      <c r="AM3">
        <f>AC58</f>
        <v>-2.3421557823295398</v>
      </c>
      <c r="AN3">
        <f>AC62</f>
        <v>-2.4798437132250779</v>
      </c>
    </row>
    <row r="4" spans="1:40" x14ac:dyDescent="0.25">
      <c r="A4" s="101"/>
      <c r="B4" s="1">
        <v>338</v>
      </c>
      <c r="C4" s="1" t="s">
        <v>387</v>
      </c>
      <c r="D4" s="1" t="s">
        <v>103</v>
      </c>
      <c r="E4" s="1" t="s">
        <v>104</v>
      </c>
      <c r="F4" s="1" t="s">
        <v>332</v>
      </c>
      <c r="G4" s="1" t="s">
        <v>106</v>
      </c>
      <c r="H4" s="1"/>
      <c r="I4" s="1"/>
      <c r="J4" s="1">
        <v>23.064</v>
      </c>
      <c r="K4" s="1">
        <v>18.318999999999999</v>
      </c>
      <c r="L4" s="14"/>
      <c r="M4" s="105"/>
      <c r="N4" s="105"/>
      <c r="O4" s="105"/>
      <c r="P4" s="90"/>
      <c r="Q4" s="1" t="s">
        <v>104</v>
      </c>
      <c r="R4" s="1" t="s">
        <v>105</v>
      </c>
      <c r="S4" s="1" t="s">
        <v>106</v>
      </c>
      <c r="T4" s="1" t="s">
        <v>107</v>
      </c>
      <c r="U4" s="1" t="s">
        <v>108</v>
      </c>
      <c r="V4" s="1">
        <v>22.038</v>
      </c>
      <c r="W4" s="97"/>
      <c r="X4" s="129"/>
      <c r="Y4" s="97"/>
      <c r="Z4" s="97"/>
      <c r="AA4" s="85"/>
      <c r="AB4" s="151"/>
      <c r="AC4" s="1"/>
      <c r="AD4" s="153" t="s">
        <v>443</v>
      </c>
      <c r="AE4" s="155">
        <f>AVERAGE(Y26,Y30)</f>
        <v>2.291585972136005</v>
      </c>
      <c r="AG4">
        <f>AC18</f>
        <v>-2.1826103115227191</v>
      </c>
      <c r="AH4">
        <f>AC22</f>
        <v>-2.21646668419665</v>
      </c>
      <c r="AJ4">
        <f>AC42</f>
        <v>-1.7732674282304934</v>
      </c>
      <c r="AK4">
        <f>AC46</f>
        <v>-1.5007833562102912</v>
      </c>
      <c r="AM4">
        <f>AC66</f>
        <v>-2.562835102607286</v>
      </c>
      <c r="AN4">
        <f>AC70</f>
        <v>-2.7533085899595964</v>
      </c>
    </row>
    <row r="5" spans="1:40" ht="15.75" thickBot="1" x14ac:dyDescent="0.3">
      <c r="A5" s="107"/>
      <c r="B5" s="83">
        <v>362</v>
      </c>
      <c r="C5" s="83" t="s">
        <v>399</v>
      </c>
      <c r="D5" s="83" t="s">
        <v>103</v>
      </c>
      <c r="E5" s="83" t="s">
        <v>104</v>
      </c>
      <c r="F5" s="83" t="s">
        <v>332</v>
      </c>
      <c r="G5" s="83" t="s">
        <v>106</v>
      </c>
      <c r="H5" s="83">
        <f>_xlfn.STDEV.S(K2:K5)</f>
        <v>8.0292693731538217E-2</v>
      </c>
      <c r="I5" s="83">
        <f>_xlfn.STDEV.S(J2:J5)</f>
        <v>2.3271943050234237E-2</v>
      </c>
      <c r="J5" s="83">
        <v>23.084</v>
      </c>
      <c r="K5" s="83">
        <v>18.21</v>
      </c>
      <c r="L5" s="17"/>
      <c r="M5" s="108"/>
      <c r="N5" s="108"/>
      <c r="O5" s="108"/>
      <c r="P5" s="109"/>
      <c r="Q5" s="1" t="s">
        <v>104</v>
      </c>
      <c r="R5" s="1" t="s">
        <v>105</v>
      </c>
      <c r="S5" s="1" t="s">
        <v>106</v>
      </c>
      <c r="T5" s="1" t="s">
        <v>107</v>
      </c>
      <c r="U5" s="1" t="s">
        <v>108</v>
      </c>
      <c r="V5" s="1">
        <v>22.009</v>
      </c>
      <c r="W5" s="98"/>
      <c r="X5" s="130"/>
      <c r="Y5" s="98"/>
      <c r="Z5" s="98"/>
      <c r="AA5" s="86"/>
      <c r="AB5" s="152"/>
      <c r="AC5" s="1"/>
      <c r="AD5" s="154"/>
      <c r="AE5" s="156"/>
    </row>
    <row r="6" spans="1:40" x14ac:dyDescent="0.25">
      <c r="A6" s="101"/>
      <c r="B6" s="9">
        <v>339</v>
      </c>
      <c r="C6" s="9" t="s">
        <v>388</v>
      </c>
      <c r="D6" s="9" t="s">
        <v>103</v>
      </c>
      <c r="E6" s="9" t="s">
        <v>114</v>
      </c>
      <c r="F6" s="9" t="s">
        <v>332</v>
      </c>
      <c r="G6" s="9" t="s">
        <v>106</v>
      </c>
      <c r="H6" s="9"/>
      <c r="I6" s="9"/>
      <c r="J6" s="9">
        <v>22.887</v>
      </c>
      <c r="K6" s="9">
        <v>18.141999999999999</v>
      </c>
      <c r="L6" s="11"/>
      <c r="M6" s="104">
        <f t="shared" ref="M6:N6" si="0">AVERAGE(J6:J9)</f>
        <v>22.817999999999998</v>
      </c>
      <c r="N6" s="104">
        <f t="shared" si="0"/>
        <v>18.093499999999999</v>
      </c>
      <c r="O6" s="104"/>
      <c r="P6" s="89">
        <f t="shared" ref="P6" si="1">GEOMEAN(M6,N6)</f>
        <v>20.318894728798611</v>
      </c>
      <c r="Q6" s="1" t="s">
        <v>114</v>
      </c>
      <c r="R6" s="1" t="s">
        <v>105</v>
      </c>
      <c r="S6" s="1" t="s">
        <v>106</v>
      </c>
      <c r="T6" s="1" t="s">
        <v>107</v>
      </c>
      <c r="U6" s="1" t="s">
        <v>108</v>
      </c>
      <c r="V6" s="1">
        <v>21.664999999999999</v>
      </c>
      <c r="W6" s="96">
        <f t="shared" ref="W6" si="2">_xlfn.STDEV.S(V6:V9)</f>
        <v>3.2598568475727202E-2</v>
      </c>
      <c r="X6" s="128">
        <f t="shared" ref="X6" si="3">AVERAGE(V6:V9)</f>
        <v>21.681999999999999</v>
      </c>
      <c r="Y6" s="96">
        <f t="shared" ref="Y6" si="4">X6-P6</f>
        <v>1.3631052712013876</v>
      </c>
      <c r="Z6" s="96">
        <f t="shared" ref="Z6" si="5">Y6-$AE$2</f>
        <v>-4.5792538042729092E-2</v>
      </c>
      <c r="AA6" s="84">
        <f t="shared" ref="AA6" si="6">2^-Z6</f>
        <v>1.0322500855228856</v>
      </c>
      <c r="AB6" s="157"/>
      <c r="AC6" s="1">
        <f t="shared" ref="AC6" si="7">LOG(AA6,2)</f>
        <v>4.5792538042729203E-2</v>
      </c>
      <c r="AD6" s="153" t="s">
        <v>444</v>
      </c>
      <c r="AE6" s="159">
        <f>AVERAGE(Y50,Y54)</f>
        <v>1.0183228308640917</v>
      </c>
    </row>
    <row r="7" spans="1:40" x14ac:dyDescent="0.25">
      <c r="A7" s="101"/>
      <c r="B7" s="1">
        <v>363</v>
      </c>
      <c r="C7" s="1" t="s">
        <v>400</v>
      </c>
      <c r="D7" s="1" t="s">
        <v>103</v>
      </c>
      <c r="E7" s="1" t="s">
        <v>114</v>
      </c>
      <c r="F7" s="1" t="s">
        <v>332</v>
      </c>
      <c r="G7" s="1" t="s">
        <v>106</v>
      </c>
      <c r="H7" s="1"/>
      <c r="I7" s="1"/>
      <c r="J7" s="1">
        <v>22.777999999999999</v>
      </c>
      <c r="K7" s="1">
        <v>18.074000000000002</v>
      </c>
      <c r="L7" s="14"/>
      <c r="M7" s="105"/>
      <c r="N7" s="105"/>
      <c r="O7" s="105"/>
      <c r="P7" s="90"/>
      <c r="Q7" s="1" t="s">
        <v>114</v>
      </c>
      <c r="R7" s="1" t="s">
        <v>105</v>
      </c>
      <c r="S7" s="1" t="s">
        <v>106</v>
      </c>
      <c r="T7" s="1" t="s">
        <v>107</v>
      </c>
      <c r="U7" s="1" t="s">
        <v>108</v>
      </c>
      <c r="V7" s="1">
        <v>21.702999999999999</v>
      </c>
      <c r="W7" s="97"/>
      <c r="X7" s="129"/>
      <c r="Y7" s="97"/>
      <c r="Z7" s="97"/>
      <c r="AA7" s="85"/>
      <c r="AB7" s="157"/>
      <c r="AC7" s="1"/>
      <c r="AD7" s="154"/>
      <c r="AE7" s="142"/>
    </row>
    <row r="8" spans="1:40" x14ac:dyDescent="0.25">
      <c r="A8" s="101"/>
      <c r="B8" s="1">
        <v>340</v>
      </c>
      <c r="C8" s="1" t="s">
        <v>389</v>
      </c>
      <c r="D8" s="1" t="s">
        <v>103</v>
      </c>
      <c r="E8" s="1" t="s">
        <v>114</v>
      </c>
      <c r="F8" s="1" t="s">
        <v>332</v>
      </c>
      <c r="G8" s="1" t="s">
        <v>106</v>
      </c>
      <c r="H8" s="1"/>
      <c r="I8" s="1"/>
      <c r="J8" s="1">
        <v>22.84</v>
      </c>
      <c r="K8" s="1">
        <v>18.117000000000001</v>
      </c>
      <c r="L8" s="14"/>
      <c r="M8" s="105"/>
      <c r="N8" s="105"/>
      <c r="O8" s="105"/>
      <c r="P8" s="90"/>
      <c r="Q8" s="1" t="s">
        <v>114</v>
      </c>
      <c r="R8" s="1" t="s">
        <v>105</v>
      </c>
      <c r="S8" s="1" t="s">
        <v>106</v>
      </c>
      <c r="T8" s="1" t="s">
        <v>107</v>
      </c>
      <c r="U8" s="1" t="s">
        <v>108</v>
      </c>
      <c r="V8" s="1">
        <v>21.715</v>
      </c>
      <c r="W8" s="97"/>
      <c r="X8" s="129"/>
      <c r="Y8" s="97"/>
      <c r="Z8" s="97"/>
      <c r="AA8" s="85"/>
      <c r="AB8" s="157"/>
      <c r="AC8" s="1"/>
      <c r="AD8" s="143"/>
      <c r="AE8" s="142"/>
    </row>
    <row r="9" spans="1:40" ht="15.75" thickBot="1" x14ac:dyDescent="0.3">
      <c r="A9" s="107"/>
      <c r="B9" s="83">
        <v>364</v>
      </c>
      <c r="C9" s="83" t="s">
        <v>401</v>
      </c>
      <c r="D9" s="83" t="s">
        <v>103</v>
      </c>
      <c r="E9" s="83" t="s">
        <v>114</v>
      </c>
      <c r="F9" s="83" t="s">
        <v>332</v>
      </c>
      <c r="G9" s="83" t="s">
        <v>106</v>
      </c>
      <c r="H9" s="83">
        <f t="shared" ref="H9" si="8">_xlfn.STDEV.S(K6:K9)</f>
        <v>4.4873897386639251E-2</v>
      </c>
      <c r="I9" s="83">
        <f t="shared" ref="I9" si="9">_xlfn.STDEV.S(J6:J9)</f>
        <v>5.6112981266964762E-2</v>
      </c>
      <c r="J9" s="83">
        <v>22.766999999999999</v>
      </c>
      <c r="K9" s="83">
        <v>18.041</v>
      </c>
      <c r="L9" s="17"/>
      <c r="M9" s="108"/>
      <c r="N9" s="108"/>
      <c r="O9" s="108"/>
      <c r="P9" s="109"/>
      <c r="Q9" s="1" t="s">
        <v>114</v>
      </c>
      <c r="R9" s="1" t="s">
        <v>105</v>
      </c>
      <c r="S9" s="1" t="s">
        <v>106</v>
      </c>
      <c r="T9" s="1" t="s">
        <v>107</v>
      </c>
      <c r="U9" s="1" t="s">
        <v>108</v>
      </c>
      <c r="V9" s="1">
        <v>21.645</v>
      </c>
      <c r="W9" s="98"/>
      <c r="X9" s="130"/>
      <c r="Y9" s="98"/>
      <c r="Z9" s="98"/>
      <c r="AA9" s="86"/>
      <c r="AB9" s="158"/>
      <c r="AC9" s="1"/>
      <c r="AD9" s="143"/>
      <c r="AE9" s="142"/>
    </row>
    <row r="10" spans="1:40" x14ac:dyDescent="0.25">
      <c r="A10" s="100"/>
      <c r="B10" s="9">
        <v>341</v>
      </c>
      <c r="C10" s="9" t="s">
        <v>390</v>
      </c>
      <c r="D10" s="9" t="s">
        <v>103</v>
      </c>
      <c r="E10" s="9" t="s">
        <v>117</v>
      </c>
      <c r="F10" s="9" t="s">
        <v>332</v>
      </c>
      <c r="G10" s="9" t="s">
        <v>106</v>
      </c>
      <c r="H10" s="9"/>
      <c r="I10" s="9"/>
      <c r="J10" s="9">
        <v>22.46</v>
      </c>
      <c r="K10" s="9">
        <v>17.544</v>
      </c>
      <c r="L10" s="11"/>
      <c r="M10" s="104">
        <f t="shared" ref="M10:N10" si="10">AVERAGE(J10:J13)</f>
        <v>22.5335</v>
      </c>
      <c r="N10" s="104">
        <f t="shared" si="10"/>
        <v>17.604499999999998</v>
      </c>
      <c r="O10" s="104"/>
      <c r="P10" s="89">
        <f t="shared" ref="P10" si="11">GEOMEAN(M10,N10)</f>
        <v>19.917103221854326</v>
      </c>
      <c r="Q10" s="1" t="s">
        <v>117</v>
      </c>
      <c r="R10" s="1" t="s">
        <v>105</v>
      </c>
      <c r="S10" s="1" t="s">
        <v>106</v>
      </c>
      <c r="T10" s="1" t="s">
        <v>107</v>
      </c>
      <c r="U10" s="1" t="s">
        <v>108</v>
      </c>
      <c r="V10" s="1">
        <v>23.535</v>
      </c>
      <c r="W10" s="96">
        <f t="shared" ref="W10" si="12">_xlfn.STDEV.S(V10:V13)</f>
        <v>0.21009422489286378</v>
      </c>
      <c r="X10" s="128">
        <f t="shared" ref="X10" si="13">AVERAGE(V10:V13)</f>
        <v>23.542750000000002</v>
      </c>
      <c r="Y10" s="96">
        <f t="shared" ref="Y10" si="14">X10-P10</f>
        <v>3.6256467781456756</v>
      </c>
      <c r="Z10" s="96">
        <f t="shared" ref="Z10" si="15">Y10-$AE$2</f>
        <v>2.2167489689015589</v>
      </c>
      <c r="AA10" s="84">
        <f t="shared" ref="AA10" si="16">2^-Z10</f>
        <v>0.2151255865707683</v>
      </c>
      <c r="AB10" s="147"/>
      <c r="AC10" s="1">
        <f t="shared" ref="AC10" si="17">LOG(AA10,2)</f>
        <v>-2.2167489689015589</v>
      </c>
      <c r="AD10" s="143"/>
      <c r="AE10" s="142"/>
    </row>
    <row r="11" spans="1:40" x14ac:dyDescent="0.25">
      <c r="A11" s="101"/>
      <c r="B11" s="1">
        <v>365</v>
      </c>
      <c r="C11" s="1" t="s">
        <v>402</v>
      </c>
      <c r="D11" s="1" t="s">
        <v>103</v>
      </c>
      <c r="E11" s="1" t="s">
        <v>117</v>
      </c>
      <c r="F11" s="1" t="s">
        <v>332</v>
      </c>
      <c r="G11" s="1" t="s">
        <v>106</v>
      </c>
      <c r="H11" s="1"/>
      <c r="I11" s="1"/>
      <c r="J11" s="1">
        <v>22.52</v>
      </c>
      <c r="K11" s="1">
        <v>17.760999999999999</v>
      </c>
      <c r="L11" s="14"/>
      <c r="M11" s="105"/>
      <c r="N11" s="105"/>
      <c r="O11" s="105"/>
      <c r="P11" s="90"/>
      <c r="Q11" s="1" t="s">
        <v>117</v>
      </c>
      <c r="R11" s="1" t="s">
        <v>105</v>
      </c>
      <c r="S11" s="1" t="s">
        <v>106</v>
      </c>
      <c r="T11" s="1" t="s">
        <v>107</v>
      </c>
      <c r="U11" s="1" t="s">
        <v>108</v>
      </c>
      <c r="V11" s="1">
        <v>23.558</v>
      </c>
      <c r="W11" s="97"/>
      <c r="X11" s="129"/>
      <c r="Y11" s="97"/>
      <c r="Z11" s="97"/>
      <c r="AA11" s="85"/>
      <c r="AB11" s="148"/>
      <c r="AC11" s="1"/>
      <c r="AD11" s="143"/>
      <c r="AE11" s="142"/>
    </row>
    <row r="12" spans="1:40" x14ac:dyDescent="0.25">
      <c r="A12" s="101"/>
      <c r="B12" s="1">
        <v>342</v>
      </c>
      <c r="C12" s="1" t="s">
        <v>391</v>
      </c>
      <c r="D12" s="1" t="s">
        <v>103</v>
      </c>
      <c r="E12" s="1" t="s">
        <v>117</v>
      </c>
      <c r="F12" s="1" t="s">
        <v>332</v>
      </c>
      <c r="G12" s="1" t="s">
        <v>106</v>
      </c>
      <c r="H12" s="1"/>
      <c r="I12" s="1"/>
      <c r="J12" s="1">
        <v>22.559000000000001</v>
      </c>
      <c r="K12" s="1">
        <v>17.477</v>
      </c>
      <c r="L12" s="14"/>
      <c r="M12" s="105"/>
      <c r="N12" s="105"/>
      <c r="O12" s="105"/>
      <c r="P12" s="90"/>
      <c r="Q12" s="1" t="s">
        <v>117</v>
      </c>
      <c r="R12" s="1" t="s">
        <v>105</v>
      </c>
      <c r="S12" s="1" t="s">
        <v>106</v>
      </c>
      <c r="T12" s="1" t="s">
        <v>107</v>
      </c>
      <c r="U12" s="1" t="s">
        <v>108</v>
      </c>
      <c r="V12" s="1">
        <v>23.795999999999999</v>
      </c>
      <c r="W12" s="97"/>
      <c r="X12" s="129"/>
      <c r="Y12" s="97"/>
      <c r="Z12" s="97"/>
      <c r="AA12" s="85"/>
      <c r="AB12" s="148"/>
      <c r="AC12" s="1"/>
      <c r="AD12" s="143"/>
      <c r="AE12" s="142"/>
    </row>
    <row r="13" spans="1:40" ht="15.75" thickBot="1" x14ac:dyDescent="0.3">
      <c r="A13" s="107"/>
      <c r="B13" s="83">
        <v>366</v>
      </c>
      <c r="C13" s="83" t="s">
        <v>403</v>
      </c>
      <c r="D13" s="83" t="s">
        <v>103</v>
      </c>
      <c r="E13" s="83" t="s">
        <v>117</v>
      </c>
      <c r="F13" s="83" t="s">
        <v>332</v>
      </c>
      <c r="G13" s="83" t="s">
        <v>106</v>
      </c>
      <c r="H13" s="83">
        <f t="shared" ref="H13" si="18">_xlfn.STDEV.S(K10:K13)</f>
        <v>0.12301896872704846</v>
      </c>
      <c r="I13" s="83">
        <f t="shared" ref="I13" si="19">_xlfn.STDEV.S(J10:J13)</f>
        <v>5.7784080852774096E-2</v>
      </c>
      <c r="J13" s="83">
        <v>22.594999999999999</v>
      </c>
      <c r="K13" s="83">
        <v>17.635999999999999</v>
      </c>
      <c r="L13" s="17"/>
      <c r="M13" s="108"/>
      <c r="N13" s="108"/>
      <c r="O13" s="108"/>
      <c r="P13" s="109"/>
      <c r="Q13" s="1" t="s">
        <v>117</v>
      </c>
      <c r="R13" s="1" t="s">
        <v>105</v>
      </c>
      <c r="S13" s="1" t="s">
        <v>106</v>
      </c>
      <c r="T13" s="1" t="s">
        <v>107</v>
      </c>
      <c r="U13" s="1" t="s">
        <v>108</v>
      </c>
      <c r="V13" s="1">
        <v>23.282</v>
      </c>
      <c r="W13" s="98"/>
      <c r="X13" s="130"/>
      <c r="Y13" s="98"/>
      <c r="Z13" s="98"/>
      <c r="AA13" s="86"/>
      <c r="AB13" s="149"/>
      <c r="AC13" s="1"/>
      <c r="AD13" s="143"/>
      <c r="AE13" s="142"/>
    </row>
    <row r="14" spans="1:40" x14ac:dyDescent="0.25">
      <c r="A14" s="100"/>
      <c r="B14" s="9">
        <v>343</v>
      </c>
      <c r="C14" s="9" t="s">
        <v>392</v>
      </c>
      <c r="D14" s="9" t="s">
        <v>103</v>
      </c>
      <c r="E14" s="9" t="s">
        <v>120</v>
      </c>
      <c r="F14" s="9" t="s">
        <v>332</v>
      </c>
      <c r="G14" s="9" t="s">
        <v>106</v>
      </c>
      <c r="H14" s="9"/>
      <c r="I14" s="9"/>
      <c r="J14" s="9">
        <v>22.733000000000001</v>
      </c>
      <c r="K14" s="9">
        <v>17.564</v>
      </c>
      <c r="L14" s="11"/>
      <c r="M14" s="104">
        <f t="shared" ref="M14:N14" si="20">AVERAGE(J14:J17)</f>
        <v>22.652999999999999</v>
      </c>
      <c r="N14" s="104">
        <f t="shared" si="20"/>
        <v>17.67475</v>
      </c>
      <c r="O14" s="104"/>
      <c r="P14" s="89">
        <f t="shared" ref="P14" si="21">GEOMEAN(M14,N14)</f>
        <v>20.009650465462908</v>
      </c>
      <c r="Q14" s="1" t="s">
        <v>120</v>
      </c>
      <c r="R14" s="1" t="s">
        <v>105</v>
      </c>
      <c r="S14" s="1" t="s">
        <v>106</v>
      </c>
      <c r="T14" s="1" t="s">
        <v>107</v>
      </c>
      <c r="U14" s="1" t="s">
        <v>108</v>
      </c>
      <c r="V14" s="1">
        <v>23.664999999999999</v>
      </c>
      <c r="W14" s="96">
        <f t="shared" ref="W14" si="22">_xlfn.STDEV.S(V14:V17)</f>
        <v>6.265979572261629E-2</v>
      </c>
      <c r="X14" s="128">
        <f t="shared" ref="X14" si="23">AVERAGE(V14:V17)</f>
        <v>23.681750000000001</v>
      </c>
      <c r="Y14" s="96">
        <f t="shared" ref="Y14" si="24">X14-P14</f>
        <v>3.672099534537093</v>
      </c>
      <c r="Z14" s="96">
        <f t="shared" ref="Z14" si="25">Y14-$AE$2</f>
        <v>2.2632017252929764</v>
      </c>
      <c r="AA14" s="84">
        <f t="shared" ref="AA14" si="26">2^-Z14</f>
        <v>0.20830917285701842</v>
      </c>
      <c r="AB14" s="147"/>
      <c r="AC14" s="1">
        <f t="shared" ref="AC14" si="27">LOG(AA14,2)</f>
        <v>-2.2632017252929764</v>
      </c>
      <c r="AD14" s="143"/>
      <c r="AE14" s="142"/>
    </row>
    <row r="15" spans="1:40" x14ac:dyDescent="0.25">
      <c r="A15" s="101"/>
      <c r="B15" s="1">
        <v>367</v>
      </c>
      <c r="C15" s="1" t="s">
        <v>404</v>
      </c>
      <c r="D15" s="1" t="s">
        <v>103</v>
      </c>
      <c r="E15" s="1" t="s">
        <v>120</v>
      </c>
      <c r="F15" s="1" t="s">
        <v>332</v>
      </c>
      <c r="G15" s="1" t="s">
        <v>106</v>
      </c>
      <c r="H15" s="1"/>
      <c r="I15" s="1"/>
      <c r="J15" s="1">
        <v>22.678000000000001</v>
      </c>
      <c r="K15" s="1">
        <v>17.535</v>
      </c>
      <c r="L15" s="14"/>
      <c r="M15" s="105"/>
      <c r="N15" s="105"/>
      <c r="O15" s="105"/>
      <c r="P15" s="90"/>
      <c r="Q15" s="1" t="s">
        <v>120</v>
      </c>
      <c r="R15" s="1" t="s">
        <v>105</v>
      </c>
      <c r="S15" s="1" t="s">
        <v>106</v>
      </c>
      <c r="T15" s="1" t="s">
        <v>107</v>
      </c>
      <c r="U15" s="1" t="s">
        <v>108</v>
      </c>
      <c r="V15" s="1">
        <v>23.689</v>
      </c>
      <c r="W15" s="97"/>
      <c r="X15" s="129"/>
      <c r="Y15" s="97"/>
      <c r="Z15" s="97"/>
      <c r="AA15" s="85"/>
      <c r="AB15" s="148"/>
      <c r="AC15" s="1"/>
      <c r="AD15" s="143"/>
      <c r="AE15" s="142"/>
    </row>
    <row r="16" spans="1:40" x14ac:dyDescent="0.25">
      <c r="A16" s="101"/>
      <c r="B16" s="1">
        <v>344</v>
      </c>
      <c r="C16" s="1" t="s">
        <v>393</v>
      </c>
      <c r="D16" s="1" t="s">
        <v>103</v>
      </c>
      <c r="E16" s="1" t="s">
        <v>120</v>
      </c>
      <c r="F16" s="1" t="s">
        <v>332</v>
      </c>
      <c r="G16" s="1" t="s">
        <v>106</v>
      </c>
      <c r="H16" s="1"/>
      <c r="I16" s="1"/>
      <c r="J16" s="1">
        <v>22.619</v>
      </c>
      <c r="K16" s="1">
        <v>17.882999999999999</v>
      </c>
      <c r="L16" s="14"/>
      <c r="M16" s="105"/>
      <c r="N16" s="105"/>
      <c r="O16" s="105"/>
      <c r="P16" s="90"/>
      <c r="Q16" s="1" t="s">
        <v>120</v>
      </c>
      <c r="R16" s="1" t="s">
        <v>105</v>
      </c>
      <c r="S16" s="1" t="s">
        <v>106</v>
      </c>
      <c r="T16" s="1" t="s">
        <v>107</v>
      </c>
      <c r="U16" s="1" t="s">
        <v>108</v>
      </c>
      <c r="V16" s="1">
        <v>23.762</v>
      </c>
      <c r="W16" s="97"/>
      <c r="X16" s="129"/>
      <c r="Y16" s="97"/>
      <c r="Z16" s="97"/>
      <c r="AA16" s="85"/>
      <c r="AB16" s="148"/>
      <c r="AC16" s="1"/>
      <c r="AD16" s="143"/>
      <c r="AE16" s="142"/>
    </row>
    <row r="17" spans="1:31" ht="15.75" thickBot="1" x14ac:dyDescent="0.3">
      <c r="A17" s="107"/>
      <c r="B17" s="83">
        <v>368</v>
      </c>
      <c r="C17" s="83" t="s">
        <v>405</v>
      </c>
      <c r="D17" s="83" t="s">
        <v>103</v>
      </c>
      <c r="E17" s="83" t="s">
        <v>120</v>
      </c>
      <c r="F17" s="83" t="s">
        <v>332</v>
      </c>
      <c r="G17" s="83" t="s">
        <v>106</v>
      </c>
      <c r="H17" s="83">
        <f t="shared" ref="H17" si="28">_xlfn.STDEV.S(K14:K17)</f>
        <v>0.16015487296155917</v>
      </c>
      <c r="I17" s="83">
        <f t="shared" ref="I17" si="29">_xlfn.STDEV.S(J14:J17)</f>
        <v>6.6387749874004212E-2</v>
      </c>
      <c r="J17" s="83">
        <v>22.582000000000001</v>
      </c>
      <c r="K17" s="83">
        <v>17.716999999999999</v>
      </c>
      <c r="L17" s="17"/>
      <c r="M17" s="108"/>
      <c r="N17" s="108"/>
      <c r="O17" s="108"/>
      <c r="P17" s="109"/>
      <c r="Q17" s="1" t="s">
        <v>120</v>
      </c>
      <c r="R17" s="1" t="s">
        <v>105</v>
      </c>
      <c r="S17" s="1" t="s">
        <v>106</v>
      </c>
      <c r="T17" s="1" t="s">
        <v>107</v>
      </c>
      <c r="U17" s="1" t="s">
        <v>108</v>
      </c>
      <c r="V17" s="1">
        <v>23.611000000000001</v>
      </c>
      <c r="W17" s="98"/>
      <c r="X17" s="130"/>
      <c r="Y17" s="98"/>
      <c r="Z17" s="98"/>
      <c r="AA17" s="86"/>
      <c r="AB17" s="149"/>
      <c r="AC17" s="1"/>
      <c r="AD17" s="143"/>
      <c r="AE17" s="142"/>
    </row>
    <row r="18" spans="1:31" x14ac:dyDescent="0.25">
      <c r="A18" s="100"/>
      <c r="B18" s="9">
        <v>345</v>
      </c>
      <c r="C18" s="9" t="s">
        <v>394</v>
      </c>
      <c r="D18" s="9" t="s">
        <v>103</v>
      </c>
      <c r="E18" s="9" t="s">
        <v>123</v>
      </c>
      <c r="F18" s="9" t="s">
        <v>332</v>
      </c>
      <c r="G18" s="9" t="s">
        <v>106</v>
      </c>
      <c r="H18" s="9"/>
      <c r="I18" s="9"/>
      <c r="J18" s="9">
        <v>23.177</v>
      </c>
      <c r="K18" s="9">
        <v>18.623999999999999</v>
      </c>
      <c r="L18" s="11"/>
      <c r="M18" s="104">
        <f t="shared" ref="M18:N18" si="30">AVERAGE(J18:J21)</f>
        <v>23.083500000000001</v>
      </c>
      <c r="N18" s="104">
        <f t="shared" si="30"/>
        <v>18.561250000000001</v>
      </c>
      <c r="O18" s="104"/>
      <c r="P18" s="89">
        <f t="shared" ref="P18" si="31">GEOMEAN(M18,N18)</f>
        <v>20.699241879233163</v>
      </c>
      <c r="Q18" s="1" t="s">
        <v>123</v>
      </c>
      <c r="R18" s="1" t="s">
        <v>105</v>
      </c>
      <c r="S18" s="1" t="s">
        <v>106</v>
      </c>
      <c r="T18" s="1" t="s">
        <v>107</v>
      </c>
      <c r="U18" s="1" t="s">
        <v>108</v>
      </c>
      <c r="V18" s="1">
        <v>24.247</v>
      </c>
      <c r="W18" s="96">
        <f t="shared" ref="W18" si="32">_xlfn.STDEV.S(V18:V21)</f>
        <v>0.11050301655007672</v>
      </c>
      <c r="X18" s="128">
        <f t="shared" ref="X18" si="33">AVERAGE(V18:V21)</f>
        <v>24.290749999999999</v>
      </c>
      <c r="Y18" s="96">
        <f t="shared" ref="Y18" si="34">X18-P18</f>
        <v>3.5915081207668358</v>
      </c>
      <c r="Z18" s="96">
        <f t="shared" ref="Z18" si="35">Y18-$AE$2</f>
        <v>2.1826103115227191</v>
      </c>
      <c r="AA18" s="84">
        <f t="shared" ref="AA18" si="36">2^-Z18</f>
        <v>0.22027683479625151</v>
      </c>
      <c r="AB18" s="144"/>
      <c r="AC18" s="1">
        <f t="shared" ref="AC18" si="37">LOG(AA18,2)</f>
        <v>-2.1826103115227191</v>
      </c>
      <c r="AD18" s="143"/>
      <c r="AE18" s="142"/>
    </row>
    <row r="19" spans="1:31" x14ac:dyDescent="0.25">
      <c r="A19" s="101"/>
      <c r="B19" s="1">
        <v>369</v>
      </c>
      <c r="C19" s="1" t="s">
        <v>406</v>
      </c>
      <c r="D19" s="1" t="s">
        <v>103</v>
      </c>
      <c r="E19" s="1" t="s">
        <v>123</v>
      </c>
      <c r="F19" s="1" t="s">
        <v>332</v>
      </c>
      <c r="G19" s="1" t="s">
        <v>106</v>
      </c>
      <c r="H19" s="1"/>
      <c r="I19" s="1"/>
      <c r="J19" s="1">
        <v>23.096</v>
      </c>
      <c r="K19" s="1">
        <v>18.565999999999999</v>
      </c>
      <c r="L19" s="14"/>
      <c r="M19" s="105"/>
      <c r="N19" s="105"/>
      <c r="O19" s="105"/>
      <c r="P19" s="90"/>
      <c r="Q19" s="1" t="s">
        <v>123</v>
      </c>
      <c r="R19" s="1" t="s">
        <v>105</v>
      </c>
      <c r="S19" s="1" t="s">
        <v>106</v>
      </c>
      <c r="T19" s="1" t="s">
        <v>107</v>
      </c>
      <c r="U19" s="1" t="s">
        <v>108</v>
      </c>
      <c r="V19" s="1">
        <v>24.454999999999998</v>
      </c>
      <c r="W19" s="97"/>
      <c r="X19" s="129"/>
      <c r="Y19" s="97"/>
      <c r="Z19" s="97"/>
      <c r="AA19" s="85"/>
      <c r="AB19" s="145"/>
      <c r="AC19" s="1"/>
      <c r="AD19" s="143"/>
      <c r="AE19" s="142"/>
    </row>
    <row r="20" spans="1:31" x14ac:dyDescent="0.25">
      <c r="A20" s="101"/>
      <c r="B20" s="1">
        <v>346</v>
      </c>
      <c r="C20" s="1" t="s">
        <v>395</v>
      </c>
      <c r="D20" s="1" t="s">
        <v>103</v>
      </c>
      <c r="E20" s="1" t="s">
        <v>123</v>
      </c>
      <c r="F20" s="1" t="s">
        <v>332</v>
      </c>
      <c r="G20" s="1" t="s">
        <v>106</v>
      </c>
      <c r="H20" s="1"/>
      <c r="I20" s="1"/>
      <c r="J20" s="1">
        <v>22.966999999999999</v>
      </c>
      <c r="K20" s="1">
        <v>18.457000000000001</v>
      </c>
      <c r="L20" s="14"/>
      <c r="M20" s="105"/>
      <c r="N20" s="105"/>
      <c r="O20" s="105"/>
      <c r="P20" s="90"/>
      <c r="Q20" s="1" t="s">
        <v>123</v>
      </c>
      <c r="R20" s="1" t="s">
        <v>105</v>
      </c>
      <c r="S20" s="1" t="s">
        <v>106</v>
      </c>
      <c r="T20" s="1" t="s">
        <v>107</v>
      </c>
      <c r="U20" s="1" t="s">
        <v>108</v>
      </c>
      <c r="V20" s="1">
        <v>24.245999999999999</v>
      </c>
      <c r="W20" s="97"/>
      <c r="X20" s="129"/>
      <c r="Y20" s="97"/>
      <c r="Z20" s="97"/>
      <c r="AA20" s="85"/>
      <c r="AB20" s="145"/>
      <c r="AC20" s="1"/>
      <c r="AD20" s="143"/>
      <c r="AE20" s="142"/>
    </row>
    <row r="21" spans="1:31" ht="15.75" thickBot="1" x14ac:dyDescent="0.3">
      <c r="A21" s="107"/>
      <c r="B21" s="83">
        <v>370</v>
      </c>
      <c r="C21" s="83" t="s">
        <v>407</v>
      </c>
      <c r="D21" s="83" t="s">
        <v>103</v>
      </c>
      <c r="E21" s="83" t="s">
        <v>123</v>
      </c>
      <c r="F21" s="83" t="s">
        <v>332</v>
      </c>
      <c r="G21" s="83" t="s">
        <v>106</v>
      </c>
      <c r="H21" s="83">
        <f t="shared" ref="H21" si="38">_xlfn.STDEV.S(K18:K21)</f>
        <v>7.3436480489376232E-2</v>
      </c>
      <c r="I21" s="83">
        <f t="shared" ref="I21" si="39">_xlfn.STDEV.S(J18:J21)</f>
        <v>8.675828490697636E-2</v>
      </c>
      <c r="J21" s="83">
        <v>23.094000000000001</v>
      </c>
      <c r="K21" s="83">
        <v>18.597999999999999</v>
      </c>
      <c r="L21" s="17"/>
      <c r="M21" s="108"/>
      <c r="N21" s="108"/>
      <c r="O21" s="108"/>
      <c r="P21" s="109"/>
      <c r="Q21" s="1" t="s">
        <v>123</v>
      </c>
      <c r="R21" s="1" t="s">
        <v>105</v>
      </c>
      <c r="S21" s="1" t="s">
        <v>106</v>
      </c>
      <c r="T21" s="1" t="s">
        <v>107</v>
      </c>
      <c r="U21" s="1" t="s">
        <v>108</v>
      </c>
      <c r="V21" s="1">
        <v>24.215</v>
      </c>
      <c r="W21" s="98"/>
      <c r="X21" s="130"/>
      <c r="Y21" s="98"/>
      <c r="Z21" s="98"/>
      <c r="AA21" s="86"/>
      <c r="AB21" s="146"/>
      <c r="AC21" s="1"/>
      <c r="AD21" s="143"/>
      <c r="AE21" s="142"/>
    </row>
    <row r="22" spans="1:31" x14ac:dyDescent="0.25">
      <c r="A22" s="100"/>
      <c r="B22" s="9">
        <v>347</v>
      </c>
      <c r="C22" s="9" t="s">
        <v>396</v>
      </c>
      <c r="D22" s="9" t="s">
        <v>103</v>
      </c>
      <c r="E22" s="9" t="s">
        <v>126</v>
      </c>
      <c r="F22" s="9" t="s">
        <v>332</v>
      </c>
      <c r="G22" s="9" t="s">
        <v>106</v>
      </c>
      <c r="H22" s="9"/>
      <c r="I22" s="9"/>
      <c r="J22" s="9">
        <v>22.98</v>
      </c>
      <c r="K22" s="9">
        <v>18.567</v>
      </c>
      <c r="L22" s="11"/>
      <c r="M22" s="104">
        <f t="shared" ref="M22:N22" si="40">AVERAGE(J22:J25)</f>
        <v>22.962500000000002</v>
      </c>
      <c r="N22" s="104">
        <f t="shared" si="40"/>
        <v>18.500999999999998</v>
      </c>
      <c r="O22" s="104"/>
      <c r="P22" s="89">
        <f t="shared" ref="P22" si="41">GEOMEAN(M22,N22)</f>
        <v>20.61138550655923</v>
      </c>
      <c r="Q22" s="1" t="s">
        <v>126</v>
      </c>
      <c r="R22" s="1" t="s">
        <v>105</v>
      </c>
      <c r="S22" s="1" t="s">
        <v>106</v>
      </c>
      <c r="T22" s="1" t="s">
        <v>107</v>
      </c>
      <c r="U22" s="1" t="s">
        <v>108</v>
      </c>
      <c r="V22" s="1">
        <v>24.271000000000001</v>
      </c>
      <c r="W22" s="96">
        <f t="shared" ref="W22" si="42">_xlfn.STDEV.S(V22:V25)</f>
        <v>2.6373913879691228E-2</v>
      </c>
      <c r="X22" s="128">
        <f t="shared" ref="X22" si="43">AVERAGE(V22:V25)</f>
        <v>24.236749999999997</v>
      </c>
      <c r="Y22" s="96">
        <f t="shared" ref="Y22" si="44">X22-P22</f>
        <v>3.6253644934407667</v>
      </c>
      <c r="Z22" s="96">
        <f t="shared" ref="Z22" si="45">Y22-$AE$2</f>
        <v>2.21646668419665</v>
      </c>
      <c r="AA22" s="84">
        <f t="shared" ref="AA22" si="46">2^-Z22</f>
        <v>0.21516768320410126</v>
      </c>
      <c r="AB22" s="144"/>
      <c r="AC22" s="1">
        <f t="shared" ref="AC22" si="47">LOG(AA22,2)</f>
        <v>-2.21646668419665</v>
      </c>
      <c r="AD22" s="143"/>
      <c r="AE22" s="142"/>
    </row>
    <row r="23" spans="1:31" x14ac:dyDescent="0.25">
      <c r="A23" s="101"/>
      <c r="B23" s="1">
        <v>371</v>
      </c>
      <c r="C23" s="1" t="s">
        <v>408</v>
      </c>
      <c r="D23" s="1" t="s">
        <v>103</v>
      </c>
      <c r="E23" s="1" t="s">
        <v>126</v>
      </c>
      <c r="F23" s="1" t="s">
        <v>332</v>
      </c>
      <c r="G23" s="1" t="s">
        <v>106</v>
      </c>
      <c r="H23" s="1"/>
      <c r="I23" s="1"/>
      <c r="J23" s="1">
        <v>22.972000000000001</v>
      </c>
      <c r="K23" s="1">
        <v>18.613</v>
      </c>
      <c r="L23" s="14"/>
      <c r="M23" s="105"/>
      <c r="N23" s="105"/>
      <c r="O23" s="105"/>
      <c r="P23" s="90"/>
      <c r="Q23" s="1" t="s">
        <v>126</v>
      </c>
      <c r="R23" s="1" t="s">
        <v>105</v>
      </c>
      <c r="S23" s="1" t="s">
        <v>106</v>
      </c>
      <c r="T23" s="1" t="s">
        <v>107</v>
      </c>
      <c r="U23" s="1" t="s">
        <v>108</v>
      </c>
      <c r="V23" s="1">
        <v>24.207999999999998</v>
      </c>
      <c r="W23" s="97"/>
      <c r="X23" s="129"/>
      <c r="Y23" s="97"/>
      <c r="Z23" s="97"/>
      <c r="AA23" s="85"/>
      <c r="AB23" s="145"/>
      <c r="AC23" s="1"/>
      <c r="AD23" s="143"/>
      <c r="AE23" s="142"/>
    </row>
    <row r="24" spans="1:31" x14ac:dyDescent="0.25">
      <c r="A24" s="101"/>
      <c r="B24" s="1">
        <v>348</v>
      </c>
      <c r="C24" s="1" t="s">
        <v>397</v>
      </c>
      <c r="D24" s="1" t="s">
        <v>103</v>
      </c>
      <c r="E24" s="1" t="s">
        <v>126</v>
      </c>
      <c r="F24" s="1" t="s">
        <v>332</v>
      </c>
      <c r="G24" s="1" t="s">
        <v>106</v>
      </c>
      <c r="H24" s="1"/>
      <c r="I24" s="1"/>
      <c r="J24" s="1">
        <v>22.96</v>
      </c>
      <c r="K24" s="1">
        <v>18.332999999999998</v>
      </c>
      <c r="L24" s="14"/>
      <c r="M24" s="105"/>
      <c r="N24" s="105"/>
      <c r="O24" s="105"/>
      <c r="P24" s="90"/>
      <c r="Q24" s="1" t="s">
        <v>126</v>
      </c>
      <c r="R24" s="1" t="s">
        <v>105</v>
      </c>
      <c r="S24" s="1" t="s">
        <v>106</v>
      </c>
      <c r="T24" s="1" t="s">
        <v>107</v>
      </c>
      <c r="U24" s="1" t="s">
        <v>108</v>
      </c>
      <c r="V24" s="1">
        <v>24.228000000000002</v>
      </c>
      <c r="W24" s="97"/>
      <c r="X24" s="129"/>
      <c r="Y24" s="97"/>
      <c r="Z24" s="97"/>
      <c r="AA24" s="85"/>
      <c r="AB24" s="145"/>
      <c r="AC24" s="1"/>
      <c r="AD24" s="143"/>
      <c r="AE24" s="142"/>
    </row>
    <row r="25" spans="1:31" ht="15.75" thickBot="1" x14ac:dyDescent="0.3">
      <c r="A25" s="107"/>
      <c r="B25" s="83">
        <v>372</v>
      </c>
      <c r="C25" s="83" t="s">
        <v>409</v>
      </c>
      <c r="D25" s="83" t="s">
        <v>103</v>
      </c>
      <c r="E25" s="83" t="s">
        <v>126</v>
      </c>
      <c r="F25" s="83" t="s">
        <v>332</v>
      </c>
      <c r="G25" s="83" t="s">
        <v>106</v>
      </c>
      <c r="H25" s="83">
        <f t="shared" ref="H25" si="48">_xlfn.STDEV.S(K22:K25)</f>
        <v>0.12277893413231286</v>
      </c>
      <c r="I25" s="83">
        <f t="shared" ref="I25" si="49">_xlfn.STDEV.S(J22:J25)</f>
        <v>1.8284784202537482E-2</v>
      </c>
      <c r="J25" s="83">
        <v>22.937999999999999</v>
      </c>
      <c r="K25" s="83">
        <v>18.491</v>
      </c>
      <c r="L25" s="17"/>
      <c r="M25" s="108"/>
      <c r="N25" s="108"/>
      <c r="O25" s="108"/>
      <c r="P25" s="109"/>
      <c r="Q25" s="1" t="s">
        <v>126</v>
      </c>
      <c r="R25" s="1" t="s">
        <v>105</v>
      </c>
      <c r="S25" s="1" t="s">
        <v>106</v>
      </c>
      <c r="T25" s="1" t="s">
        <v>107</v>
      </c>
      <c r="U25" s="1" t="s">
        <v>108</v>
      </c>
      <c r="V25" s="1">
        <v>24.24</v>
      </c>
      <c r="W25" s="98"/>
      <c r="X25" s="130"/>
      <c r="Y25" s="98"/>
      <c r="Z25" s="98"/>
      <c r="AA25" s="86"/>
      <c r="AB25" s="146"/>
      <c r="AC25" s="1"/>
      <c r="AD25" s="143"/>
      <c r="AE25" s="142"/>
    </row>
    <row r="26" spans="1:31" x14ac:dyDescent="0.25">
      <c r="A26" s="100"/>
      <c r="B26" s="9">
        <v>337</v>
      </c>
      <c r="C26" s="9" t="s">
        <v>386</v>
      </c>
      <c r="D26" s="9" t="s">
        <v>103</v>
      </c>
      <c r="E26" s="9" t="s">
        <v>416</v>
      </c>
      <c r="F26" s="9" t="s">
        <v>332</v>
      </c>
      <c r="G26" s="9" t="s">
        <v>106</v>
      </c>
      <c r="H26" s="9"/>
      <c r="I26" s="9"/>
      <c r="J26" s="9">
        <v>22.983000000000001</v>
      </c>
      <c r="K26" s="9">
        <v>18.667000000000002</v>
      </c>
      <c r="L26" s="11"/>
      <c r="M26" s="104">
        <f t="shared" ref="M26:N26" si="50">AVERAGE(J26:J29)</f>
        <v>23.02</v>
      </c>
      <c r="N26" s="104">
        <f t="shared" si="50"/>
        <v>18.7575</v>
      </c>
      <c r="O26" s="104"/>
      <c r="P26" s="89">
        <f t="shared" ref="P26" si="51">GEOMEAN(M26,N26)</f>
        <v>20.779741336214943</v>
      </c>
      <c r="Q26" s="1" t="s">
        <v>416</v>
      </c>
      <c r="R26" s="1" t="s">
        <v>105</v>
      </c>
      <c r="S26" s="1" t="s">
        <v>106</v>
      </c>
      <c r="T26" s="1" t="s">
        <v>107</v>
      </c>
      <c r="U26" s="1" t="s">
        <v>108</v>
      </c>
      <c r="V26" s="1">
        <v>22.887</v>
      </c>
      <c r="W26" s="96">
        <f t="shared" ref="W26" si="52">_xlfn.STDEV.S(V26:V29)</f>
        <v>0.11558943146614518</v>
      </c>
      <c r="X26" s="128">
        <f t="shared" ref="X26" si="53">AVERAGE(V26:V29)</f>
        <v>23.013749999999998</v>
      </c>
      <c r="Y26" s="96">
        <f t="shared" ref="Y26" si="54">X26-P26</f>
        <v>2.2340086637850547</v>
      </c>
      <c r="Z26" s="96">
        <f>Y26-$AE$4</f>
        <v>-5.7577308350950318E-2</v>
      </c>
      <c r="AA26" s="84">
        <f t="shared" ref="AA26" si="55">2^-Z26</f>
        <v>1.0407166360201214</v>
      </c>
      <c r="AB26" s="139"/>
      <c r="AC26" s="1">
        <f t="shared" ref="AC26" si="56">LOG(AA26,2)</f>
        <v>5.7577308350950401E-2</v>
      </c>
      <c r="AD26" s="143"/>
      <c r="AE26" s="142"/>
    </row>
    <row r="27" spans="1:31" x14ac:dyDescent="0.25">
      <c r="A27" s="101"/>
      <c r="B27" s="1">
        <v>361</v>
      </c>
      <c r="C27" s="1" t="s">
        <v>398</v>
      </c>
      <c r="D27" s="1" t="s">
        <v>103</v>
      </c>
      <c r="E27" s="1" t="s">
        <v>416</v>
      </c>
      <c r="F27" s="1" t="s">
        <v>332</v>
      </c>
      <c r="G27" s="1" t="s">
        <v>106</v>
      </c>
      <c r="H27" s="1"/>
      <c r="I27" s="1"/>
      <c r="J27" s="1">
        <v>22.923999999999999</v>
      </c>
      <c r="K27" s="1">
        <v>18.940000000000001</v>
      </c>
      <c r="L27" s="14"/>
      <c r="M27" s="105"/>
      <c r="N27" s="105"/>
      <c r="O27" s="105"/>
      <c r="P27" s="90"/>
      <c r="Q27" s="1" t="s">
        <v>416</v>
      </c>
      <c r="R27" s="1" t="s">
        <v>105</v>
      </c>
      <c r="S27" s="1" t="s">
        <v>106</v>
      </c>
      <c r="T27" s="1" t="s">
        <v>107</v>
      </c>
      <c r="U27" s="1" t="s">
        <v>108</v>
      </c>
      <c r="V27" s="1">
        <v>23.016999999999999</v>
      </c>
      <c r="W27" s="97"/>
      <c r="X27" s="129"/>
      <c r="Y27" s="97"/>
      <c r="Z27" s="97"/>
      <c r="AA27" s="85"/>
      <c r="AB27" s="140"/>
      <c r="AC27" s="1"/>
      <c r="AD27" s="143"/>
      <c r="AE27" s="142"/>
    </row>
    <row r="28" spans="1:31" x14ac:dyDescent="0.25">
      <c r="A28" s="101"/>
      <c r="B28" s="1">
        <v>338</v>
      </c>
      <c r="C28" s="1" t="s">
        <v>387</v>
      </c>
      <c r="D28" s="1" t="s">
        <v>103</v>
      </c>
      <c r="E28" s="1" t="s">
        <v>416</v>
      </c>
      <c r="F28" s="1" t="s">
        <v>332</v>
      </c>
      <c r="G28" s="1" t="s">
        <v>106</v>
      </c>
      <c r="H28" s="1"/>
      <c r="I28" s="1"/>
      <c r="J28" s="1">
        <v>23.096</v>
      </c>
      <c r="K28" s="1">
        <v>18.649000000000001</v>
      </c>
      <c r="L28" s="14"/>
      <c r="M28" s="105"/>
      <c r="N28" s="105"/>
      <c r="O28" s="105"/>
      <c r="P28" s="90"/>
      <c r="Q28" s="1" t="s">
        <v>416</v>
      </c>
      <c r="R28" s="1" t="s">
        <v>105</v>
      </c>
      <c r="S28" s="1" t="s">
        <v>106</v>
      </c>
      <c r="T28" s="1" t="s">
        <v>107</v>
      </c>
      <c r="U28" s="1" t="s">
        <v>108</v>
      </c>
      <c r="V28" s="1">
        <v>22.984999999999999</v>
      </c>
      <c r="W28" s="97"/>
      <c r="X28" s="129"/>
      <c r="Y28" s="97"/>
      <c r="Z28" s="97"/>
      <c r="AA28" s="85"/>
      <c r="AB28" s="140"/>
      <c r="AC28" s="1"/>
      <c r="AD28" s="143"/>
      <c r="AE28" s="142"/>
    </row>
    <row r="29" spans="1:31" ht="15.75" thickBot="1" x14ac:dyDescent="0.3">
      <c r="A29" s="107"/>
      <c r="B29" s="83">
        <v>362</v>
      </c>
      <c r="C29" s="83" t="s">
        <v>399</v>
      </c>
      <c r="D29" s="83" t="s">
        <v>103</v>
      </c>
      <c r="E29" s="83" t="s">
        <v>416</v>
      </c>
      <c r="F29" s="83" t="s">
        <v>332</v>
      </c>
      <c r="G29" s="83" t="s">
        <v>106</v>
      </c>
      <c r="H29" s="83">
        <f t="shared" ref="H29" si="57">_xlfn.STDEV.S(K26:K29)</f>
        <v>0.13359266446927393</v>
      </c>
      <c r="I29" s="83">
        <f t="shared" ref="I29" si="58">_xlfn.STDEV.S(J26:J29)</f>
        <v>8.0849654709632221E-2</v>
      </c>
      <c r="J29" s="83">
        <v>23.077000000000002</v>
      </c>
      <c r="K29" s="83">
        <v>18.774000000000001</v>
      </c>
      <c r="L29" s="17"/>
      <c r="M29" s="108"/>
      <c r="N29" s="108"/>
      <c r="O29" s="108"/>
      <c r="P29" s="109"/>
      <c r="Q29" s="1" t="s">
        <v>416</v>
      </c>
      <c r="R29" s="1" t="s">
        <v>105</v>
      </c>
      <c r="S29" s="1" t="s">
        <v>106</v>
      </c>
      <c r="T29" s="1" t="s">
        <v>107</v>
      </c>
      <c r="U29" s="1" t="s">
        <v>108</v>
      </c>
      <c r="V29" s="1">
        <v>23.166</v>
      </c>
      <c r="W29" s="98"/>
      <c r="X29" s="130"/>
      <c r="Y29" s="98"/>
      <c r="Z29" s="98"/>
      <c r="AA29" s="86"/>
      <c r="AB29" s="141"/>
      <c r="AC29" s="1"/>
      <c r="AD29" s="143"/>
      <c r="AE29" s="142"/>
    </row>
    <row r="30" spans="1:31" x14ac:dyDescent="0.25">
      <c r="A30" s="100"/>
      <c r="B30" s="9">
        <v>339</v>
      </c>
      <c r="C30" s="9" t="s">
        <v>388</v>
      </c>
      <c r="D30" s="9" t="s">
        <v>103</v>
      </c>
      <c r="E30" s="9" t="s">
        <v>417</v>
      </c>
      <c r="F30" s="9" t="s">
        <v>332</v>
      </c>
      <c r="G30" s="9" t="s">
        <v>106</v>
      </c>
      <c r="H30" s="9"/>
      <c r="I30" s="9"/>
      <c r="J30" s="9">
        <v>22.806000000000001</v>
      </c>
      <c r="K30" s="9">
        <v>18.515000000000001</v>
      </c>
      <c r="L30" s="11"/>
      <c r="M30" s="104">
        <f t="shared" ref="M30:N30" si="59">AVERAGE(J30:J33)</f>
        <v>22.781750000000002</v>
      </c>
      <c r="N30" s="104">
        <f t="shared" si="59"/>
        <v>18.29025</v>
      </c>
      <c r="O30" s="104"/>
      <c r="P30" s="89">
        <f t="shared" ref="P30" si="60">GEOMEAN(M30,N30)</f>
        <v>20.412836719513045</v>
      </c>
      <c r="Q30" s="1" t="s">
        <v>417</v>
      </c>
      <c r="R30" s="1" t="s">
        <v>105</v>
      </c>
      <c r="S30" s="1" t="s">
        <v>106</v>
      </c>
      <c r="T30" s="1" t="s">
        <v>107</v>
      </c>
      <c r="U30" s="1" t="s">
        <v>108</v>
      </c>
      <c r="V30" s="1">
        <v>22.760999999999999</v>
      </c>
      <c r="W30" s="96">
        <f t="shared" ref="W30" si="61">_xlfn.STDEV.S(V30:V33)</f>
        <v>7.0978870095261937E-2</v>
      </c>
      <c r="X30" s="128">
        <f t="shared" ref="X30" si="62">AVERAGE(V30:V33)</f>
        <v>22.762</v>
      </c>
      <c r="Y30" s="96">
        <f t="shared" ref="Y30" si="63">X30-P30</f>
        <v>2.3491632804869553</v>
      </c>
      <c r="Z30" s="96">
        <f t="shared" ref="Z30" si="64">Y30-$AE$4</f>
        <v>5.7577308350950318E-2</v>
      </c>
      <c r="AA30" s="84">
        <f t="shared" ref="AA30" si="65">2^-Z30</f>
        <v>0.96087634749855755</v>
      </c>
      <c r="AB30" s="139"/>
      <c r="AC30" s="1">
        <f t="shared" ref="AC30" si="66">LOG(AA30,2)</f>
        <v>-5.7577308350950353E-2</v>
      </c>
      <c r="AD30" s="1"/>
      <c r="AE30" s="1"/>
    </row>
    <row r="31" spans="1:31" x14ac:dyDescent="0.25">
      <c r="A31" s="101"/>
      <c r="B31" s="1">
        <v>363</v>
      </c>
      <c r="C31" s="1" t="s">
        <v>400</v>
      </c>
      <c r="D31" s="1" t="s">
        <v>103</v>
      </c>
      <c r="E31" s="1" t="s">
        <v>417</v>
      </c>
      <c r="F31" s="1" t="s">
        <v>332</v>
      </c>
      <c r="G31" s="1" t="s">
        <v>106</v>
      </c>
      <c r="H31" s="1"/>
      <c r="I31" s="1"/>
      <c r="J31" s="1">
        <v>22.748999999999999</v>
      </c>
      <c r="K31" s="1">
        <v>18.596</v>
      </c>
      <c r="L31" s="14"/>
      <c r="M31" s="105"/>
      <c r="N31" s="105"/>
      <c r="O31" s="105"/>
      <c r="P31" s="90"/>
      <c r="Q31" s="1" t="s">
        <v>417</v>
      </c>
      <c r="R31" s="1" t="s">
        <v>105</v>
      </c>
      <c r="S31" s="1" t="s">
        <v>106</v>
      </c>
      <c r="T31" s="1" t="s">
        <v>107</v>
      </c>
      <c r="U31" s="1" t="s">
        <v>108</v>
      </c>
      <c r="V31" s="1">
        <v>22.815000000000001</v>
      </c>
      <c r="W31" s="97"/>
      <c r="X31" s="129"/>
      <c r="Y31" s="97"/>
      <c r="Z31" s="97"/>
      <c r="AA31" s="85"/>
      <c r="AB31" s="140"/>
      <c r="AC31" s="1"/>
      <c r="AD31" s="1"/>
      <c r="AE31" s="1"/>
    </row>
    <row r="32" spans="1:31" x14ac:dyDescent="0.25">
      <c r="A32" s="101"/>
      <c r="B32" s="1">
        <v>340</v>
      </c>
      <c r="C32" s="1" t="s">
        <v>389</v>
      </c>
      <c r="D32" s="1" t="s">
        <v>103</v>
      </c>
      <c r="E32" s="1" t="s">
        <v>417</v>
      </c>
      <c r="F32" s="1" t="s">
        <v>332</v>
      </c>
      <c r="G32" s="1" t="s">
        <v>106</v>
      </c>
      <c r="H32" s="1"/>
      <c r="I32" s="1"/>
      <c r="J32" s="1">
        <v>22.742999999999999</v>
      </c>
      <c r="K32" s="1">
        <v>18.411999999999999</v>
      </c>
      <c r="L32" s="14"/>
      <c r="M32" s="105"/>
      <c r="N32" s="105"/>
      <c r="O32" s="105"/>
      <c r="P32" s="90"/>
      <c r="Q32" s="1" t="s">
        <v>417</v>
      </c>
      <c r="R32" s="1" t="s">
        <v>105</v>
      </c>
      <c r="S32" s="1" t="s">
        <v>106</v>
      </c>
      <c r="T32" s="1" t="s">
        <v>107</v>
      </c>
      <c r="U32" s="1" t="s">
        <v>108</v>
      </c>
      <c r="V32" s="1">
        <v>22.661999999999999</v>
      </c>
      <c r="W32" s="97"/>
      <c r="X32" s="129"/>
      <c r="Y32" s="97"/>
      <c r="Z32" s="97"/>
      <c r="AA32" s="85"/>
      <c r="AB32" s="140"/>
      <c r="AC32" s="1"/>
      <c r="AD32" s="1"/>
      <c r="AE32" s="1"/>
    </row>
    <row r="33" spans="1:31" ht="15.75" thickBot="1" x14ac:dyDescent="0.3">
      <c r="A33" s="107"/>
      <c r="B33" s="83">
        <v>364</v>
      </c>
      <c r="C33" s="83" t="s">
        <v>401</v>
      </c>
      <c r="D33" s="83" t="s">
        <v>103</v>
      </c>
      <c r="E33" s="83" t="s">
        <v>417</v>
      </c>
      <c r="F33" s="83" t="s">
        <v>332</v>
      </c>
      <c r="G33" s="83" t="s">
        <v>106</v>
      </c>
      <c r="H33" s="83">
        <f t="shared" ref="H33" si="67">_xlfn.STDEV.S(K30:K33)</f>
        <v>0.44130441118725816</v>
      </c>
      <c r="I33" s="83">
        <f t="shared" ref="I33" si="68">_xlfn.STDEV.S(J30:J33)</f>
        <v>4.2405777908206085E-2</v>
      </c>
      <c r="J33" s="83">
        <v>22.829000000000001</v>
      </c>
      <c r="K33" s="83">
        <v>17.638000000000002</v>
      </c>
      <c r="L33" s="17"/>
      <c r="M33" s="108"/>
      <c r="N33" s="108"/>
      <c r="O33" s="108"/>
      <c r="P33" s="109"/>
      <c r="Q33" s="1" t="s">
        <v>417</v>
      </c>
      <c r="R33" s="1" t="s">
        <v>105</v>
      </c>
      <c r="S33" s="1" t="s">
        <v>106</v>
      </c>
      <c r="T33" s="1" t="s">
        <v>107</v>
      </c>
      <c r="U33" s="1" t="s">
        <v>108</v>
      </c>
      <c r="V33" s="1">
        <v>22.81</v>
      </c>
      <c r="W33" s="98"/>
      <c r="X33" s="130"/>
      <c r="Y33" s="98"/>
      <c r="Z33" s="98"/>
      <c r="AA33" s="86"/>
      <c r="AB33" s="141"/>
      <c r="AC33" s="1"/>
      <c r="AD33" s="1"/>
      <c r="AE33" s="1"/>
    </row>
    <row r="34" spans="1:31" x14ac:dyDescent="0.25">
      <c r="A34" s="100"/>
      <c r="B34" s="9">
        <v>341</v>
      </c>
      <c r="C34" s="9" t="s">
        <v>390</v>
      </c>
      <c r="D34" s="9" t="s">
        <v>103</v>
      </c>
      <c r="E34" s="9" t="s">
        <v>418</v>
      </c>
      <c r="F34" s="9" t="s">
        <v>332</v>
      </c>
      <c r="G34" s="9" t="s">
        <v>106</v>
      </c>
      <c r="H34" s="9"/>
      <c r="I34" s="9"/>
      <c r="J34" s="9">
        <v>22.611000000000001</v>
      </c>
      <c r="K34" s="9">
        <v>18.010000000000002</v>
      </c>
      <c r="L34" s="11"/>
      <c r="M34" s="104">
        <f t="shared" ref="M34:N34" si="69">AVERAGE(J34:J37)</f>
        <v>22.61225</v>
      </c>
      <c r="N34" s="104">
        <f t="shared" si="69"/>
        <v>18.068000000000001</v>
      </c>
      <c r="O34" s="104"/>
      <c r="P34" s="89">
        <f t="shared" ref="P34" si="70">GEOMEAN(M34,N34)</f>
        <v>20.21282100549055</v>
      </c>
      <c r="Q34" s="1" t="s">
        <v>418</v>
      </c>
      <c r="R34" s="1" t="s">
        <v>105</v>
      </c>
      <c r="S34" s="1" t="s">
        <v>106</v>
      </c>
      <c r="T34" s="1" t="s">
        <v>107</v>
      </c>
      <c r="U34" s="1" t="s">
        <v>108</v>
      </c>
      <c r="V34" s="1">
        <v>23.811</v>
      </c>
      <c r="W34" s="96">
        <f t="shared" ref="W34" si="71">_xlfn.STDEV.S(V34:V37)</f>
        <v>0.11175270317386882</v>
      </c>
      <c r="X34" s="128">
        <f t="shared" ref="X34" si="72">AVERAGE(V34:V37)</f>
        <v>23.841999999999999</v>
      </c>
      <c r="Y34" s="96">
        <f t="shared" ref="Y34" si="73">X34-P34</f>
        <v>3.6291789945094486</v>
      </c>
      <c r="Z34" s="96">
        <f t="shared" ref="Z34" si="74">Y34-$AE$4</f>
        <v>1.3375930223734436</v>
      </c>
      <c r="AA34" s="84">
        <f t="shared" ref="AA34" si="75">2^-Z34</f>
        <v>0.39568025442794946</v>
      </c>
      <c r="AB34" s="136"/>
      <c r="AC34" s="1">
        <f t="shared" ref="AC34" si="76">LOG(AA34,2)</f>
        <v>-1.3375930223734436</v>
      </c>
      <c r="AD34" s="1"/>
      <c r="AE34" s="1"/>
    </row>
    <row r="35" spans="1:31" x14ac:dyDescent="0.25">
      <c r="A35" s="101"/>
      <c r="B35" s="1">
        <v>365</v>
      </c>
      <c r="C35" s="1" t="s">
        <v>402</v>
      </c>
      <c r="D35" s="1" t="s">
        <v>103</v>
      </c>
      <c r="E35" s="1" t="s">
        <v>418</v>
      </c>
      <c r="F35" s="1" t="s">
        <v>332</v>
      </c>
      <c r="G35" s="1" t="s">
        <v>106</v>
      </c>
      <c r="H35" s="1"/>
      <c r="I35" s="1"/>
      <c r="J35" s="1">
        <v>22.594000000000001</v>
      </c>
      <c r="K35" s="1">
        <v>18.193000000000001</v>
      </c>
      <c r="L35" s="14"/>
      <c r="M35" s="105"/>
      <c r="N35" s="105"/>
      <c r="O35" s="105"/>
      <c r="P35" s="90"/>
      <c r="Q35" s="1" t="s">
        <v>418</v>
      </c>
      <c r="R35" s="1" t="s">
        <v>105</v>
      </c>
      <c r="S35" s="1" t="s">
        <v>106</v>
      </c>
      <c r="T35" s="1" t="s">
        <v>107</v>
      </c>
      <c r="U35" s="1" t="s">
        <v>108</v>
      </c>
      <c r="V35" s="1">
        <v>23.986000000000001</v>
      </c>
      <c r="W35" s="97"/>
      <c r="X35" s="129"/>
      <c r="Y35" s="97"/>
      <c r="Z35" s="97"/>
      <c r="AA35" s="85"/>
      <c r="AB35" s="137"/>
      <c r="AC35" s="1"/>
      <c r="AD35" s="1"/>
      <c r="AE35" s="1"/>
    </row>
    <row r="36" spans="1:31" x14ac:dyDescent="0.25">
      <c r="A36" s="101"/>
      <c r="B36" s="1">
        <v>342</v>
      </c>
      <c r="C36" s="1" t="s">
        <v>391</v>
      </c>
      <c r="D36" s="1" t="s">
        <v>103</v>
      </c>
      <c r="E36" s="1" t="s">
        <v>418</v>
      </c>
      <c r="F36" s="1" t="s">
        <v>332</v>
      </c>
      <c r="G36" s="1" t="s">
        <v>106</v>
      </c>
      <c r="H36" s="1"/>
      <c r="I36" s="1"/>
      <c r="J36" s="1">
        <v>22.55</v>
      </c>
      <c r="K36" s="1">
        <v>17.946000000000002</v>
      </c>
      <c r="L36" s="14"/>
      <c r="M36" s="105"/>
      <c r="N36" s="105"/>
      <c r="O36" s="105"/>
      <c r="P36" s="90"/>
      <c r="Q36" s="1" t="s">
        <v>418</v>
      </c>
      <c r="R36" s="1" t="s">
        <v>105</v>
      </c>
      <c r="S36" s="1" t="s">
        <v>106</v>
      </c>
      <c r="T36" s="1" t="s">
        <v>107</v>
      </c>
      <c r="U36" s="1" t="s">
        <v>108</v>
      </c>
      <c r="V36" s="1">
        <v>23.853999999999999</v>
      </c>
      <c r="W36" s="97"/>
      <c r="X36" s="129"/>
      <c r="Y36" s="97"/>
      <c r="Z36" s="97"/>
      <c r="AA36" s="85"/>
      <c r="AB36" s="137"/>
      <c r="AC36" s="1"/>
      <c r="AD36" s="1"/>
      <c r="AE36" s="1"/>
    </row>
    <row r="37" spans="1:31" ht="15.75" thickBot="1" x14ac:dyDescent="0.3">
      <c r="A37" s="107"/>
      <c r="B37" s="83">
        <v>366</v>
      </c>
      <c r="C37" s="83" t="s">
        <v>403</v>
      </c>
      <c r="D37" s="83" t="s">
        <v>103</v>
      </c>
      <c r="E37" s="83" t="s">
        <v>418</v>
      </c>
      <c r="F37" s="83" t="s">
        <v>332</v>
      </c>
      <c r="G37" s="83" t="s">
        <v>106</v>
      </c>
      <c r="H37" s="83">
        <f t="shared" ref="H37" si="77">_xlfn.STDEV.S(K34:K37)</f>
        <v>0.11090235945791824</v>
      </c>
      <c r="I37" s="83">
        <f t="shared" ref="I37" si="78">_xlfn.STDEV.S(J34:J37)</f>
        <v>6.0257088103115065E-2</v>
      </c>
      <c r="J37" s="83">
        <v>22.693999999999999</v>
      </c>
      <c r="K37" s="83">
        <v>18.123000000000001</v>
      </c>
      <c r="L37" s="17"/>
      <c r="M37" s="108"/>
      <c r="N37" s="108"/>
      <c r="O37" s="108"/>
      <c r="P37" s="109"/>
      <c r="Q37" s="1" t="s">
        <v>418</v>
      </c>
      <c r="R37" s="1" t="s">
        <v>105</v>
      </c>
      <c r="S37" s="1" t="s">
        <v>106</v>
      </c>
      <c r="T37" s="1" t="s">
        <v>107</v>
      </c>
      <c r="U37" s="1" t="s">
        <v>108</v>
      </c>
      <c r="V37" s="1">
        <v>23.716999999999999</v>
      </c>
      <c r="W37" s="98"/>
      <c r="X37" s="130"/>
      <c r="Y37" s="98"/>
      <c r="Z37" s="98"/>
      <c r="AA37" s="86"/>
      <c r="AB37" s="138"/>
      <c r="AC37" s="1"/>
      <c r="AD37" s="1"/>
      <c r="AE37" s="1"/>
    </row>
    <row r="38" spans="1:31" x14ac:dyDescent="0.25">
      <c r="A38" s="100"/>
      <c r="B38" s="9">
        <v>343</v>
      </c>
      <c r="C38" s="9" t="s">
        <v>392</v>
      </c>
      <c r="D38" s="9" t="s">
        <v>103</v>
      </c>
      <c r="E38" s="9" t="s">
        <v>419</v>
      </c>
      <c r="F38" s="9" t="s">
        <v>332</v>
      </c>
      <c r="G38" s="9" t="s">
        <v>106</v>
      </c>
      <c r="H38" s="9"/>
      <c r="I38" s="9"/>
      <c r="J38" s="9">
        <v>22.65</v>
      </c>
      <c r="K38" s="9">
        <v>17.954999999999998</v>
      </c>
      <c r="L38" s="11"/>
      <c r="M38" s="104">
        <f t="shared" ref="M38:N38" si="79">AVERAGE(J38:J41)</f>
        <v>22.660999999999998</v>
      </c>
      <c r="N38" s="104">
        <f t="shared" si="79"/>
        <v>17.9955</v>
      </c>
      <c r="O38" s="104"/>
      <c r="P38" s="89">
        <f t="shared" ref="P38" si="80">GEOMEAN(M38,N38)</f>
        <v>20.193960124254975</v>
      </c>
      <c r="Q38" s="1" t="s">
        <v>419</v>
      </c>
      <c r="R38" s="1" t="s">
        <v>105</v>
      </c>
      <c r="S38" s="1" t="s">
        <v>106</v>
      </c>
      <c r="T38" s="1" t="s">
        <v>107</v>
      </c>
      <c r="U38" s="1" t="s">
        <v>108</v>
      </c>
      <c r="V38" s="1">
        <v>23.966000000000001</v>
      </c>
      <c r="W38" s="96">
        <f t="shared" ref="W38" si="81">_xlfn.STDEV.S(V38:V41)</f>
        <v>0.10967983710175053</v>
      </c>
      <c r="X38" s="128">
        <f t="shared" ref="X38" si="82">AVERAGE(V38:V41)</f>
        <v>23.922500000000003</v>
      </c>
      <c r="Y38" s="96">
        <f t="shared" ref="Y38" si="83">X38-P38</f>
        <v>3.7285398757450281</v>
      </c>
      <c r="Z38" s="96">
        <f t="shared" ref="Z38" si="84">Y38-$AE$4</f>
        <v>1.4369539036090231</v>
      </c>
      <c r="AA38" s="84">
        <f t="shared" ref="AA38" si="85">2^-Z38</f>
        <v>0.36934631690677139</v>
      </c>
      <c r="AB38" s="136"/>
      <c r="AC38" s="1">
        <f t="shared" ref="AC38" si="86">LOG(AA38,2)</f>
        <v>-1.4369539036090233</v>
      </c>
      <c r="AD38" s="1"/>
      <c r="AE38" s="1"/>
    </row>
    <row r="39" spans="1:31" x14ac:dyDescent="0.25">
      <c r="A39" s="101"/>
      <c r="B39" s="1">
        <v>367</v>
      </c>
      <c r="C39" s="1" t="s">
        <v>404</v>
      </c>
      <c r="D39" s="1" t="s">
        <v>103</v>
      </c>
      <c r="E39" s="1" t="s">
        <v>419</v>
      </c>
      <c r="F39" s="1" t="s">
        <v>332</v>
      </c>
      <c r="G39" s="1" t="s">
        <v>106</v>
      </c>
      <c r="H39" s="1"/>
      <c r="I39" s="1"/>
      <c r="J39" s="1">
        <v>22.596</v>
      </c>
      <c r="K39" s="1">
        <v>18.097000000000001</v>
      </c>
      <c r="L39" s="14"/>
      <c r="M39" s="105"/>
      <c r="N39" s="105"/>
      <c r="O39" s="105"/>
      <c r="P39" s="90"/>
      <c r="Q39" s="1" t="s">
        <v>419</v>
      </c>
      <c r="R39" s="1" t="s">
        <v>105</v>
      </c>
      <c r="S39" s="1" t="s">
        <v>106</v>
      </c>
      <c r="T39" s="1" t="s">
        <v>107</v>
      </c>
      <c r="U39" s="1" t="s">
        <v>108</v>
      </c>
      <c r="V39" s="1">
        <v>23.888999999999999</v>
      </c>
      <c r="W39" s="97"/>
      <c r="X39" s="129"/>
      <c r="Y39" s="97"/>
      <c r="Z39" s="97"/>
      <c r="AA39" s="85"/>
      <c r="AB39" s="137"/>
      <c r="AC39" s="1"/>
      <c r="AD39" s="1"/>
      <c r="AE39" s="1"/>
    </row>
    <row r="40" spans="1:31" x14ac:dyDescent="0.25">
      <c r="A40" s="101"/>
      <c r="B40" s="1">
        <v>344</v>
      </c>
      <c r="C40" s="1" t="s">
        <v>393</v>
      </c>
      <c r="D40" s="1" t="s">
        <v>103</v>
      </c>
      <c r="E40" s="1" t="s">
        <v>419</v>
      </c>
      <c r="F40" s="1" t="s">
        <v>332</v>
      </c>
      <c r="G40" s="1" t="s">
        <v>106</v>
      </c>
      <c r="H40" s="1"/>
      <c r="I40" s="1"/>
      <c r="J40" s="1">
        <v>22.698</v>
      </c>
      <c r="K40" s="1">
        <v>17.888999999999999</v>
      </c>
      <c r="L40" s="14"/>
      <c r="M40" s="105"/>
      <c r="N40" s="105"/>
      <c r="O40" s="105"/>
      <c r="P40" s="90"/>
      <c r="Q40" s="1" t="s">
        <v>419</v>
      </c>
      <c r="R40" s="1" t="s">
        <v>105</v>
      </c>
      <c r="S40" s="1" t="s">
        <v>106</v>
      </c>
      <c r="T40" s="1" t="s">
        <v>107</v>
      </c>
      <c r="U40" s="1" t="s">
        <v>108</v>
      </c>
      <c r="V40" s="1">
        <v>24.045999999999999</v>
      </c>
      <c r="W40" s="97"/>
      <c r="X40" s="129"/>
      <c r="Y40" s="97"/>
      <c r="Z40" s="97"/>
      <c r="AA40" s="85"/>
      <c r="AB40" s="137"/>
      <c r="AC40" s="1"/>
      <c r="AD40" s="1"/>
      <c r="AE40" s="1"/>
    </row>
    <row r="41" spans="1:31" ht="15.75" thickBot="1" x14ac:dyDescent="0.3">
      <c r="A41" s="107"/>
      <c r="B41" s="83">
        <v>368</v>
      </c>
      <c r="C41" s="83" t="s">
        <v>405</v>
      </c>
      <c r="D41" s="83" t="s">
        <v>103</v>
      </c>
      <c r="E41" s="83" t="s">
        <v>419</v>
      </c>
      <c r="F41" s="83" t="s">
        <v>332</v>
      </c>
      <c r="G41" s="83" t="s">
        <v>106</v>
      </c>
      <c r="H41" s="83">
        <f t="shared" ref="H41" si="87">_xlfn.STDEV.S(K38:K41)</f>
        <v>9.1932946578834621E-2</v>
      </c>
      <c r="I41" s="83">
        <f t="shared" ref="I41" si="88">_xlfn.STDEV.S(J38:J41)</f>
        <v>4.911211663123468E-2</v>
      </c>
      <c r="J41" s="83">
        <v>22.7</v>
      </c>
      <c r="K41" s="83">
        <v>18.041</v>
      </c>
      <c r="L41" s="17"/>
      <c r="M41" s="108"/>
      <c r="N41" s="108"/>
      <c r="O41" s="108"/>
      <c r="P41" s="109"/>
      <c r="Q41" s="1" t="s">
        <v>419</v>
      </c>
      <c r="R41" s="1" t="s">
        <v>105</v>
      </c>
      <c r="S41" s="1" t="s">
        <v>106</v>
      </c>
      <c r="T41" s="1" t="s">
        <v>107</v>
      </c>
      <c r="U41" s="1" t="s">
        <v>108</v>
      </c>
      <c r="V41" s="1">
        <v>23.789000000000001</v>
      </c>
      <c r="W41" s="98"/>
      <c r="X41" s="130"/>
      <c r="Y41" s="98"/>
      <c r="Z41" s="98"/>
      <c r="AA41" s="86"/>
      <c r="AB41" s="138"/>
      <c r="AC41" s="1"/>
      <c r="AD41" s="1"/>
      <c r="AE41" s="1"/>
    </row>
    <row r="42" spans="1:31" x14ac:dyDescent="0.25">
      <c r="A42" s="100"/>
      <c r="B42" s="9">
        <v>345</v>
      </c>
      <c r="C42" s="9" t="s">
        <v>394</v>
      </c>
      <c r="D42" s="9" t="s">
        <v>103</v>
      </c>
      <c r="E42" s="9" t="s">
        <v>420</v>
      </c>
      <c r="F42" s="9" t="s">
        <v>332</v>
      </c>
      <c r="G42" s="9" t="s">
        <v>106</v>
      </c>
      <c r="H42" s="9"/>
      <c r="I42" s="9"/>
      <c r="J42" s="9">
        <v>24.039000000000001</v>
      </c>
      <c r="K42" s="9">
        <v>20.016999999999999</v>
      </c>
      <c r="L42" s="11"/>
      <c r="M42" s="104">
        <f t="shared" ref="M42:N42" si="89">AVERAGE(J42:J45)</f>
        <v>24.10125</v>
      </c>
      <c r="N42" s="104">
        <f t="shared" si="89"/>
        <v>19.996499999999997</v>
      </c>
      <c r="O42" s="104"/>
      <c r="P42" s="89">
        <f t="shared" ref="P42" si="90">GEOMEAN(M42,N42)</f>
        <v>21.953146599633502</v>
      </c>
      <c r="Q42" s="1" t="s">
        <v>420</v>
      </c>
      <c r="R42" s="1" t="s">
        <v>105</v>
      </c>
      <c r="S42" s="1" t="s">
        <v>106</v>
      </c>
      <c r="T42" s="1" t="s">
        <v>107</v>
      </c>
      <c r="U42" s="1" t="s">
        <v>108</v>
      </c>
      <c r="V42" s="1">
        <v>25.911999999999999</v>
      </c>
      <c r="W42" s="96">
        <f t="shared" ref="W42" si="91">_xlfn.STDEV.S(V42:V45)</f>
        <v>0.13081029521155182</v>
      </c>
      <c r="X42" s="128">
        <f t="shared" ref="X42" si="92">AVERAGE(V42:V45)</f>
        <v>26.018000000000001</v>
      </c>
      <c r="Y42" s="96">
        <f t="shared" ref="Y42" si="93">X42-P42</f>
        <v>4.0648534003664984</v>
      </c>
      <c r="Z42" s="96">
        <f t="shared" ref="Z42" si="94">Y42-$AE$4</f>
        <v>1.7732674282304934</v>
      </c>
      <c r="AA42" s="84">
        <f t="shared" ref="AA42" si="95">2^-Z42</f>
        <v>0.29254542703782432</v>
      </c>
      <c r="AB42" s="132"/>
      <c r="AC42" s="1">
        <f t="shared" ref="AC42" si="96">LOG(AA42,2)</f>
        <v>-1.7732674282304934</v>
      </c>
      <c r="AD42" s="1"/>
      <c r="AE42" s="1"/>
    </row>
    <row r="43" spans="1:31" x14ac:dyDescent="0.25">
      <c r="A43" s="101"/>
      <c r="B43" s="1">
        <v>369</v>
      </c>
      <c r="C43" s="1" t="s">
        <v>406</v>
      </c>
      <c r="D43" s="1" t="s">
        <v>103</v>
      </c>
      <c r="E43" s="1" t="s">
        <v>420</v>
      </c>
      <c r="F43" s="1" t="s">
        <v>332</v>
      </c>
      <c r="G43" s="1" t="s">
        <v>106</v>
      </c>
      <c r="H43" s="1"/>
      <c r="I43" s="1"/>
      <c r="J43" s="1">
        <v>24.114999999999998</v>
      </c>
      <c r="K43" s="1">
        <v>20.026</v>
      </c>
      <c r="L43" s="14"/>
      <c r="M43" s="105"/>
      <c r="N43" s="105"/>
      <c r="O43" s="105"/>
      <c r="P43" s="90"/>
      <c r="Q43" s="1" t="s">
        <v>420</v>
      </c>
      <c r="R43" s="1" t="s">
        <v>105</v>
      </c>
      <c r="S43" s="1" t="s">
        <v>106</v>
      </c>
      <c r="T43" s="1" t="s">
        <v>107</v>
      </c>
      <c r="U43" s="1" t="s">
        <v>108</v>
      </c>
      <c r="V43" s="1">
        <v>25.977</v>
      </c>
      <c r="W43" s="97"/>
      <c r="X43" s="129"/>
      <c r="Y43" s="97"/>
      <c r="Z43" s="97"/>
      <c r="AA43" s="85"/>
      <c r="AB43" s="133"/>
      <c r="AC43" s="1"/>
      <c r="AD43" s="1"/>
      <c r="AE43" s="1"/>
    </row>
    <row r="44" spans="1:31" x14ac:dyDescent="0.25">
      <c r="A44" s="101"/>
      <c r="B44" s="1">
        <v>346</v>
      </c>
      <c r="C44" s="1" t="s">
        <v>395</v>
      </c>
      <c r="D44" s="1" t="s">
        <v>103</v>
      </c>
      <c r="E44" s="1" t="s">
        <v>420</v>
      </c>
      <c r="F44" s="1" t="s">
        <v>332</v>
      </c>
      <c r="G44" s="1" t="s">
        <v>106</v>
      </c>
      <c r="H44" s="1"/>
      <c r="I44" s="1"/>
      <c r="J44" s="1">
        <v>24.184000000000001</v>
      </c>
      <c r="K44" s="1">
        <v>19.843</v>
      </c>
      <c r="L44" s="14"/>
      <c r="M44" s="105"/>
      <c r="N44" s="105"/>
      <c r="O44" s="105"/>
      <c r="P44" s="90"/>
      <c r="Q44" s="1" t="s">
        <v>420</v>
      </c>
      <c r="R44" s="1" t="s">
        <v>105</v>
      </c>
      <c r="S44" s="1" t="s">
        <v>106</v>
      </c>
      <c r="T44" s="1" t="s">
        <v>107</v>
      </c>
      <c r="U44" s="1" t="s">
        <v>108</v>
      </c>
      <c r="V44" s="1">
        <v>25.974</v>
      </c>
      <c r="W44" s="97"/>
      <c r="X44" s="129"/>
      <c r="Y44" s="97"/>
      <c r="Z44" s="97"/>
      <c r="AA44" s="85"/>
      <c r="AB44" s="133"/>
      <c r="AC44" s="1"/>
      <c r="AD44" s="1"/>
      <c r="AE44" s="1"/>
    </row>
    <row r="45" spans="1:31" ht="15.75" thickBot="1" x14ac:dyDescent="0.3">
      <c r="A45" s="107"/>
      <c r="B45" s="83">
        <v>370</v>
      </c>
      <c r="C45" s="83" t="s">
        <v>407</v>
      </c>
      <c r="D45" s="83" t="s">
        <v>103</v>
      </c>
      <c r="E45" s="83" t="s">
        <v>420</v>
      </c>
      <c r="F45" s="83" t="s">
        <v>332</v>
      </c>
      <c r="G45" s="83" t="s">
        <v>106</v>
      </c>
      <c r="H45" s="83">
        <f t="shared" ref="H45" si="97">_xlfn.STDEV.S(K42:K45)</f>
        <v>0.1088806686239577</v>
      </c>
      <c r="I45" s="83">
        <f t="shared" ref="I45" si="98">_xlfn.STDEV.S(J42:J45)</f>
        <v>6.3468496122091766E-2</v>
      </c>
      <c r="J45" s="83">
        <v>24.067</v>
      </c>
      <c r="K45" s="83">
        <v>20.100000000000001</v>
      </c>
      <c r="L45" s="17"/>
      <c r="M45" s="108"/>
      <c r="N45" s="108"/>
      <c r="O45" s="108"/>
      <c r="P45" s="109"/>
      <c r="Q45" s="1" t="s">
        <v>420</v>
      </c>
      <c r="R45" s="1" t="s">
        <v>105</v>
      </c>
      <c r="S45" s="1" t="s">
        <v>106</v>
      </c>
      <c r="T45" s="1" t="s">
        <v>107</v>
      </c>
      <c r="U45" s="1" t="s">
        <v>108</v>
      </c>
      <c r="V45" s="1">
        <v>26.209</v>
      </c>
      <c r="W45" s="98"/>
      <c r="X45" s="130"/>
      <c r="Y45" s="98"/>
      <c r="Z45" s="98"/>
      <c r="AA45" s="86"/>
      <c r="AB45" s="135"/>
      <c r="AC45" s="1"/>
      <c r="AD45" s="1"/>
      <c r="AE45" s="1"/>
    </row>
    <row r="46" spans="1:31" x14ac:dyDescent="0.25">
      <c r="A46" s="100"/>
      <c r="B46" s="9">
        <v>347</v>
      </c>
      <c r="C46" s="9" t="s">
        <v>396</v>
      </c>
      <c r="D46" s="9" t="s">
        <v>103</v>
      </c>
      <c r="E46" s="9" t="s">
        <v>421</v>
      </c>
      <c r="F46" s="9" t="s">
        <v>332</v>
      </c>
      <c r="G46" s="9" t="s">
        <v>106</v>
      </c>
      <c r="H46" s="9"/>
      <c r="I46" s="9"/>
      <c r="J46" s="9">
        <v>23.227</v>
      </c>
      <c r="K46" s="9">
        <v>18.948</v>
      </c>
      <c r="L46" s="11"/>
      <c r="M46" s="104">
        <f t="shared" ref="M46:N46" si="99">AVERAGE(J46:J49)</f>
        <v>23.23875</v>
      </c>
      <c r="N46" s="104">
        <f t="shared" si="99"/>
        <v>18.911249999999999</v>
      </c>
      <c r="O46" s="104"/>
      <c r="P46" s="89">
        <f t="shared" ref="P46" si="100">GEOMEAN(M46,N46)</f>
        <v>20.963630671653704</v>
      </c>
      <c r="Q46" s="1" t="s">
        <v>421</v>
      </c>
      <c r="R46" s="1" t="s">
        <v>105</v>
      </c>
      <c r="S46" s="1" t="s">
        <v>106</v>
      </c>
      <c r="T46" s="1" t="s">
        <v>107</v>
      </c>
      <c r="U46" s="1" t="s">
        <v>108</v>
      </c>
      <c r="V46" s="1">
        <v>24.78</v>
      </c>
      <c r="W46" s="96">
        <f t="shared" ref="W46" si="101">_xlfn.STDEV.S(V46:V49)</f>
        <v>5.8258046654518662E-2</v>
      </c>
      <c r="X46" s="128">
        <f t="shared" ref="X46" si="102">AVERAGE(V46:V49)</f>
        <v>24.756</v>
      </c>
      <c r="Y46" s="96">
        <f t="shared" ref="Y46" si="103">X46-P46</f>
        <v>3.7923693283462967</v>
      </c>
      <c r="Z46" s="96">
        <f t="shared" ref="Z46" si="104">Y46-$AE$4</f>
        <v>1.5007833562102917</v>
      </c>
      <c r="AA46" s="84">
        <f t="shared" ref="AA46" si="105">2^-Z46</f>
        <v>0.35336146987656097</v>
      </c>
      <c r="AB46" s="132"/>
      <c r="AC46" s="1">
        <f t="shared" ref="AC46" si="106">LOG(AA46,2)</f>
        <v>-1.5007833562102912</v>
      </c>
      <c r="AD46" s="1"/>
      <c r="AE46" s="1"/>
    </row>
    <row r="47" spans="1:31" x14ac:dyDescent="0.25">
      <c r="A47" s="101"/>
      <c r="B47" s="1">
        <v>371</v>
      </c>
      <c r="C47" s="1" t="s">
        <v>408</v>
      </c>
      <c r="D47" s="1" t="s">
        <v>103</v>
      </c>
      <c r="E47" s="1" t="s">
        <v>421</v>
      </c>
      <c r="F47" s="1" t="s">
        <v>332</v>
      </c>
      <c r="G47" s="1" t="s">
        <v>106</v>
      </c>
      <c r="H47" s="1"/>
      <c r="I47" s="1"/>
      <c r="J47" s="1">
        <v>23.309000000000001</v>
      </c>
      <c r="K47" s="1">
        <v>18.928999999999998</v>
      </c>
      <c r="L47" s="14"/>
      <c r="M47" s="105"/>
      <c r="N47" s="105"/>
      <c r="O47" s="105"/>
      <c r="P47" s="90"/>
      <c r="Q47" s="1" t="s">
        <v>421</v>
      </c>
      <c r="R47" s="1" t="s">
        <v>105</v>
      </c>
      <c r="S47" s="1" t="s">
        <v>106</v>
      </c>
      <c r="T47" s="1" t="s">
        <v>107</v>
      </c>
      <c r="U47" s="1" t="s">
        <v>108</v>
      </c>
      <c r="V47" s="1">
        <v>24.721</v>
      </c>
      <c r="W47" s="97"/>
      <c r="X47" s="129"/>
      <c r="Y47" s="97"/>
      <c r="Z47" s="97"/>
      <c r="AA47" s="85"/>
      <c r="AB47" s="133"/>
      <c r="AC47" s="1"/>
      <c r="AD47" s="1"/>
      <c r="AE47" s="1"/>
    </row>
    <row r="48" spans="1:31" x14ac:dyDescent="0.25">
      <c r="A48" s="101"/>
      <c r="B48" s="1">
        <v>348</v>
      </c>
      <c r="C48" s="1" t="s">
        <v>397</v>
      </c>
      <c r="D48" s="1" t="s">
        <v>103</v>
      </c>
      <c r="E48" s="1" t="s">
        <v>421</v>
      </c>
      <c r="F48" s="1" t="s">
        <v>332</v>
      </c>
      <c r="G48" s="1" t="s">
        <v>106</v>
      </c>
      <c r="H48" s="1"/>
      <c r="I48" s="1"/>
      <c r="J48" s="1">
        <v>23.308</v>
      </c>
      <c r="K48" s="1">
        <v>18.931000000000001</v>
      </c>
      <c r="L48" s="14"/>
      <c r="M48" s="105"/>
      <c r="N48" s="105"/>
      <c r="O48" s="105"/>
      <c r="P48" s="90"/>
      <c r="Q48" s="1" t="s">
        <v>421</v>
      </c>
      <c r="R48" s="1" t="s">
        <v>105</v>
      </c>
      <c r="S48" s="1" t="s">
        <v>106</v>
      </c>
      <c r="T48" s="1" t="s">
        <v>107</v>
      </c>
      <c r="U48" s="1" t="s">
        <v>108</v>
      </c>
      <c r="V48" s="1">
        <v>24.696999999999999</v>
      </c>
      <c r="W48" s="97"/>
      <c r="X48" s="129"/>
      <c r="Y48" s="97"/>
      <c r="Z48" s="97"/>
      <c r="AA48" s="85"/>
      <c r="AB48" s="133"/>
      <c r="AC48" s="1"/>
      <c r="AD48" s="1"/>
      <c r="AE48" s="1"/>
    </row>
    <row r="49" spans="1:31" ht="15.75" thickBot="1" x14ac:dyDescent="0.3">
      <c r="A49" s="107"/>
      <c r="B49" s="83">
        <v>372</v>
      </c>
      <c r="C49" s="83" t="s">
        <v>409</v>
      </c>
      <c r="D49" s="83" t="s">
        <v>103</v>
      </c>
      <c r="E49" s="83" t="s">
        <v>421</v>
      </c>
      <c r="F49" s="83" t="s">
        <v>332</v>
      </c>
      <c r="G49" s="83" t="s">
        <v>106</v>
      </c>
      <c r="H49" s="83">
        <f t="shared" ref="H49" si="107">_xlfn.STDEV.S(K46:K49)</f>
        <v>5.0228643886398958E-2</v>
      </c>
      <c r="I49" s="83">
        <f t="shared" ref="I49" si="108">_xlfn.STDEV.S(J46:J49)</f>
        <v>9.3432239261045852E-2</v>
      </c>
      <c r="J49" s="83">
        <v>23.111000000000001</v>
      </c>
      <c r="K49" s="83">
        <v>18.837</v>
      </c>
      <c r="L49" s="17"/>
      <c r="M49" s="108"/>
      <c r="N49" s="108"/>
      <c r="O49" s="108"/>
      <c r="P49" s="109"/>
      <c r="Q49" s="1" t="s">
        <v>421</v>
      </c>
      <c r="R49" s="1" t="s">
        <v>105</v>
      </c>
      <c r="S49" s="1" t="s">
        <v>106</v>
      </c>
      <c r="T49" s="1" t="s">
        <v>107</v>
      </c>
      <c r="U49" s="1" t="s">
        <v>108</v>
      </c>
      <c r="V49" s="1">
        <v>24.826000000000001</v>
      </c>
      <c r="W49" s="98"/>
      <c r="X49" s="130"/>
      <c r="Y49" s="98"/>
      <c r="Z49" s="98"/>
      <c r="AA49" s="86"/>
      <c r="AB49" s="134"/>
      <c r="AC49" s="1"/>
      <c r="AD49" s="1"/>
      <c r="AE49" s="1"/>
    </row>
    <row r="50" spans="1:31" x14ac:dyDescent="0.25">
      <c r="A50" s="100"/>
      <c r="B50" s="9">
        <v>337</v>
      </c>
      <c r="C50" s="9" t="s">
        <v>386</v>
      </c>
      <c r="D50" s="9" t="b">
        <v>0</v>
      </c>
      <c r="E50" s="9" t="s">
        <v>422</v>
      </c>
      <c r="F50" s="9" t="s">
        <v>332</v>
      </c>
      <c r="G50" s="9" t="s">
        <v>106</v>
      </c>
      <c r="H50" s="9"/>
      <c r="I50" s="9"/>
      <c r="J50" s="9">
        <v>22.439899444580078</v>
      </c>
      <c r="K50" s="9">
        <v>17.946588516235352</v>
      </c>
      <c r="L50" s="11"/>
      <c r="M50" s="104">
        <f t="shared" ref="M50:N50" si="109">AVERAGE(J50:J53)</f>
        <v>22.516579151153564</v>
      </c>
      <c r="N50" s="104">
        <f t="shared" si="109"/>
        <v>17.914458751678467</v>
      </c>
      <c r="O50" s="104"/>
      <c r="P50" s="89">
        <f t="shared" ref="P50" si="110">GEOMEAN(M50,N50)</f>
        <v>20.084131259087208</v>
      </c>
      <c r="Q50" t="s">
        <v>422</v>
      </c>
      <c r="R50" t="s">
        <v>105</v>
      </c>
      <c r="S50" t="s">
        <v>106</v>
      </c>
      <c r="T50" t="s">
        <v>107</v>
      </c>
      <c r="U50" t="s">
        <v>108</v>
      </c>
      <c r="V50" s="3">
        <v>20.910562515258789</v>
      </c>
      <c r="W50" s="96">
        <f t="shared" ref="W50" si="111">_xlfn.STDEV.S(V50:V53)</f>
        <v>0.1169234410000051</v>
      </c>
      <c r="X50" s="128">
        <f t="shared" ref="X50" si="112">AVERAGE(V50:V53)</f>
        <v>21.060839176177979</v>
      </c>
      <c r="Y50" s="96">
        <f t="shared" ref="Y50" si="113">X50-P50</f>
        <v>0.97670791709077065</v>
      </c>
      <c r="Z50" s="96">
        <f>Y50-$AE$6</f>
        <v>-4.1614913773321049E-2</v>
      </c>
      <c r="AA50" s="84">
        <f t="shared" ref="AA50" si="114">2^-Z50</f>
        <v>1.0292653137929062</v>
      </c>
      <c r="AB50" s="131"/>
      <c r="AC50" s="1">
        <f t="shared" ref="AC50" si="115">LOG(AA50,2)</f>
        <v>4.1614913773320925E-2</v>
      </c>
      <c r="AD50" s="1"/>
      <c r="AE50" s="1"/>
    </row>
    <row r="51" spans="1:31" x14ac:dyDescent="0.25">
      <c r="A51" s="101"/>
      <c r="B51" s="1">
        <v>361</v>
      </c>
      <c r="C51" s="1" t="s">
        <v>398</v>
      </c>
      <c r="D51" s="1" t="b">
        <v>0</v>
      </c>
      <c r="E51" s="1" t="s">
        <v>422</v>
      </c>
      <c r="F51" s="1" t="s">
        <v>332</v>
      </c>
      <c r="G51" s="1" t="s">
        <v>106</v>
      </c>
      <c r="H51" s="1"/>
      <c r="I51" s="1"/>
      <c r="J51" s="1">
        <v>22.503049850463867</v>
      </c>
      <c r="K51" s="1">
        <v>17.91816520690918</v>
      </c>
      <c r="L51" s="14"/>
      <c r="M51" s="105"/>
      <c r="N51" s="105"/>
      <c r="O51" s="105"/>
      <c r="P51" s="90"/>
      <c r="Q51" t="s">
        <v>422</v>
      </c>
      <c r="R51" t="s">
        <v>105</v>
      </c>
      <c r="S51" t="s">
        <v>106</v>
      </c>
      <c r="T51" t="s">
        <v>107</v>
      </c>
      <c r="U51" t="s">
        <v>108</v>
      </c>
      <c r="V51" s="3">
        <v>21.027467727661133</v>
      </c>
      <c r="W51" s="97"/>
      <c r="X51" s="129"/>
      <c r="Y51" s="97"/>
      <c r="Z51" s="97"/>
      <c r="AA51" s="85"/>
      <c r="AB51" s="127"/>
      <c r="AC51" s="1"/>
      <c r="AD51" s="1"/>
      <c r="AE51" s="1"/>
    </row>
    <row r="52" spans="1:31" x14ac:dyDescent="0.25">
      <c r="A52" s="101"/>
      <c r="B52" s="1">
        <v>338</v>
      </c>
      <c r="C52" s="1" t="s">
        <v>387</v>
      </c>
      <c r="D52" s="1" t="b">
        <v>0</v>
      </c>
      <c r="E52" s="1" t="s">
        <v>422</v>
      </c>
      <c r="F52" s="1" t="s">
        <v>332</v>
      </c>
      <c r="G52" s="1" t="s">
        <v>106</v>
      </c>
      <c r="H52" s="1"/>
      <c r="I52" s="1"/>
      <c r="J52" s="1">
        <v>22.497282028198242</v>
      </c>
      <c r="K52" s="1">
        <v>17.994478225708008</v>
      </c>
      <c r="L52" s="14"/>
      <c r="M52" s="105"/>
      <c r="N52" s="105"/>
      <c r="O52" s="105"/>
      <c r="P52" s="90"/>
      <c r="Q52" t="s">
        <v>422</v>
      </c>
      <c r="R52" t="s">
        <v>105</v>
      </c>
      <c r="S52" t="s">
        <v>106</v>
      </c>
      <c r="T52" t="s">
        <v>107</v>
      </c>
      <c r="U52" t="s">
        <v>108</v>
      </c>
      <c r="V52" s="3">
        <v>21.167716979980469</v>
      </c>
      <c r="W52" s="97"/>
      <c r="X52" s="129"/>
      <c r="Y52" s="97"/>
      <c r="Z52" s="97"/>
      <c r="AA52" s="85"/>
      <c r="AB52" s="127"/>
      <c r="AC52" s="1"/>
      <c r="AD52" s="1"/>
      <c r="AE52" s="1"/>
    </row>
    <row r="53" spans="1:31" ht="15.75" thickBot="1" x14ac:dyDescent="0.3">
      <c r="A53" s="107"/>
      <c r="B53" s="83">
        <v>362</v>
      </c>
      <c r="C53" s="83" t="s">
        <v>399</v>
      </c>
      <c r="D53" s="83" t="b">
        <v>0</v>
      </c>
      <c r="E53" s="83" t="s">
        <v>422</v>
      </c>
      <c r="F53" s="83" t="s">
        <v>332</v>
      </c>
      <c r="G53" s="83" t="s">
        <v>106</v>
      </c>
      <c r="H53" s="83">
        <f t="shared" ref="H53" si="116">_xlfn.STDEV.S(K50:K53)</f>
        <v>8.341006652811378E-2</v>
      </c>
      <c r="I53" s="83">
        <f t="shared" ref="I53" si="117">_xlfn.STDEV.S(J50:J53)</f>
        <v>7.8372594885230545E-2</v>
      </c>
      <c r="J53" s="83">
        <v>22.62608528137207</v>
      </c>
      <c r="K53" s="83">
        <v>17.798603057861328</v>
      </c>
      <c r="L53" s="17"/>
      <c r="M53" s="108"/>
      <c r="N53" s="108"/>
      <c r="O53" s="108"/>
      <c r="P53" s="109"/>
      <c r="Q53" t="s">
        <v>422</v>
      </c>
      <c r="R53" t="s">
        <v>105</v>
      </c>
      <c r="S53" t="s">
        <v>106</v>
      </c>
      <c r="T53" t="s">
        <v>107</v>
      </c>
      <c r="U53" t="s">
        <v>108</v>
      </c>
      <c r="V53" s="3">
        <v>21.137609481811523</v>
      </c>
      <c r="W53" s="98"/>
      <c r="X53" s="130"/>
      <c r="Y53" s="98"/>
      <c r="Z53" s="98"/>
      <c r="AA53" s="86"/>
      <c r="AB53" s="127"/>
      <c r="AC53" s="1"/>
      <c r="AD53" s="1"/>
      <c r="AE53" s="1"/>
    </row>
    <row r="54" spans="1:31" x14ac:dyDescent="0.25">
      <c r="A54" s="100"/>
      <c r="B54" s="9">
        <v>339</v>
      </c>
      <c r="C54" s="9" t="s">
        <v>388</v>
      </c>
      <c r="D54" s="9" t="b">
        <v>0</v>
      </c>
      <c r="E54" s="9" t="s">
        <v>424</v>
      </c>
      <c r="F54" s="9" t="s">
        <v>332</v>
      </c>
      <c r="G54" s="9" t="s">
        <v>106</v>
      </c>
      <c r="H54" s="9"/>
      <c r="I54" s="9"/>
      <c r="J54" s="9">
        <v>22.781806945800781</v>
      </c>
      <c r="K54" s="9">
        <v>18.156644821166992</v>
      </c>
      <c r="L54" s="11"/>
      <c r="M54" s="104">
        <f t="shared" ref="M54:N54" si="118">AVERAGE(J54:J57)</f>
        <v>22.707976341247559</v>
      </c>
      <c r="N54" s="104">
        <f t="shared" si="118"/>
        <v>18.165340423583984</v>
      </c>
      <c r="O54" s="104"/>
      <c r="P54" s="89">
        <f t="shared" ref="P54" si="119">GEOMEAN(M54,N54)</f>
        <v>20.310049743155556</v>
      </c>
      <c r="Q54" t="s">
        <v>424</v>
      </c>
      <c r="R54" t="s">
        <v>105</v>
      </c>
      <c r="S54" t="s">
        <v>106</v>
      </c>
      <c r="T54" t="s">
        <v>107</v>
      </c>
      <c r="U54" t="s">
        <v>108</v>
      </c>
      <c r="V54" s="3">
        <v>21.151468276977539</v>
      </c>
      <c r="W54" s="96">
        <f t="shared" ref="W54" si="120">_xlfn.STDEV.S(V54:V57)</f>
        <v>0.30445463283674384</v>
      </c>
      <c r="X54" s="128">
        <f t="shared" ref="X54" si="121">AVERAGE(V54:V57)</f>
        <v>21.369987487792969</v>
      </c>
      <c r="Y54" s="96">
        <f t="shared" ref="Y54" si="122">X54-P54</f>
        <v>1.0599377446374127</v>
      </c>
      <c r="Z54" s="96">
        <f t="shared" ref="Z54" si="123">Y54-$AE$6</f>
        <v>4.1614913773321049E-2</v>
      </c>
      <c r="AA54" s="84">
        <f t="shared" ref="AA54" si="124">2^-Z54</f>
        <v>0.97156679293401838</v>
      </c>
      <c r="AB54" s="127"/>
      <c r="AC54" s="1">
        <f t="shared" ref="AC54" si="125">LOG(AA54,2)</f>
        <v>-4.1614913773321001E-2</v>
      </c>
      <c r="AD54" s="1"/>
      <c r="AE54" s="1"/>
    </row>
    <row r="55" spans="1:31" x14ac:dyDescent="0.25">
      <c r="A55" s="101"/>
      <c r="B55" s="1">
        <v>363</v>
      </c>
      <c r="C55" s="1" t="s">
        <v>400</v>
      </c>
      <c r="D55" s="1" t="b">
        <v>0</v>
      </c>
      <c r="E55" s="1" t="s">
        <v>424</v>
      </c>
      <c r="F55" s="1" t="s">
        <v>332</v>
      </c>
      <c r="G55" s="1" t="s">
        <v>106</v>
      </c>
      <c r="H55" s="1"/>
      <c r="I55" s="1"/>
      <c r="J55" s="1">
        <v>22.68287467956543</v>
      </c>
      <c r="K55" s="1">
        <v>19.030796051025391</v>
      </c>
      <c r="L55" s="14"/>
      <c r="M55" s="105"/>
      <c r="N55" s="105"/>
      <c r="O55" s="105"/>
      <c r="P55" s="90"/>
      <c r="Q55" t="s">
        <v>424</v>
      </c>
      <c r="R55" t="s">
        <v>105</v>
      </c>
      <c r="S55" t="s">
        <v>106</v>
      </c>
      <c r="T55" t="s">
        <v>107</v>
      </c>
      <c r="U55" t="s">
        <v>108</v>
      </c>
      <c r="V55" s="3">
        <v>21.213077545166016</v>
      </c>
      <c r="W55" s="97"/>
      <c r="X55" s="129"/>
      <c r="Y55" s="97"/>
      <c r="Z55" s="97"/>
      <c r="AA55" s="85"/>
      <c r="AB55" s="127"/>
      <c r="AC55" s="1"/>
      <c r="AD55" s="1"/>
      <c r="AE55" s="1"/>
    </row>
    <row r="56" spans="1:31" x14ac:dyDescent="0.25">
      <c r="A56" s="101"/>
      <c r="B56" s="1">
        <v>340</v>
      </c>
      <c r="C56" s="1" t="s">
        <v>389</v>
      </c>
      <c r="D56" s="1" t="b">
        <v>0</v>
      </c>
      <c r="E56" s="1" t="s">
        <v>424</v>
      </c>
      <c r="F56" s="1" t="s">
        <v>332</v>
      </c>
      <c r="G56" s="1" t="s">
        <v>106</v>
      </c>
      <c r="H56" s="1"/>
      <c r="I56" s="1"/>
      <c r="J56" s="1">
        <v>22.742557525634766</v>
      </c>
      <c r="K56" s="1">
        <v>18.100671768188477</v>
      </c>
      <c r="L56" s="14"/>
      <c r="M56" s="105"/>
      <c r="N56" s="105"/>
      <c r="O56" s="105"/>
      <c r="P56" s="90"/>
      <c r="Q56" t="s">
        <v>424</v>
      </c>
      <c r="R56" t="s">
        <v>105</v>
      </c>
      <c r="S56" t="s">
        <v>106</v>
      </c>
      <c r="T56" t="s">
        <v>107</v>
      </c>
      <c r="U56" t="s">
        <v>108</v>
      </c>
      <c r="V56" s="3">
        <v>21.817733764648438</v>
      </c>
      <c r="W56" s="97"/>
      <c r="X56" s="129"/>
      <c r="Y56" s="97"/>
      <c r="Z56" s="97"/>
      <c r="AA56" s="85"/>
      <c r="AB56" s="127"/>
      <c r="AC56" s="1"/>
      <c r="AD56" s="1"/>
      <c r="AE56" s="1"/>
    </row>
    <row r="57" spans="1:31" ht="15.75" thickBot="1" x14ac:dyDescent="0.3">
      <c r="A57" s="107"/>
      <c r="B57" s="83">
        <v>364</v>
      </c>
      <c r="C57" s="83" t="s">
        <v>401</v>
      </c>
      <c r="D57" s="83" t="b">
        <v>0</v>
      </c>
      <c r="E57" s="83" t="s">
        <v>424</v>
      </c>
      <c r="F57" s="83" t="s">
        <v>332</v>
      </c>
      <c r="G57" s="83" t="s">
        <v>106</v>
      </c>
      <c r="H57" s="83">
        <f t="shared" ref="H57" si="126">_xlfn.STDEV.S(K54:K57)</f>
        <v>0.67840003670465998</v>
      </c>
      <c r="I57" s="83">
        <f t="shared" ref="I57" si="127">_xlfn.STDEV.S(J54:J57)</f>
        <v>6.8841574660749597E-2</v>
      </c>
      <c r="J57" s="83">
        <v>22.624666213989258</v>
      </c>
      <c r="K57" s="83">
        <v>17.373249053955078</v>
      </c>
      <c r="L57" s="17"/>
      <c r="M57" s="108"/>
      <c r="N57" s="108"/>
      <c r="O57" s="108"/>
      <c r="P57" s="109"/>
      <c r="Q57" t="s">
        <v>424</v>
      </c>
      <c r="R57" t="s">
        <v>105</v>
      </c>
      <c r="S57" t="s">
        <v>106</v>
      </c>
      <c r="T57" t="s">
        <v>107</v>
      </c>
      <c r="U57" t="s">
        <v>108</v>
      </c>
      <c r="V57" s="3">
        <v>21.297670364379883</v>
      </c>
      <c r="W57" s="98"/>
      <c r="X57" s="130"/>
      <c r="Y57" s="98"/>
      <c r="Z57" s="98"/>
      <c r="AA57" s="86"/>
      <c r="AB57" s="127"/>
      <c r="AC57" s="1"/>
      <c r="AD57" s="1"/>
      <c r="AE57" s="1"/>
    </row>
    <row r="58" spans="1:31" x14ac:dyDescent="0.25">
      <c r="A58" s="100"/>
      <c r="B58" s="9">
        <v>341</v>
      </c>
      <c r="C58" s="9" t="s">
        <v>390</v>
      </c>
      <c r="D58" s="9" t="b">
        <v>0</v>
      </c>
      <c r="E58" s="9" t="s">
        <v>423</v>
      </c>
      <c r="F58" s="9" t="s">
        <v>332</v>
      </c>
      <c r="G58" s="9" t="s">
        <v>106</v>
      </c>
      <c r="H58" s="9"/>
      <c r="I58" s="9"/>
      <c r="J58" s="9">
        <v>22.543874740600586</v>
      </c>
      <c r="K58" s="9">
        <v>17.632972717285156</v>
      </c>
      <c r="L58" s="11"/>
      <c r="M58" s="104">
        <f t="shared" ref="M58:N58" si="128">AVERAGE(J58:J61)</f>
        <v>22.527778625488281</v>
      </c>
      <c r="N58" s="104">
        <f t="shared" si="128"/>
        <v>17.682387351989746</v>
      </c>
      <c r="O58" s="104"/>
      <c r="P58" s="89">
        <f t="shared" ref="P58" si="129">GEOMEAN(M58,N58)</f>
        <v>19.958579805080294</v>
      </c>
      <c r="Q58" t="s">
        <v>423</v>
      </c>
      <c r="R58" t="s">
        <v>105</v>
      </c>
      <c r="S58" t="s">
        <v>106</v>
      </c>
      <c r="T58" t="s">
        <v>107</v>
      </c>
      <c r="U58" t="s">
        <v>108</v>
      </c>
      <c r="V58" s="3">
        <v>23.385782241821289</v>
      </c>
      <c r="W58" s="96">
        <f t="shared" ref="W58" si="130">_xlfn.STDEV.S(V58:V61)</f>
        <v>5.4035062763966364E-2</v>
      </c>
      <c r="X58" s="128">
        <f t="shared" ref="X58" si="131">AVERAGE(V58:V61)</f>
        <v>23.319058418273926</v>
      </c>
      <c r="Y58" s="96">
        <f t="shared" ref="Y58" si="132">X58-P58</f>
        <v>3.3604786131936315</v>
      </c>
      <c r="Z58" s="96">
        <f t="shared" ref="Z58" si="133">Y58-$AE$6</f>
        <v>2.3421557823295398</v>
      </c>
      <c r="AA58" s="84">
        <f t="shared" ref="AA58" si="134">2^-Z58</f>
        <v>0.19721541372669402</v>
      </c>
      <c r="AB58" s="127"/>
      <c r="AC58" s="1">
        <f t="shared" ref="AC58" si="135">LOG(AA58,2)</f>
        <v>-2.3421557823295398</v>
      </c>
      <c r="AD58" s="1"/>
      <c r="AE58" s="1"/>
    </row>
    <row r="59" spans="1:31" x14ac:dyDescent="0.25">
      <c r="A59" s="101"/>
      <c r="B59" s="1">
        <v>365</v>
      </c>
      <c r="C59" s="1" t="s">
        <v>402</v>
      </c>
      <c r="D59" s="1" t="b">
        <v>0</v>
      </c>
      <c r="E59" s="1" t="s">
        <v>423</v>
      </c>
      <c r="F59" s="1" t="s">
        <v>332</v>
      </c>
      <c r="G59" s="1" t="s">
        <v>106</v>
      </c>
      <c r="H59" s="1"/>
      <c r="I59" s="1"/>
      <c r="J59" s="1">
        <v>22.497089385986328</v>
      </c>
      <c r="K59" s="1">
        <v>17.797683715820313</v>
      </c>
      <c r="L59" s="14"/>
      <c r="M59" s="105"/>
      <c r="N59" s="105"/>
      <c r="O59" s="105"/>
      <c r="P59" s="90"/>
      <c r="Q59" t="s">
        <v>423</v>
      </c>
      <c r="R59" t="s">
        <v>105</v>
      </c>
      <c r="S59" t="s">
        <v>106</v>
      </c>
      <c r="T59" t="s">
        <v>107</v>
      </c>
      <c r="U59" t="s">
        <v>108</v>
      </c>
      <c r="V59" s="3">
        <v>23.328311920166016</v>
      </c>
      <c r="W59" s="97"/>
      <c r="X59" s="129"/>
      <c r="Y59" s="97"/>
      <c r="Z59" s="97"/>
      <c r="AA59" s="85"/>
      <c r="AB59" s="127"/>
      <c r="AC59" s="1"/>
      <c r="AD59" s="1"/>
      <c r="AE59" s="1"/>
    </row>
    <row r="60" spans="1:31" x14ac:dyDescent="0.25">
      <c r="A60" s="101"/>
      <c r="B60" s="1">
        <v>342</v>
      </c>
      <c r="C60" s="1" t="s">
        <v>391</v>
      </c>
      <c r="D60" s="1" t="b">
        <v>0</v>
      </c>
      <c r="E60" s="1" t="s">
        <v>423</v>
      </c>
      <c r="F60" s="1" t="s">
        <v>332</v>
      </c>
      <c r="G60" s="1" t="s">
        <v>106</v>
      </c>
      <c r="H60" s="1"/>
      <c r="I60" s="1"/>
      <c r="J60" s="1">
        <v>22.538244247436523</v>
      </c>
      <c r="K60" s="1">
        <v>17.612838745117188</v>
      </c>
      <c r="L60" s="14"/>
      <c r="M60" s="105"/>
      <c r="N60" s="105"/>
      <c r="O60" s="105"/>
      <c r="P60" s="90"/>
      <c r="Q60" t="s">
        <v>423</v>
      </c>
      <c r="R60" t="s">
        <v>105</v>
      </c>
      <c r="S60" t="s">
        <v>106</v>
      </c>
      <c r="T60" t="s">
        <v>107</v>
      </c>
      <c r="U60" t="s">
        <v>108</v>
      </c>
      <c r="V60" s="3">
        <v>23.255229949951172</v>
      </c>
      <c r="W60" s="97"/>
      <c r="X60" s="129"/>
      <c r="Y60" s="97"/>
      <c r="Z60" s="97"/>
      <c r="AA60" s="85"/>
      <c r="AB60" s="127"/>
      <c r="AC60" s="1"/>
      <c r="AD60" s="1"/>
      <c r="AE60" s="1"/>
    </row>
    <row r="61" spans="1:31" ht="15.75" thickBot="1" x14ac:dyDescent="0.3">
      <c r="A61" s="107"/>
      <c r="B61" s="83">
        <v>366</v>
      </c>
      <c r="C61" s="83" t="s">
        <v>403</v>
      </c>
      <c r="D61" s="83" t="b">
        <v>0</v>
      </c>
      <c r="E61" s="83" t="s">
        <v>423</v>
      </c>
      <c r="F61" s="83" t="s">
        <v>332</v>
      </c>
      <c r="G61" s="83" t="s">
        <v>106</v>
      </c>
      <c r="H61" s="83">
        <f t="shared" ref="H61" si="136">_xlfn.STDEV.S(K58:K61)</f>
        <v>8.2836208560146937E-2</v>
      </c>
      <c r="I61" s="83">
        <f t="shared" ref="I61" si="137">_xlfn.STDEV.S(J58:J61)</f>
        <v>2.1035524413747859E-2</v>
      </c>
      <c r="J61" s="83">
        <v>22.531906127929688</v>
      </c>
      <c r="K61" s="83">
        <v>17.686054229736328</v>
      </c>
      <c r="L61" s="17"/>
      <c r="M61" s="108"/>
      <c r="N61" s="108"/>
      <c r="O61" s="108"/>
      <c r="P61" s="109"/>
      <c r="Q61" t="s">
        <v>423</v>
      </c>
      <c r="R61" t="s">
        <v>105</v>
      </c>
      <c r="S61" t="s">
        <v>106</v>
      </c>
      <c r="T61" t="s">
        <v>107</v>
      </c>
      <c r="U61" t="s">
        <v>108</v>
      </c>
      <c r="V61" s="3">
        <v>23.306909561157227</v>
      </c>
      <c r="W61" s="98"/>
      <c r="X61" s="130"/>
      <c r="Y61" s="98"/>
      <c r="Z61" s="98"/>
      <c r="AA61" s="86"/>
      <c r="AB61" s="127"/>
      <c r="AC61" s="1"/>
      <c r="AD61" s="1"/>
      <c r="AE61" s="1"/>
    </row>
    <row r="62" spans="1:31" x14ac:dyDescent="0.25">
      <c r="A62" s="100"/>
      <c r="B62" s="9">
        <v>343</v>
      </c>
      <c r="C62" s="9" t="s">
        <v>392</v>
      </c>
      <c r="D62" s="9" t="b">
        <v>0</v>
      </c>
      <c r="E62" s="9" t="s">
        <v>425</v>
      </c>
      <c r="F62" s="9" t="s">
        <v>332</v>
      </c>
      <c r="G62" s="9" t="s">
        <v>106</v>
      </c>
      <c r="H62" s="9"/>
      <c r="I62" s="9"/>
      <c r="J62" s="9">
        <v>22.504655838012695</v>
      </c>
      <c r="K62" s="9">
        <v>17.712419509887695</v>
      </c>
      <c r="L62" s="11"/>
      <c r="M62" s="104">
        <f t="shared" ref="M62:N62" si="138">AVERAGE(J62:J65)</f>
        <v>22.514381408691406</v>
      </c>
      <c r="N62" s="104">
        <f t="shared" si="138"/>
        <v>17.726653575897217</v>
      </c>
      <c r="O62" s="104"/>
      <c r="P62" s="89">
        <f t="shared" ref="P62" si="139">GEOMEAN(M62,N62)</f>
        <v>19.977603452553897</v>
      </c>
      <c r="Q62" t="s">
        <v>425</v>
      </c>
      <c r="R62" t="s">
        <v>105</v>
      </c>
      <c r="S62" t="s">
        <v>106</v>
      </c>
      <c r="T62" t="s">
        <v>107</v>
      </c>
      <c r="U62" t="s">
        <v>108</v>
      </c>
      <c r="V62" s="3">
        <v>23.504146575927734</v>
      </c>
      <c r="W62" s="96">
        <f t="shared" ref="W62" si="140">_xlfn.STDEV.S(V62:V65)</f>
        <v>6.8118995105290292E-2</v>
      </c>
      <c r="X62" s="128">
        <f t="shared" ref="X62" si="141">AVERAGE(V62:V65)</f>
        <v>23.475769996643066</v>
      </c>
      <c r="Y62" s="96">
        <f t="shared" ref="Y62" si="142">X62-P62</f>
        <v>3.4981665440891696</v>
      </c>
      <c r="Z62" s="96">
        <f t="shared" ref="Z62" si="143">Y62-$AE$6</f>
        <v>2.4798437132250779</v>
      </c>
      <c r="AA62" s="84">
        <f t="shared" ref="AA62" si="144">2^-Z62</f>
        <v>0.17926382455319465</v>
      </c>
      <c r="AB62" s="127"/>
      <c r="AC62" s="1">
        <f t="shared" ref="AC62" si="145">LOG(AA62,2)</f>
        <v>-2.4798437132250779</v>
      </c>
      <c r="AD62" s="1"/>
      <c r="AE62" s="1"/>
    </row>
    <row r="63" spans="1:31" x14ac:dyDescent="0.25">
      <c r="A63" s="101"/>
      <c r="B63" s="1">
        <v>367</v>
      </c>
      <c r="C63" s="1" t="s">
        <v>404</v>
      </c>
      <c r="D63" s="1" t="b">
        <v>0</v>
      </c>
      <c r="E63" s="1" t="s">
        <v>425</v>
      </c>
      <c r="F63" s="1" t="s">
        <v>332</v>
      </c>
      <c r="G63" s="1" t="s">
        <v>106</v>
      </c>
      <c r="H63" s="1"/>
      <c r="I63" s="1"/>
      <c r="J63" s="1">
        <v>22.53801155090332</v>
      </c>
      <c r="K63" s="1">
        <v>17.806955337524414</v>
      </c>
      <c r="L63" s="14"/>
      <c r="M63" s="105"/>
      <c r="N63" s="105"/>
      <c r="O63" s="105"/>
      <c r="P63" s="90"/>
      <c r="Q63" t="s">
        <v>425</v>
      </c>
      <c r="R63" t="s">
        <v>105</v>
      </c>
      <c r="S63" t="s">
        <v>106</v>
      </c>
      <c r="T63" t="s">
        <v>107</v>
      </c>
      <c r="U63" t="s">
        <v>108</v>
      </c>
      <c r="V63" s="3">
        <v>23.47443962097168</v>
      </c>
      <c r="W63" s="97"/>
      <c r="X63" s="129"/>
      <c r="Y63" s="97"/>
      <c r="Z63" s="97"/>
      <c r="AA63" s="85"/>
      <c r="AB63" s="127"/>
      <c r="AC63" s="1"/>
      <c r="AD63" s="1"/>
      <c r="AE63" s="1"/>
    </row>
    <row r="64" spans="1:31" x14ac:dyDescent="0.25">
      <c r="A64" s="101"/>
      <c r="B64" s="1">
        <v>344</v>
      </c>
      <c r="C64" s="1" t="s">
        <v>393</v>
      </c>
      <c r="D64" s="1" t="b">
        <v>0</v>
      </c>
      <c r="E64" s="1" t="s">
        <v>425</v>
      </c>
      <c r="F64" s="1" t="s">
        <v>332</v>
      </c>
      <c r="G64" s="1" t="s">
        <v>106</v>
      </c>
      <c r="H64" s="1"/>
      <c r="I64" s="1"/>
      <c r="J64" s="1">
        <v>22.499790191650391</v>
      </c>
      <c r="K64" s="1">
        <v>17.708463668823242</v>
      </c>
      <c r="L64" s="14"/>
      <c r="M64" s="105"/>
      <c r="N64" s="105"/>
      <c r="O64" s="105"/>
      <c r="P64" s="90"/>
      <c r="Q64" t="s">
        <v>425</v>
      </c>
      <c r="R64" t="s">
        <v>105</v>
      </c>
      <c r="S64" t="s">
        <v>106</v>
      </c>
      <c r="T64" t="s">
        <v>107</v>
      </c>
      <c r="U64" t="s">
        <v>108</v>
      </c>
      <c r="V64" s="3">
        <v>23.542083740234375</v>
      </c>
      <c r="W64" s="97"/>
      <c r="X64" s="129"/>
      <c r="Y64" s="97"/>
      <c r="Z64" s="97"/>
      <c r="AA64" s="85"/>
      <c r="AB64" s="127"/>
      <c r="AC64" s="1"/>
      <c r="AD64" s="1"/>
      <c r="AE64" s="1"/>
    </row>
    <row r="65" spans="1:31" ht="15.75" thickBot="1" x14ac:dyDescent="0.3">
      <c r="A65" s="107"/>
      <c r="B65" s="83">
        <v>368</v>
      </c>
      <c r="C65" s="83" t="s">
        <v>405</v>
      </c>
      <c r="D65" s="83" t="b">
        <v>0</v>
      </c>
      <c r="E65" s="83" t="s">
        <v>425</v>
      </c>
      <c r="F65" s="83" t="s">
        <v>332</v>
      </c>
      <c r="G65" s="83" t="s">
        <v>106</v>
      </c>
      <c r="H65" s="83">
        <f t="shared" ref="H65" si="146">_xlfn.STDEV.S(K62:K65)</f>
        <v>5.5600170595631028E-2</v>
      </c>
      <c r="I65" s="83">
        <f t="shared" ref="I65" si="147">_xlfn.STDEV.S(J62:J65)</f>
        <v>1.6993581560629578E-2</v>
      </c>
      <c r="J65" s="83">
        <v>22.515068054199219</v>
      </c>
      <c r="K65" s="83">
        <v>17.678775787353516</v>
      </c>
      <c r="L65" s="17"/>
      <c r="M65" s="108"/>
      <c r="N65" s="108"/>
      <c r="O65" s="108"/>
      <c r="P65" s="109"/>
      <c r="Q65" t="s">
        <v>425</v>
      </c>
      <c r="R65" t="s">
        <v>105</v>
      </c>
      <c r="S65" t="s">
        <v>106</v>
      </c>
      <c r="T65" t="s">
        <v>107</v>
      </c>
      <c r="U65" t="s">
        <v>108</v>
      </c>
      <c r="V65" s="3">
        <v>23.382410049438477</v>
      </c>
      <c r="W65" s="98"/>
      <c r="X65" s="130"/>
      <c r="Y65" s="98"/>
      <c r="Z65" s="98"/>
      <c r="AA65" s="86"/>
      <c r="AB65" s="127"/>
      <c r="AC65" s="1"/>
      <c r="AD65" s="1"/>
      <c r="AE65" s="1"/>
    </row>
    <row r="66" spans="1:31" x14ac:dyDescent="0.25">
      <c r="A66" s="100"/>
      <c r="B66" s="9">
        <v>345</v>
      </c>
      <c r="C66" s="9" t="s">
        <v>394</v>
      </c>
      <c r="D66" s="9" t="b">
        <v>0</v>
      </c>
      <c r="E66" s="9" t="s">
        <v>426</v>
      </c>
      <c r="F66" s="9" t="s">
        <v>332</v>
      </c>
      <c r="G66" s="9" t="s">
        <v>106</v>
      </c>
      <c r="H66" s="9"/>
      <c r="I66" s="9"/>
      <c r="J66" s="9">
        <v>22.853849411010742</v>
      </c>
      <c r="K66" s="9">
        <v>18.554037094116211</v>
      </c>
      <c r="L66" s="11"/>
      <c r="M66" s="104">
        <f t="shared" ref="M66:N66" si="148">AVERAGE(J66:J69)</f>
        <v>22.862873554229736</v>
      </c>
      <c r="N66" s="104">
        <f t="shared" si="148"/>
        <v>18.527228832244873</v>
      </c>
      <c r="O66" s="104"/>
      <c r="P66" s="89">
        <f t="shared" ref="P66" si="149">GEOMEAN(M66,N66)</f>
        <v>20.581197489502255</v>
      </c>
      <c r="Q66" t="s">
        <v>426</v>
      </c>
      <c r="R66" t="s">
        <v>105</v>
      </c>
      <c r="S66" t="s">
        <v>106</v>
      </c>
      <c r="T66" t="s">
        <v>107</v>
      </c>
      <c r="U66" t="s">
        <v>108</v>
      </c>
      <c r="V66" s="3">
        <v>24.009971618652344</v>
      </c>
      <c r="W66" s="96">
        <f t="shared" ref="W66" si="150">_xlfn.STDEV.S(V66:V69)</f>
        <v>0.19226412539936608</v>
      </c>
      <c r="X66" s="128">
        <f t="shared" ref="X66" si="151">AVERAGE(V66:V69)</f>
        <v>24.162355422973633</v>
      </c>
      <c r="Y66" s="96">
        <f t="shared" ref="Y66" si="152">X66-P66</f>
        <v>3.5811579334713777</v>
      </c>
      <c r="Z66" s="96">
        <f t="shared" ref="Z66" si="153">Y66-$AE$6</f>
        <v>2.562835102607286</v>
      </c>
      <c r="AA66" s="84">
        <f t="shared" ref="AA66" si="154">2^-Z66</f>
        <v>0.16924262789754388</v>
      </c>
      <c r="AB66" s="119"/>
      <c r="AC66" s="1">
        <f t="shared" ref="AC66" si="155">LOG(AA66,2)</f>
        <v>-2.562835102607286</v>
      </c>
      <c r="AD66" s="1"/>
      <c r="AE66" s="1"/>
    </row>
    <row r="67" spans="1:31" x14ac:dyDescent="0.25">
      <c r="A67" s="101"/>
      <c r="B67" s="1">
        <v>369</v>
      </c>
      <c r="C67" s="1" t="s">
        <v>406</v>
      </c>
      <c r="D67" s="1" t="b">
        <v>0</v>
      </c>
      <c r="E67" s="1" t="s">
        <v>426</v>
      </c>
      <c r="F67" s="1" t="s">
        <v>332</v>
      </c>
      <c r="G67" s="1" t="s">
        <v>106</v>
      </c>
      <c r="H67" s="1"/>
      <c r="I67" s="1"/>
      <c r="J67" s="1">
        <v>22.905683517456055</v>
      </c>
      <c r="K67" s="1">
        <v>18.587224960327148</v>
      </c>
      <c r="L67" s="14"/>
      <c r="M67" s="105"/>
      <c r="N67" s="105"/>
      <c r="O67" s="105"/>
      <c r="P67" s="90"/>
      <c r="Q67" t="s">
        <v>426</v>
      </c>
      <c r="R67" t="s">
        <v>105</v>
      </c>
      <c r="S67" t="s">
        <v>106</v>
      </c>
      <c r="T67" t="s">
        <v>107</v>
      </c>
      <c r="U67" t="s">
        <v>108</v>
      </c>
      <c r="V67" s="3">
        <v>24.073936462402344</v>
      </c>
      <c r="W67" s="97"/>
      <c r="X67" s="129"/>
      <c r="Y67" s="97"/>
      <c r="Z67" s="97"/>
      <c r="AA67" s="85"/>
      <c r="AB67" s="119"/>
      <c r="AC67" s="1"/>
      <c r="AD67" s="1"/>
      <c r="AE67" s="1"/>
    </row>
    <row r="68" spans="1:31" x14ac:dyDescent="0.25">
      <c r="A68" s="101"/>
      <c r="B68" s="1">
        <v>346</v>
      </c>
      <c r="C68" s="1" t="s">
        <v>395</v>
      </c>
      <c r="D68" s="1" t="b">
        <v>0</v>
      </c>
      <c r="E68" s="1" t="s">
        <v>426</v>
      </c>
      <c r="F68" s="1" t="s">
        <v>332</v>
      </c>
      <c r="G68" s="1" t="s">
        <v>106</v>
      </c>
      <c r="H68" s="1"/>
      <c r="I68" s="1"/>
      <c r="J68" s="1">
        <v>22.859567642211914</v>
      </c>
      <c r="K68" s="1">
        <v>18.580108642578125</v>
      </c>
      <c r="L68" s="14"/>
      <c r="M68" s="105"/>
      <c r="N68" s="105"/>
      <c r="O68" s="105"/>
      <c r="P68" s="90"/>
      <c r="Q68" t="s">
        <v>426</v>
      </c>
      <c r="R68" t="s">
        <v>105</v>
      </c>
      <c r="S68" t="s">
        <v>106</v>
      </c>
      <c r="T68" t="s">
        <v>107</v>
      </c>
      <c r="U68" t="s">
        <v>108</v>
      </c>
      <c r="V68" s="3">
        <v>24.442232131958008</v>
      </c>
      <c r="W68" s="97"/>
      <c r="X68" s="129"/>
      <c r="Y68" s="97"/>
      <c r="Z68" s="97"/>
      <c r="AA68" s="85"/>
      <c r="AB68" s="119"/>
      <c r="AC68" s="1"/>
      <c r="AD68" s="1"/>
      <c r="AE68" s="1"/>
    </row>
    <row r="69" spans="1:31" ht="15.75" thickBot="1" x14ac:dyDescent="0.3">
      <c r="A69" s="107"/>
      <c r="B69" s="83">
        <v>370</v>
      </c>
      <c r="C69" s="83" t="s">
        <v>407</v>
      </c>
      <c r="D69" s="83" t="b">
        <v>0</v>
      </c>
      <c r="E69" s="83" t="s">
        <v>426</v>
      </c>
      <c r="F69" s="83" t="s">
        <v>332</v>
      </c>
      <c r="G69" s="83" t="s">
        <v>106</v>
      </c>
      <c r="H69" s="83">
        <f t="shared" ref="H69" si="156">_xlfn.STDEV.S(K66:K69)</f>
        <v>9.4209285529769315E-2</v>
      </c>
      <c r="I69" s="83">
        <f t="shared" ref="I69" si="157">_xlfn.STDEV.S(J66:J69)</f>
        <v>3.0844134815735145E-2</v>
      </c>
      <c r="J69" s="83">
        <v>22.832393646240234</v>
      </c>
      <c r="K69" s="83">
        <v>18.387544631958008</v>
      </c>
      <c r="L69" s="17"/>
      <c r="M69" s="108"/>
      <c r="N69" s="108"/>
      <c r="O69" s="108"/>
      <c r="P69" s="109"/>
      <c r="Q69" t="s">
        <v>426</v>
      </c>
      <c r="R69" t="s">
        <v>105</v>
      </c>
      <c r="S69" t="s">
        <v>106</v>
      </c>
      <c r="T69" t="s">
        <v>107</v>
      </c>
      <c r="U69" t="s">
        <v>108</v>
      </c>
      <c r="V69" s="3">
        <v>24.123281478881836</v>
      </c>
      <c r="W69" s="98"/>
      <c r="X69" s="130"/>
      <c r="Y69" s="98"/>
      <c r="Z69" s="98"/>
      <c r="AA69" s="86"/>
      <c r="AB69" s="119"/>
      <c r="AC69" s="1"/>
      <c r="AD69" s="1"/>
      <c r="AE69" s="1"/>
    </row>
    <row r="70" spans="1:31" x14ac:dyDescent="0.25">
      <c r="A70" s="100"/>
      <c r="B70" s="9">
        <v>347</v>
      </c>
      <c r="C70" s="9" t="s">
        <v>396</v>
      </c>
      <c r="D70" s="9" t="b">
        <v>0</v>
      </c>
      <c r="E70" s="9" t="s">
        <v>427</v>
      </c>
      <c r="F70" s="9" t="s">
        <v>332</v>
      </c>
      <c r="G70" s="9" t="s">
        <v>106</v>
      </c>
      <c r="H70" s="9"/>
      <c r="I70" s="9"/>
      <c r="J70" s="9">
        <v>22.899017333984375</v>
      </c>
      <c r="K70" s="9">
        <v>18.637588500976563</v>
      </c>
      <c r="L70" s="11"/>
      <c r="M70" s="104">
        <f t="shared" ref="M70:N70" si="158">AVERAGE(J70:J73)</f>
        <v>23.081553936004639</v>
      </c>
      <c r="N70" s="104">
        <f t="shared" si="158"/>
        <v>18.681993961334229</v>
      </c>
      <c r="O70" s="104"/>
      <c r="P70" s="89">
        <f t="shared" ref="P70" si="159">GEOMEAN(M70,N70)</f>
        <v>20.765583335188275</v>
      </c>
      <c r="Q70" t="s">
        <v>427</v>
      </c>
      <c r="R70" t="s">
        <v>105</v>
      </c>
      <c r="S70" t="s">
        <v>106</v>
      </c>
      <c r="T70" t="s">
        <v>107</v>
      </c>
      <c r="U70" t="s">
        <v>108</v>
      </c>
      <c r="V70" s="3">
        <v>24.285781860351563</v>
      </c>
      <c r="W70" s="96">
        <f t="shared" ref="W70" si="160">_xlfn.STDEV.S(V70:V73)</f>
        <v>0.27934240286136597</v>
      </c>
      <c r="X70" s="128">
        <f t="shared" ref="X70" si="161">AVERAGE(V70:V73)</f>
        <v>24.537214756011963</v>
      </c>
      <c r="Y70" s="96">
        <f t="shared" ref="Y70" si="162">X70-P70</f>
        <v>3.7716314208236881</v>
      </c>
      <c r="Z70" s="96">
        <f t="shared" ref="Z70" si="163">Y70-$AE$6</f>
        <v>2.7533085899595964</v>
      </c>
      <c r="AA70" s="84">
        <f t="shared" ref="AA70" si="164">2^-Z70</f>
        <v>0.14831037298325517</v>
      </c>
      <c r="AB70" s="119"/>
      <c r="AC70" s="1">
        <f t="shared" ref="AC70" si="165">LOG(AA70,2)</f>
        <v>-2.7533085899595964</v>
      </c>
      <c r="AD70" s="1"/>
      <c r="AE70" s="1"/>
    </row>
    <row r="71" spans="1:31" x14ac:dyDescent="0.25">
      <c r="A71" s="101"/>
      <c r="B71" s="1">
        <v>371</v>
      </c>
      <c r="C71" s="1" t="s">
        <v>408</v>
      </c>
      <c r="D71" s="1" t="b">
        <v>0</v>
      </c>
      <c r="E71" s="1" t="s">
        <v>427</v>
      </c>
      <c r="F71" s="1" t="s">
        <v>332</v>
      </c>
      <c r="G71" s="1" t="s">
        <v>106</v>
      </c>
      <c r="H71" s="1"/>
      <c r="I71" s="1"/>
      <c r="J71" s="1">
        <v>22.754722595214844</v>
      </c>
      <c r="K71" s="1">
        <v>18.74791145324707</v>
      </c>
      <c r="L71" s="14"/>
      <c r="M71" s="105"/>
      <c r="N71" s="105"/>
      <c r="O71" s="105"/>
      <c r="P71" s="90"/>
      <c r="Q71" t="s">
        <v>427</v>
      </c>
      <c r="R71" t="s">
        <v>105</v>
      </c>
      <c r="S71" t="s">
        <v>106</v>
      </c>
      <c r="T71" t="s">
        <v>107</v>
      </c>
      <c r="U71" t="s">
        <v>108</v>
      </c>
      <c r="V71" s="3">
        <v>24.311676025390625</v>
      </c>
      <c r="W71" s="97"/>
      <c r="X71" s="129"/>
      <c r="Y71" s="97"/>
      <c r="Z71" s="97"/>
      <c r="AA71" s="85"/>
      <c r="AB71" s="119"/>
      <c r="AC71" s="1"/>
      <c r="AD71" s="1"/>
      <c r="AE71" s="1"/>
    </row>
    <row r="72" spans="1:31" x14ac:dyDescent="0.25">
      <c r="A72" s="101"/>
      <c r="B72" s="1">
        <v>348</v>
      </c>
      <c r="C72" s="1" t="s">
        <v>397</v>
      </c>
      <c r="D72" s="1" t="b">
        <v>0</v>
      </c>
      <c r="E72" s="1" t="s">
        <v>427</v>
      </c>
      <c r="F72" s="1" t="s">
        <v>332</v>
      </c>
      <c r="G72" s="1" t="s">
        <v>106</v>
      </c>
      <c r="H72" s="1"/>
      <c r="I72" s="1"/>
      <c r="J72" s="1">
        <v>22.944528579711914</v>
      </c>
      <c r="K72" s="1">
        <v>18.6053466796875</v>
      </c>
      <c r="L72" s="14"/>
      <c r="M72" s="105"/>
      <c r="N72" s="105"/>
      <c r="O72" s="105"/>
      <c r="P72" s="90"/>
      <c r="Q72" t="s">
        <v>427</v>
      </c>
      <c r="R72" t="s">
        <v>105</v>
      </c>
      <c r="S72" t="s">
        <v>106</v>
      </c>
      <c r="T72" t="s">
        <v>107</v>
      </c>
      <c r="U72" t="s">
        <v>108</v>
      </c>
      <c r="V72" s="3">
        <v>24.719757080078125</v>
      </c>
      <c r="W72" s="97"/>
      <c r="X72" s="129"/>
      <c r="Y72" s="97"/>
      <c r="Z72" s="97"/>
      <c r="AA72" s="85"/>
      <c r="AB72" s="119"/>
      <c r="AC72" s="1"/>
      <c r="AD72" s="1"/>
      <c r="AE72" s="1"/>
    </row>
    <row r="73" spans="1:31" ht="15.75" thickBot="1" x14ac:dyDescent="0.3">
      <c r="A73" s="107"/>
      <c r="B73" s="83">
        <v>372</v>
      </c>
      <c r="C73" s="83" t="s">
        <v>409</v>
      </c>
      <c r="D73" s="83" t="b">
        <v>0</v>
      </c>
      <c r="E73" s="83" t="s">
        <v>427</v>
      </c>
      <c r="F73" s="83" t="s">
        <v>332</v>
      </c>
      <c r="G73" s="83" t="s">
        <v>106</v>
      </c>
      <c r="H73" s="83">
        <f t="shared" ref="H73" si="166">_xlfn.STDEV.S(K70:K73)</f>
        <v>7.1254619116112514E-2</v>
      </c>
      <c r="I73" s="83">
        <f t="shared" ref="I73" si="167">_xlfn.STDEV.S(J70:J73)</f>
        <v>0.43845888510846998</v>
      </c>
      <c r="J73" s="83">
        <v>23.727947235107422</v>
      </c>
      <c r="K73" s="83">
        <v>18.737129211425781</v>
      </c>
      <c r="L73" s="17"/>
      <c r="M73" s="108"/>
      <c r="N73" s="108"/>
      <c r="O73" s="108"/>
      <c r="P73" s="109"/>
      <c r="Q73" t="s">
        <v>427</v>
      </c>
      <c r="R73" t="s">
        <v>105</v>
      </c>
      <c r="S73" t="s">
        <v>106</v>
      </c>
      <c r="T73" t="s">
        <v>107</v>
      </c>
      <c r="U73" t="s">
        <v>108</v>
      </c>
      <c r="V73" s="3">
        <v>24.831644058227539</v>
      </c>
      <c r="W73" s="98"/>
      <c r="X73" s="130"/>
      <c r="Y73" s="98"/>
      <c r="Z73" s="98"/>
      <c r="AA73" s="86"/>
      <c r="AB73" s="119"/>
      <c r="AC73" s="1"/>
      <c r="AD73" s="1"/>
      <c r="AE73" s="1"/>
    </row>
    <row r="74" spans="1:31" x14ac:dyDescent="0.25">
      <c r="A74" s="100"/>
      <c r="B74" s="11"/>
      <c r="C74" s="11"/>
      <c r="D74" s="11"/>
      <c r="E74" s="11"/>
      <c r="F74" s="11"/>
      <c r="G74" s="11"/>
      <c r="H74" s="96"/>
      <c r="I74" s="96"/>
      <c r="J74" s="22"/>
      <c r="K74" s="27"/>
      <c r="L74" s="11"/>
      <c r="M74" s="104"/>
      <c r="N74" s="104"/>
      <c r="O74" s="104"/>
      <c r="P74" s="89"/>
      <c r="Q74" s="13"/>
      <c r="R74" s="11"/>
      <c r="S74" s="11"/>
      <c r="T74" s="11"/>
      <c r="U74" s="11"/>
      <c r="V74" s="29"/>
      <c r="W74" s="96"/>
      <c r="X74" s="124"/>
      <c r="Y74" s="96"/>
      <c r="Z74" s="96"/>
      <c r="AA74" s="96"/>
      <c r="AB74" s="119"/>
      <c r="AC74" s="1"/>
      <c r="AD74" s="1"/>
      <c r="AE74" s="1"/>
    </row>
    <row r="75" spans="1:31" x14ac:dyDescent="0.25">
      <c r="A75" s="101"/>
      <c r="B75" s="14"/>
      <c r="C75" s="14"/>
      <c r="D75" s="14"/>
      <c r="E75" s="14"/>
      <c r="F75" s="14"/>
      <c r="G75" s="14"/>
      <c r="H75" s="97"/>
      <c r="I75" s="97"/>
      <c r="J75" s="24"/>
      <c r="K75" s="30"/>
      <c r="L75" s="14"/>
      <c r="M75" s="105"/>
      <c r="N75" s="105"/>
      <c r="O75" s="105"/>
      <c r="P75" s="90"/>
      <c r="Q75" s="16"/>
      <c r="R75" s="14"/>
      <c r="S75" s="14"/>
      <c r="T75" s="14"/>
      <c r="U75" s="14"/>
      <c r="V75" s="26"/>
      <c r="W75" s="97"/>
      <c r="X75" s="125"/>
      <c r="Y75" s="97"/>
      <c r="Z75" s="97"/>
      <c r="AA75" s="97"/>
      <c r="AB75" s="119"/>
      <c r="AC75" s="1"/>
      <c r="AD75" s="1"/>
      <c r="AE75" s="1"/>
    </row>
    <row r="76" spans="1:31" x14ac:dyDescent="0.25">
      <c r="A76" s="101"/>
      <c r="B76" s="14"/>
      <c r="C76" s="14"/>
      <c r="D76" s="14"/>
      <c r="E76" s="14"/>
      <c r="F76" s="14"/>
      <c r="G76" s="14"/>
      <c r="H76" s="97"/>
      <c r="I76" s="97"/>
      <c r="J76" s="31"/>
      <c r="K76" s="32"/>
      <c r="L76" s="14"/>
      <c r="M76" s="105"/>
      <c r="N76" s="105"/>
      <c r="O76" s="105"/>
      <c r="P76" s="90"/>
      <c r="Q76" s="16"/>
      <c r="R76" s="14"/>
      <c r="S76" s="14"/>
      <c r="T76" s="14"/>
      <c r="U76" s="14"/>
      <c r="V76" s="26"/>
      <c r="W76" s="97"/>
      <c r="X76" s="125"/>
      <c r="Y76" s="97"/>
      <c r="Z76" s="97"/>
      <c r="AA76" s="97"/>
      <c r="AB76" s="119"/>
      <c r="AC76" s="1"/>
      <c r="AD76" s="1"/>
      <c r="AE76" s="1"/>
    </row>
    <row r="77" spans="1:31" ht="15.75" thickBot="1" x14ac:dyDescent="0.3">
      <c r="A77" s="107"/>
      <c r="B77" s="17"/>
      <c r="C77" s="17"/>
      <c r="D77" s="17"/>
      <c r="E77" s="17"/>
      <c r="F77" s="17"/>
      <c r="G77" s="17"/>
      <c r="H77" s="98"/>
      <c r="I77" s="98"/>
      <c r="J77" s="33"/>
      <c r="K77" s="20"/>
      <c r="L77" s="17"/>
      <c r="M77" s="108"/>
      <c r="N77" s="108"/>
      <c r="O77" s="108"/>
      <c r="P77" s="109"/>
      <c r="Q77" s="18"/>
      <c r="R77" s="17"/>
      <c r="S77" s="17"/>
      <c r="T77" s="17"/>
      <c r="U77" s="17"/>
      <c r="V77" s="34"/>
      <c r="W77" s="98"/>
      <c r="X77" s="126"/>
      <c r="Y77" s="98"/>
      <c r="Z77" s="98"/>
      <c r="AA77" s="98"/>
      <c r="AB77" s="119"/>
      <c r="AC77" s="1"/>
      <c r="AD77" s="1"/>
      <c r="AE77" s="1"/>
    </row>
    <row r="78" spans="1:31" x14ac:dyDescent="0.25">
      <c r="A78" s="100"/>
      <c r="B78" s="11"/>
      <c r="C78" s="11"/>
      <c r="D78" s="11"/>
      <c r="E78" s="11"/>
      <c r="F78" s="11"/>
      <c r="G78" s="11"/>
      <c r="H78" s="92"/>
      <c r="I78" s="96"/>
      <c r="J78" s="35"/>
      <c r="K78" s="36"/>
      <c r="L78" s="11"/>
      <c r="M78" s="104"/>
      <c r="N78" s="104"/>
      <c r="O78" s="104"/>
      <c r="P78" s="89"/>
      <c r="Q78" s="13"/>
      <c r="R78" s="11"/>
      <c r="S78" s="11"/>
      <c r="T78" s="11"/>
      <c r="U78" s="11"/>
      <c r="V78" s="37"/>
      <c r="W78" s="96"/>
      <c r="X78" s="121"/>
      <c r="Y78" s="96"/>
      <c r="Z78" s="96"/>
      <c r="AA78" s="96"/>
      <c r="AB78" s="119"/>
      <c r="AC78" s="1"/>
      <c r="AD78" s="1"/>
      <c r="AE78" s="1"/>
    </row>
    <row r="79" spans="1:31" x14ac:dyDescent="0.25">
      <c r="A79" s="101"/>
      <c r="B79" s="14"/>
      <c r="C79" s="14"/>
      <c r="D79" s="14"/>
      <c r="E79" s="14"/>
      <c r="F79" s="14"/>
      <c r="G79" s="14"/>
      <c r="H79" s="93"/>
      <c r="I79" s="97"/>
      <c r="J79" s="38"/>
      <c r="K79" s="39"/>
      <c r="L79" s="14"/>
      <c r="M79" s="105"/>
      <c r="N79" s="105"/>
      <c r="O79" s="105"/>
      <c r="P79" s="90"/>
      <c r="Q79" s="16"/>
      <c r="R79" s="14"/>
      <c r="S79" s="14"/>
      <c r="T79" s="14"/>
      <c r="U79" s="14"/>
      <c r="V79" s="40"/>
      <c r="W79" s="97"/>
      <c r="X79" s="122"/>
      <c r="Y79" s="97"/>
      <c r="Z79" s="97"/>
      <c r="AA79" s="97"/>
      <c r="AB79" s="119"/>
      <c r="AC79" s="1"/>
      <c r="AD79" s="1"/>
      <c r="AE79" s="1"/>
    </row>
    <row r="80" spans="1:31" x14ac:dyDescent="0.25">
      <c r="A80" s="101"/>
      <c r="B80" s="14"/>
      <c r="C80" s="14"/>
      <c r="D80" s="14"/>
      <c r="E80" s="14"/>
      <c r="F80" s="14"/>
      <c r="G80" s="14"/>
      <c r="H80" s="93"/>
      <c r="I80" s="97"/>
      <c r="J80" s="41"/>
      <c r="K80" s="42"/>
      <c r="L80" s="14"/>
      <c r="M80" s="105"/>
      <c r="N80" s="105"/>
      <c r="O80" s="105"/>
      <c r="P80" s="90"/>
      <c r="Q80" s="16"/>
      <c r="R80" s="14"/>
      <c r="S80" s="14"/>
      <c r="T80" s="14"/>
      <c r="U80" s="14"/>
      <c r="V80" s="15"/>
      <c r="W80" s="97"/>
      <c r="X80" s="122"/>
      <c r="Y80" s="97"/>
      <c r="Z80" s="97"/>
      <c r="AA80" s="97"/>
      <c r="AB80" s="119"/>
      <c r="AC80" s="1"/>
      <c r="AD80" s="1"/>
      <c r="AE80" s="1"/>
    </row>
    <row r="81" spans="1:31" ht="15.75" thickBot="1" x14ac:dyDescent="0.3">
      <c r="A81" s="107"/>
      <c r="B81" s="17"/>
      <c r="C81" s="17"/>
      <c r="D81" s="17"/>
      <c r="E81" s="17"/>
      <c r="F81" s="17"/>
      <c r="G81" s="17"/>
      <c r="H81" s="120"/>
      <c r="I81" s="98"/>
      <c r="J81" s="43"/>
      <c r="K81" s="44"/>
      <c r="L81" s="17"/>
      <c r="M81" s="108"/>
      <c r="N81" s="108"/>
      <c r="O81" s="108"/>
      <c r="P81" s="109"/>
      <c r="Q81" s="18"/>
      <c r="R81" s="17"/>
      <c r="S81" s="17"/>
      <c r="T81" s="17"/>
      <c r="U81" s="17"/>
      <c r="V81" s="45"/>
      <c r="W81" s="98"/>
      <c r="X81" s="123"/>
      <c r="Y81" s="98"/>
      <c r="Z81" s="98"/>
      <c r="AA81" s="98"/>
      <c r="AB81" s="119"/>
      <c r="AC81" s="1"/>
      <c r="AD81" s="1"/>
      <c r="AE81" s="1"/>
    </row>
    <row r="82" spans="1:31" x14ac:dyDescent="0.25">
      <c r="A82" s="100"/>
      <c r="B82" s="11"/>
      <c r="C82" s="11"/>
      <c r="D82" s="11"/>
      <c r="E82" s="11"/>
      <c r="F82" s="11"/>
      <c r="G82" s="11"/>
      <c r="H82" s="96"/>
      <c r="I82" s="96"/>
      <c r="J82" s="46"/>
      <c r="K82" s="47"/>
      <c r="L82" s="11"/>
      <c r="M82" s="104"/>
      <c r="N82" s="104"/>
      <c r="O82" s="104"/>
      <c r="P82" s="89"/>
      <c r="Q82" s="13"/>
      <c r="R82" s="11"/>
      <c r="S82" s="11"/>
      <c r="T82" s="11"/>
      <c r="U82" s="11"/>
      <c r="V82" s="29"/>
      <c r="W82" s="96"/>
      <c r="X82" s="116"/>
      <c r="Y82" s="96"/>
      <c r="Z82" s="96"/>
      <c r="AA82" s="96"/>
      <c r="AB82" s="99"/>
      <c r="AC82" s="1"/>
      <c r="AD82" s="1"/>
      <c r="AE82" s="1"/>
    </row>
    <row r="83" spans="1:31" x14ac:dyDescent="0.25">
      <c r="A83" s="101"/>
      <c r="B83" s="14"/>
      <c r="C83" s="14"/>
      <c r="D83" s="14"/>
      <c r="E83" s="14"/>
      <c r="F83" s="14"/>
      <c r="G83" s="14"/>
      <c r="H83" s="97"/>
      <c r="I83" s="97"/>
      <c r="J83" s="48"/>
      <c r="K83" s="49"/>
      <c r="L83" s="14"/>
      <c r="M83" s="105"/>
      <c r="N83" s="105"/>
      <c r="O83" s="105"/>
      <c r="P83" s="90"/>
      <c r="Q83" s="16"/>
      <c r="R83" s="14"/>
      <c r="S83" s="14"/>
      <c r="T83" s="14"/>
      <c r="U83" s="14"/>
      <c r="V83" s="50"/>
      <c r="W83" s="97"/>
      <c r="X83" s="117"/>
      <c r="Y83" s="97"/>
      <c r="Z83" s="97"/>
      <c r="AA83" s="97"/>
      <c r="AB83" s="99"/>
      <c r="AC83" s="1"/>
      <c r="AD83" s="1"/>
      <c r="AE83" s="1"/>
    </row>
    <row r="84" spans="1:31" x14ac:dyDescent="0.25">
      <c r="A84" s="101"/>
      <c r="B84" s="14"/>
      <c r="C84" s="14"/>
      <c r="D84" s="14"/>
      <c r="E84" s="14"/>
      <c r="F84" s="14"/>
      <c r="G84" s="14"/>
      <c r="H84" s="97"/>
      <c r="I84" s="97"/>
      <c r="J84" s="21"/>
      <c r="K84" s="12"/>
      <c r="L84" s="14"/>
      <c r="M84" s="105"/>
      <c r="N84" s="105"/>
      <c r="O84" s="105"/>
      <c r="P84" s="90"/>
      <c r="Q84" s="16"/>
      <c r="R84" s="14"/>
      <c r="S84" s="14"/>
      <c r="T84" s="14"/>
      <c r="U84" s="14"/>
      <c r="V84" s="51"/>
      <c r="W84" s="97"/>
      <c r="X84" s="117"/>
      <c r="Y84" s="97"/>
      <c r="Z84" s="97"/>
      <c r="AA84" s="97"/>
      <c r="AB84" s="99"/>
      <c r="AC84" s="1"/>
      <c r="AD84" s="1"/>
      <c r="AE84" s="1"/>
    </row>
    <row r="85" spans="1:31" ht="15.75" thickBot="1" x14ac:dyDescent="0.3">
      <c r="A85" s="107"/>
      <c r="B85" s="17"/>
      <c r="C85" s="17"/>
      <c r="D85" s="17"/>
      <c r="E85" s="17"/>
      <c r="F85" s="17"/>
      <c r="G85" s="17"/>
      <c r="H85" s="98"/>
      <c r="I85" s="98"/>
      <c r="J85" s="52"/>
      <c r="K85" s="49"/>
      <c r="L85" s="17"/>
      <c r="M85" s="108"/>
      <c r="N85" s="108"/>
      <c r="O85" s="108"/>
      <c r="P85" s="109"/>
      <c r="Q85" s="18"/>
      <c r="R85" s="17"/>
      <c r="S85" s="17"/>
      <c r="T85" s="17"/>
      <c r="U85" s="17"/>
      <c r="V85" s="53"/>
      <c r="W85" s="98"/>
      <c r="X85" s="118"/>
      <c r="Y85" s="98"/>
      <c r="Z85" s="98"/>
      <c r="AA85" s="98"/>
      <c r="AB85" s="99"/>
      <c r="AC85" s="1"/>
      <c r="AD85" s="1"/>
      <c r="AE85" s="1"/>
    </row>
    <row r="86" spans="1:31" x14ac:dyDescent="0.25">
      <c r="A86" s="100"/>
      <c r="B86" s="11"/>
      <c r="C86" s="11"/>
      <c r="D86" s="11"/>
      <c r="E86" s="11"/>
      <c r="F86" s="11"/>
      <c r="G86" s="11"/>
      <c r="H86" s="96"/>
      <c r="I86" s="96"/>
      <c r="J86" s="37"/>
      <c r="K86" s="54"/>
      <c r="L86" s="11"/>
      <c r="M86" s="104"/>
      <c r="N86" s="104"/>
      <c r="O86" s="104"/>
      <c r="P86" s="89"/>
      <c r="Q86" s="13"/>
      <c r="R86" s="11"/>
      <c r="S86" s="11"/>
      <c r="T86" s="11"/>
      <c r="U86" s="11"/>
      <c r="V86" s="55"/>
      <c r="W86" s="96"/>
      <c r="X86" s="113"/>
      <c r="Y86" s="96"/>
      <c r="Z86" s="96"/>
      <c r="AA86" s="96"/>
      <c r="AB86" s="99"/>
      <c r="AC86" s="1"/>
      <c r="AD86" s="1"/>
      <c r="AE86" s="1"/>
    </row>
    <row r="87" spans="1:31" x14ac:dyDescent="0.25">
      <c r="A87" s="101"/>
      <c r="B87" s="14"/>
      <c r="C87" s="14"/>
      <c r="D87" s="14"/>
      <c r="E87" s="14"/>
      <c r="F87" s="14"/>
      <c r="G87" s="14"/>
      <c r="H87" s="97"/>
      <c r="I87" s="97"/>
      <c r="J87" s="56"/>
      <c r="K87" s="32"/>
      <c r="L87" s="14"/>
      <c r="M87" s="105"/>
      <c r="N87" s="105"/>
      <c r="O87" s="105"/>
      <c r="P87" s="90"/>
      <c r="Q87" s="16"/>
      <c r="R87" s="14"/>
      <c r="S87" s="14"/>
      <c r="T87" s="14"/>
      <c r="U87" s="14"/>
      <c r="V87" s="57"/>
      <c r="W87" s="97"/>
      <c r="X87" s="114"/>
      <c r="Y87" s="97"/>
      <c r="Z87" s="97"/>
      <c r="AA87" s="97"/>
      <c r="AB87" s="99"/>
      <c r="AC87" s="1"/>
      <c r="AD87" s="1"/>
      <c r="AE87" s="1"/>
    </row>
    <row r="88" spans="1:31" x14ac:dyDescent="0.25">
      <c r="A88" s="101"/>
      <c r="B88" s="14"/>
      <c r="C88" s="14"/>
      <c r="D88" s="14"/>
      <c r="E88" s="14"/>
      <c r="F88" s="14"/>
      <c r="G88" s="14"/>
      <c r="H88" s="97"/>
      <c r="I88" s="97"/>
      <c r="J88" s="58"/>
      <c r="K88" s="59"/>
      <c r="L88" s="14"/>
      <c r="M88" s="105"/>
      <c r="N88" s="105"/>
      <c r="O88" s="105"/>
      <c r="P88" s="90"/>
      <c r="Q88" s="16"/>
      <c r="R88" s="14"/>
      <c r="S88" s="14"/>
      <c r="T88" s="14"/>
      <c r="U88" s="14"/>
      <c r="V88" s="60"/>
      <c r="W88" s="97"/>
      <c r="X88" s="114"/>
      <c r="Y88" s="97"/>
      <c r="Z88" s="97"/>
      <c r="AA88" s="97"/>
      <c r="AB88" s="99"/>
      <c r="AC88" s="1"/>
      <c r="AD88" s="1"/>
      <c r="AE88" s="1"/>
    </row>
    <row r="89" spans="1:31" ht="15.75" thickBot="1" x14ac:dyDescent="0.3">
      <c r="A89" s="107"/>
      <c r="B89" s="17"/>
      <c r="C89" s="17"/>
      <c r="D89" s="17"/>
      <c r="E89" s="17"/>
      <c r="F89" s="17"/>
      <c r="G89" s="17"/>
      <c r="H89" s="98"/>
      <c r="I89" s="98"/>
      <c r="J89" s="61"/>
      <c r="K89" s="25"/>
      <c r="L89" s="17"/>
      <c r="M89" s="108"/>
      <c r="N89" s="108"/>
      <c r="O89" s="108"/>
      <c r="P89" s="109"/>
      <c r="Q89" s="18"/>
      <c r="R89" s="17"/>
      <c r="S89" s="17"/>
      <c r="T89" s="17"/>
      <c r="U89" s="17"/>
      <c r="V89" s="62"/>
      <c r="W89" s="98"/>
      <c r="X89" s="115"/>
      <c r="Y89" s="98"/>
      <c r="Z89" s="98"/>
      <c r="AA89" s="98"/>
      <c r="AB89" s="99"/>
      <c r="AC89" s="1"/>
      <c r="AD89" s="1"/>
      <c r="AE89" s="1"/>
    </row>
    <row r="90" spans="1:31" x14ac:dyDescent="0.25">
      <c r="A90" s="100"/>
      <c r="B90" s="11"/>
      <c r="C90" s="11"/>
      <c r="D90" s="11"/>
      <c r="E90" s="11"/>
      <c r="F90" s="11"/>
      <c r="G90" s="11"/>
      <c r="H90" s="96"/>
      <c r="I90" s="96"/>
      <c r="J90" s="63"/>
      <c r="K90" s="64"/>
      <c r="L90" s="11"/>
      <c r="M90" s="104"/>
      <c r="N90" s="104"/>
      <c r="O90" s="104"/>
      <c r="P90" s="89"/>
      <c r="Q90" s="13"/>
      <c r="R90" s="11"/>
      <c r="S90" s="11"/>
      <c r="T90" s="11"/>
      <c r="U90" s="11"/>
      <c r="V90" s="35"/>
      <c r="W90" s="96"/>
      <c r="X90" s="110"/>
      <c r="Y90" s="96"/>
      <c r="Z90" s="96"/>
      <c r="AA90" s="96"/>
      <c r="AB90" s="99"/>
      <c r="AC90" s="1"/>
      <c r="AD90" s="1"/>
      <c r="AE90" s="1"/>
    </row>
    <row r="91" spans="1:31" x14ac:dyDescent="0.25">
      <c r="A91" s="101"/>
      <c r="B91" s="14"/>
      <c r="C91" s="14"/>
      <c r="D91" s="14"/>
      <c r="E91" s="14"/>
      <c r="F91" s="14"/>
      <c r="G91" s="14"/>
      <c r="H91" s="97"/>
      <c r="I91" s="97"/>
      <c r="J91" s="65"/>
      <c r="K91" s="23"/>
      <c r="L91" s="14"/>
      <c r="M91" s="105"/>
      <c r="N91" s="105"/>
      <c r="O91" s="105"/>
      <c r="P91" s="90"/>
      <c r="Q91" s="16"/>
      <c r="R91" s="14"/>
      <c r="S91" s="14"/>
      <c r="T91" s="14"/>
      <c r="U91" s="14"/>
      <c r="V91" s="66"/>
      <c r="W91" s="97"/>
      <c r="X91" s="111"/>
      <c r="Y91" s="97"/>
      <c r="Z91" s="97"/>
      <c r="AA91" s="97"/>
      <c r="AB91" s="99"/>
      <c r="AC91" s="1"/>
      <c r="AD91" s="1"/>
      <c r="AE91" s="1"/>
    </row>
    <row r="92" spans="1:31" x14ac:dyDescent="0.25">
      <c r="A92" s="101"/>
      <c r="B92" s="14"/>
      <c r="C92" s="14"/>
      <c r="D92" s="14"/>
      <c r="E92" s="14"/>
      <c r="F92" s="14"/>
      <c r="G92" s="14"/>
      <c r="H92" s="97"/>
      <c r="I92" s="97"/>
      <c r="J92" s="67"/>
      <c r="K92" s="28"/>
      <c r="L92" s="14"/>
      <c r="M92" s="105"/>
      <c r="N92" s="105"/>
      <c r="O92" s="105"/>
      <c r="P92" s="90"/>
      <c r="Q92" s="16"/>
      <c r="R92" s="14"/>
      <c r="S92" s="14"/>
      <c r="T92" s="14"/>
      <c r="U92" s="14"/>
      <c r="V92" s="68"/>
      <c r="W92" s="97"/>
      <c r="X92" s="111"/>
      <c r="Y92" s="97"/>
      <c r="Z92" s="97"/>
      <c r="AA92" s="97"/>
      <c r="AB92" s="99"/>
      <c r="AC92" s="1"/>
      <c r="AD92" s="1"/>
      <c r="AE92" s="1"/>
    </row>
    <row r="93" spans="1:31" ht="15.75" thickBot="1" x14ac:dyDescent="0.3">
      <c r="A93" s="107"/>
      <c r="B93" s="17"/>
      <c r="C93" s="17"/>
      <c r="D93" s="17"/>
      <c r="E93" s="17"/>
      <c r="F93" s="17"/>
      <c r="G93" s="17"/>
      <c r="H93" s="98"/>
      <c r="I93" s="98"/>
      <c r="J93" s="69"/>
      <c r="K93" s="19"/>
      <c r="L93" s="17"/>
      <c r="M93" s="108"/>
      <c r="N93" s="108"/>
      <c r="O93" s="108"/>
      <c r="P93" s="109"/>
      <c r="Q93" s="18"/>
      <c r="R93" s="17"/>
      <c r="S93" s="17"/>
      <c r="T93" s="17"/>
      <c r="U93" s="17"/>
      <c r="V93" s="70"/>
      <c r="W93" s="98"/>
      <c r="X93" s="112"/>
      <c r="Y93" s="98"/>
      <c r="Z93" s="98"/>
      <c r="AA93" s="98"/>
      <c r="AB93" s="99"/>
      <c r="AC93" s="1"/>
      <c r="AD93" s="1"/>
      <c r="AE93" s="1"/>
    </row>
    <row r="94" spans="1:31" x14ac:dyDescent="0.25">
      <c r="A94" s="100"/>
      <c r="B94" s="11"/>
      <c r="C94" s="11"/>
      <c r="D94" s="11"/>
      <c r="E94" s="11"/>
      <c r="F94" s="11"/>
      <c r="G94" s="11"/>
      <c r="H94" s="96"/>
      <c r="I94" s="96"/>
      <c r="J94" s="71"/>
      <c r="K94" s="72"/>
      <c r="L94" s="11"/>
      <c r="M94" s="104"/>
      <c r="N94" s="104"/>
      <c r="O94" s="104"/>
      <c r="P94" s="89"/>
      <c r="Q94" s="13"/>
      <c r="R94" s="11"/>
      <c r="S94" s="11"/>
      <c r="T94" s="11"/>
      <c r="U94" s="11"/>
      <c r="V94" s="73"/>
      <c r="W94" s="92"/>
      <c r="X94" s="94"/>
      <c r="Y94" s="96"/>
      <c r="Z94" s="96"/>
      <c r="AA94" s="96"/>
      <c r="AB94" s="99"/>
      <c r="AC94" s="1"/>
      <c r="AD94" s="1"/>
      <c r="AE94" s="1"/>
    </row>
    <row r="95" spans="1:31" x14ac:dyDescent="0.25">
      <c r="A95" s="101"/>
      <c r="B95" s="14"/>
      <c r="C95" s="14"/>
      <c r="D95" s="14"/>
      <c r="E95" s="14"/>
      <c r="F95" s="14"/>
      <c r="G95" s="14"/>
      <c r="H95" s="97"/>
      <c r="I95" s="97"/>
      <c r="J95" s="74"/>
      <c r="K95" s="75"/>
      <c r="L95" s="14"/>
      <c r="M95" s="105"/>
      <c r="N95" s="105"/>
      <c r="O95" s="105"/>
      <c r="P95" s="90"/>
      <c r="Q95" s="16"/>
      <c r="R95" s="14"/>
      <c r="S95" s="14"/>
      <c r="T95" s="14"/>
      <c r="U95" s="14"/>
      <c r="V95" s="76"/>
      <c r="W95" s="93"/>
      <c r="X95" s="95"/>
      <c r="Y95" s="97"/>
      <c r="Z95" s="97"/>
      <c r="AA95" s="97"/>
      <c r="AB95" s="99"/>
      <c r="AC95" s="1"/>
      <c r="AD95" s="1"/>
      <c r="AE95" s="1"/>
    </row>
    <row r="96" spans="1:31" x14ac:dyDescent="0.25">
      <c r="A96" s="101"/>
      <c r="B96" s="14"/>
      <c r="C96" s="14"/>
      <c r="D96" s="14"/>
      <c r="E96" s="14"/>
      <c r="F96" s="14"/>
      <c r="G96" s="14"/>
      <c r="H96" s="97"/>
      <c r="I96" s="97"/>
      <c r="J96" s="77"/>
      <c r="K96" s="78"/>
      <c r="L96" s="14"/>
      <c r="M96" s="105"/>
      <c r="N96" s="105"/>
      <c r="O96" s="105"/>
      <c r="P96" s="90"/>
      <c r="Q96" s="16"/>
      <c r="R96" s="14"/>
      <c r="S96" s="14"/>
      <c r="T96" s="14"/>
      <c r="U96" s="14"/>
      <c r="V96" s="79"/>
      <c r="W96" s="93"/>
      <c r="X96" s="95"/>
      <c r="Y96" s="97"/>
      <c r="Z96" s="97"/>
      <c r="AA96" s="97"/>
      <c r="AB96" s="99"/>
      <c r="AC96" s="1"/>
      <c r="AD96" s="1"/>
      <c r="AE96" s="1"/>
    </row>
    <row r="97" spans="1:31" ht="15.75" thickBot="1" x14ac:dyDescent="0.3">
      <c r="A97" s="102"/>
      <c r="B97" s="17"/>
      <c r="C97" s="17"/>
      <c r="D97" s="17"/>
      <c r="E97" s="17"/>
      <c r="F97" s="17"/>
      <c r="G97" s="17"/>
      <c r="H97" s="103"/>
      <c r="I97" s="103"/>
      <c r="J97" s="80"/>
      <c r="K97" s="81"/>
      <c r="L97" s="17"/>
      <c r="M97" s="106"/>
      <c r="N97" s="106"/>
      <c r="O97" s="106"/>
      <c r="P97" s="91"/>
      <c r="Q97" s="18"/>
      <c r="R97" s="17"/>
      <c r="S97" s="17"/>
      <c r="T97" s="17"/>
      <c r="U97" s="17"/>
      <c r="V97" s="82"/>
      <c r="W97" s="93"/>
      <c r="X97" s="95"/>
      <c r="Y97" s="97"/>
      <c r="Z97" s="97"/>
      <c r="AA97" s="97"/>
      <c r="AB97" s="99"/>
      <c r="AC97" s="1"/>
      <c r="AD97" s="1"/>
      <c r="AE97" s="1"/>
    </row>
    <row r="98" spans="1:31" x14ac:dyDescent="0.25">
      <c r="A98" s="1"/>
      <c r="B98" s="1"/>
      <c r="C98" s="88"/>
      <c r="D98" s="8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5">
      <c r="A99" s="1"/>
      <c r="B99" s="1"/>
      <c r="C99" s="87"/>
      <c r="D99" s="8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5">
      <c r="A100" s="1"/>
      <c r="B100" s="1"/>
      <c r="C100" s="87"/>
      <c r="D100" s="8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5">
      <c r="A101" s="1"/>
      <c r="B101" s="1"/>
      <c r="C101" s="87"/>
      <c r="D101" s="8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25">
      <c r="A102" s="1"/>
      <c r="B102" s="1"/>
      <c r="C102" s="87"/>
      <c r="D102" s="8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25">
      <c r="A103" s="1"/>
      <c r="B103" s="1"/>
      <c r="C103" s="87"/>
      <c r="D103" s="8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25">
      <c r="A104" s="1"/>
      <c r="B104" s="1"/>
      <c r="C104" s="87"/>
      <c r="D104" s="8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25">
      <c r="A105" s="1"/>
      <c r="B105" s="1"/>
      <c r="C105" s="87"/>
      <c r="D105" s="8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25">
      <c r="A106" s="1"/>
      <c r="B106" s="1"/>
      <c r="C106" s="87"/>
      <c r="D106" s="8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s="1"/>
      <c r="B107" s="1"/>
      <c r="C107" s="87"/>
      <c r="D107" s="8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25">
      <c r="A108" s="1"/>
      <c r="B108" s="1"/>
      <c r="C108" s="87"/>
      <c r="D108" s="8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x14ac:dyDescent="0.25">
      <c r="A109" s="1"/>
      <c r="B109" s="1"/>
      <c r="C109" s="87"/>
      <c r="D109" s="8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25">
      <c r="A110" s="1"/>
      <c r="B110" s="1"/>
      <c r="C110" s="87"/>
      <c r="D110" s="8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x14ac:dyDescent="0.25">
      <c r="A111" s="1"/>
      <c r="B111" s="1"/>
      <c r="C111" s="87"/>
      <c r="D111" s="8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x14ac:dyDescent="0.25">
      <c r="A112" s="1"/>
      <c r="B112" s="1"/>
      <c r="C112" s="87"/>
      <c r="D112" s="8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x14ac:dyDescent="0.25">
      <c r="A113" s="1"/>
      <c r="B113" s="1"/>
      <c r="C113" s="87"/>
      <c r="D113" s="8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</sheetData>
  <mergeCells count="302">
    <mergeCell ref="AB2:AB5"/>
    <mergeCell ref="AD2:AD3"/>
    <mergeCell ref="AE2:AE3"/>
    <mergeCell ref="AD4:AD5"/>
    <mergeCell ref="AE4:AE5"/>
    <mergeCell ref="A6:A9"/>
    <mergeCell ref="M6:M9"/>
    <mergeCell ref="N6:N9"/>
    <mergeCell ref="P2:P5"/>
    <mergeCell ref="W2:W5"/>
    <mergeCell ref="X2:X5"/>
    <mergeCell ref="Y2:Y5"/>
    <mergeCell ref="Z2:Z5"/>
    <mergeCell ref="A2:A5"/>
    <mergeCell ref="M2:M5"/>
    <mergeCell ref="N2:N5"/>
    <mergeCell ref="O2:O5"/>
    <mergeCell ref="AB6:AB9"/>
    <mergeCell ref="AD6:AD7"/>
    <mergeCell ref="AE6:AE7"/>
    <mergeCell ref="AD8:AD9"/>
    <mergeCell ref="AE8:AE9"/>
    <mergeCell ref="O6:O9"/>
    <mergeCell ref="P6:P9"/>
    <mergeCell ref="W6:W9"/>
    <mergeCell ref="X6:X9"/>
    <mergeCell ref="Y6:Y9"/>
    <mergeCell ref="Z6:Z9"/>
    <mergeCell ref="AB10:AB13"/>
    <mergeCell ref="AD10:AD11"/>
    <mergeCell ref="AE10:AE11"/>
    <mergeCell ref="AD12:AD13"/>
    <mergeCell ref="AE12:AE13"/>
    <mergeCell ref="A14:A17"/>
    <mergeCell ref="M14:M17"/>
    <mergeCell ref="N14:N17"/>
    <mergeCell ref="P10:P13"/>
    <mergeCell ref="W10:W13"/>
    <mergeCell ref="X10:X13"/>
    <mergeCell ref="Y10:Y13"/>
    <mergeCell ref="Z10:Z13"/>
    <mergeCell ref="A10:A13"/>
    <mergeCell ref="M10:M13"/>
    <mergeCell ref="N10:N13"/>
    <mergeCell ref="O10:O13"/>
    <mergeCell ref="AB14:AB17"/>
    <mergeCell ref="AD14:AD15"/>
    <mergeCell ref="AE14:AE15"/>
    <mergeCell ref="AD16:AD17"/>
    <mergeCell ref="AE16:AE17"/>
    <mergeCell ref="AB18:AB21"/>
    <mergeCell ref="AD18:AD19"/>
    <mergeCell ref="AE18:AE19"/>
    <mergeCell ref="O14:O17"/>
    <mergeCell ref="P14:P17"/>
    <mergeCell ref="W14:W17"/>
    <mergeCell ref="X14:X17"/>
    <mergeCell ref="Y14:Y17"/>
    <mergeCell ref="Z14:Z17"/>
    <mergeCell ref="AD20:AD21"/>
    <mergeCell ref="AE20:AE21"/>
    <mergeCell ref="Y18:Y21"/>
    <mergeCell ref="Z18:Z21"/>
    <mergeCell ref="N22:N25"/>
    <mergeCell ref="O22:O25"/>
    <mergeCell ref="P22:P25"/>
    <mergeCell ref="W22:W25"/>
    <mergeCell ref="P18:P21"/>
    <mergeCell ref="W18:W21"/>
    <mergeCell ref="X18:X21"/>
    <mergeCell ref="A18:A21"/>
    <mergeCell ref="M18:M21"/>
    <mergeCell ref="N18:N21"/>
    <mergeCell ref="O18:O21"/>
    <mergeCell ref="W26:W29"/>
    <mergeCell ref="X26:X29"/>
    <mergeCell ref="Y26:Y29"/>
    <mergeCell ref="Z26:Z29"/>
    <mergeCell ref="AB26:AB29"/>
    <mergeCell ref="AE22:AE23"/>
    <mergeCell ref="AD24:AD25"/>
    <mergeCell ref="AE24:AE25"/>
    <mergeCell ref="A26:A29"/>
    <mergeCell ref="M26:M29"/>
    <mergeCell ref="N26:N29"/>
    <mergeCell ref="O26:O29"/>
    <mergeCell ref="P26:P29"/>
    <mergeCell ref="X22:X25"/>
    <mergeCell ref="Y22:Y25"/>
    <mergeCell ref="Z22:Z25"/>
    <mergeCell ref="AB22:AB25"/>
    <mergeCell ref="AD22:AD23"/>
    <mergeCell ref="AD26:AD27"/>
    <mergeCell ref="AE26:AE27"/>
    <mergeCell ref="AD28:AD29"/>
    <mergeCell ref="AE28:AE29"/>
    <mergeCell ref="A22:A25"/>
    <mergeCell ref="M22:M25"/>
    <mergeCell ref="Y34:Y37"/>
    <mergeCell ref="Z34:Z37"/>
    <mergeCell ref="AB34:AB37"/>
    <mergeCell ref="A38:A41"/>
    <mergeCell ref="M38:M41"/>
    <mergeCell ref="N38:N41"/>
    <mergeCell ref="O38:O41"/>
    <mergeCell ref="AB30:AB33"/>
    <mergeCell ref="A34:A37"/>
    <mergeCell ref="M34:M37"/>
    <mergeCell ref="N34:N37"/>
    <mergeCell ref="O34:O37"/>
    <mergeCell ref="P34:P37"/>
    <mergeCell ref="W34:W37"/>
    <mergeCell ref="X34:X37"/>
    <mergeCell ref="P30:P33"/>
    <mergeCell ref="W30:W33"/>
    <mergeCell ref="X30:X33"/>
    <mergeCell ref="Y30:Y33"/>
    <mergeCell ref="Z30:Z33"/>
    <mergeCell ref="A30:A33"/>
    <mergeCell ref="M30:M33"/>
    <mergeCell ref="N30:N33"/>
    <mergeCell ref="O30:O33"/>
    <mergeCell ref="Y42:Y45"/>
    <mergeCell ref="Z42:Z45"/>
    <mergeCell ref="AB42:AB45"/>
    <mergeCell ref="A46:A49"/>
    <mergeCell ref="M46:M49"/>
    <mergeCell ref="N46:N49"/>
    <mergeCell ref="O46:O49"/>
    <mergeCell ref="AB38:AB41"/>
    <mergeCell ref="A42:A45"/>
    <mergeCell ref="M42:M45"/>
    <mergeCell ref="N42:N45"/>
    <mergeCell ref="O42:O45"/>
    <mergeCell ref="P42:P45"/>
    <mergeCell ref="W42:W45"/>
    <mergeCell ref="X42:X45"/>
    <mergeCell ref="P38:P41"/>
    <mergeCell ref="W38:W41"/>
    <mergeCell ref="X38:X41"/>
    <mergeCell ref="Y38:Y41"/>
    <mergeCell ref="Z38:Z41"/>
    <mergeCell ref="Y50:Y53"/>
    <mergeCell ref="Z50:Z53"/>
    <mergeCell ref="AB50:AB53"/>
    <mergeCell ref="A54:A57"/>
    <mergeCell ref="M54:M57"/>
    <mergeCell ref="N54:N57"/>
    <mergeCell ref="O54:O57"/>
    <mergeCell ref="AB46:AB49"/>
    <mergeCell ref="A50:A53"/>
    <mergeCell ref="M50:M53"/>
    <mergeCell ref="N50:N53"/>
    <mergeCell ref="O50:O53"/>
    <mergeCell ref="P50:P53"/>
    <mergeCell ref="W50:W53"/>
    <mergeCell ref="X50:X53"/>
    <mergeCell ref="P46:P49"/>
    <mergeCell ref="W46:W49"/>
    <mergeCell ref="X46:X49"/>
    <mergeCell ref="Y46:Y49"/>
    <mergeCell ref="Z46:Z49"/>
    <mergeCell ref="Y58:Y61"/>
    <mergeCell ref="Z58:Z61"/>
    <mergeCell ref="AB58:AB61"/>
    <mergeCell ref="A62:A65"/>
    <mergeCell ref="M62:M65"/>
    <mergeCell ref="N62:N65"/>
    <mergeCell ref="O62:O65"/>
    <mergeCell ref="AB54:AB57"/>
    <mergeCell ref="A58:A61"/>
    <mergeCell ref="M58:M61"/>
    <mergeCell ref="N58:N61"/>
    <mergeCell ref="O58:O61"/>
    <mergeCell ref="P58:P61"/>
    <mergeCell ref="W58:W61"/>
    <mergeCell ref="X58:X61"/>
    <mergeCell ref="P54:P57"/>
    <mergeCell ref="W54:W57"/>
    <mergeCell ref="X54:X57"/>
    <mergeCell ref="Y54:Y57"/>
    <mergeCell ref="Z54:Z57"/>
    <mergeCell ref="A70:A73"/>
    <mergeCell ref="M70:M73"/>
    <mergeCell ref="N70:N73"/>
    <mergeCell ref="O70:O73"/>
    <mergeCell ref="AB62:AB65"/>
    <mergeCell ref="A66:A69"/>
    <mergeCell ref="M66:M69"/>
    <mergeCell ref="N66:N69"/>
    <mergeCell ref="O66:O69"/>
    <mergeCell ref="P66:P69"/>
    <mergeCell ref="W66:W69"/>
    <mergeCell ref="X66:X69"/>
    <mergeCell ref="P62:P65"/>
    <mergeCell ref="W62:W65"/>
    <mergeCell ref="X62:X65"/>
    <mergeCell ref="Y62:Y65"/>
    <mergeCell ref="Z62:Z65"/>
    <mergeCell ref="AB70:AB73"/>
    <mergeCell ref="P70:P73"/>
    <mergeCell ref="W70:W73"/>
    <mergeCell ref="X70:X73"/>
    <mergeCell ref="M74:M77"/>
    <mergeCell ref="N74:N77"/>
    <mergeCell ref="O74:O77"/>
    <mergeCell ref="P74:P77"/>
    <mergeCell ref="W74:W77"/>
    <mergeCell ref="X74:X77"/>
    <mergeCell ref="Y66:Y69"/>
    <mergeCell ref="Z66:Z69"/>
    <mergeCell ref="AB66:AB69"/>
    <mergeCell ref="W82:W85"/>
    <mergeCell ref="X82:X85"/>
    <mergeCell ref="Y70:Y73"/>
    <mergeCell ref="Z70:Z73"/>
    <mergeCell ref="Y74:Y77"/>
    <mergeCell ref="Z74:Z77"/>
    <mergeCell ref="AA74:AA77"/>
    <mergeCell ref="AB74:AB77"/>
    <mergeCell ref="A78:A81"/>
    <mergeCell ref="H78:H81"/>
    <mergeCell ref="I78:I81"/>
    <mergeCell ref="M78:M81"/>
    <mergeCell ref="N78:N81"/>
    <mergeCell ref="O78:O81"/>
    <mergeCell ref="AB78:AB81"/>
    <mergeCell ref="P78:P81"/>
    <mergeCell ref="W78:W81"/>
    <mergeCell ref="X78:X81"/>
    <mergeCell ref="Y78:Y81"/>
    <mergeCell ref="Z78:Z81"/>
    <mergeCell ref="AA78:AA81"/>
    <mergeCell ref="A74:A77"/>
    <mergeCell ref="H74:H77"/>
    <mergeCell ref="I74:I77"/>
    <mergeCell ref="Y82:Y85"/>
    <mergeCell ref="Z82:Z85"/>
    <mergeCell ref="AA82:AA85"/>
    <mergeCell ref="AB82:AB85"/>
    <mergeCell ref="A86:A89"/>
    <mergeCell ref="H86:H89"/>
    <mergeCell ref="I86:I89"/>
    <mergeCell ref="M86:M89"/>
    <mergeCell ref="N86:N89"/>
    <mergeCell ref="O86:O89"/>
    <mergeCell ref="AB86:AB89"/>
    <mergeCell ref="P86:P89"/>
    <mergeCell ref="W86:W89"/>
    <mergeCell ref="X86:X89"/>
    <mergeCell ref="Y86:Y89"/>
    <mergeCell ref="Z86:Z89"/>
    <mergeCell ref="AA86:AA89"/>
    <mergeCell ref="A82:A85"/>
    <mergeCell ref="H82:H85"/>
    <mergeCell ref="I82:I85"/>
    <mergeCell ref="M82:M85"/>
    <mergeCell ref="N82:N85"/>
    <mergeCell ref="O82:O85"/>
    <mergeCell ref="P82:P85"/>
    <mergeCell ref="Y90:Y93"/>
    <mergeCell ref="Z90:Z93"/>
    <mergeCell ref="AA90:AA93"/>
    <mergeCell ref="AB90:AB93"/>
    <mergeCell ref="A94:A97"/>
    <mergeCell ref="H94:H97"/>
    <mergeCell ref="I94:I97"/>
    <mergeCell ref="M94:M97"/>
    <mergeCell ref="N94:N97"/>
    <mergeCell ref="O94:O97"/>
    <mergeCell ref="AB94:AB97"/>
    <mergeCell ref="Z94:Z97"/>
    <mergeCell ref="AA94:AA97"/>
    <mergeCell ref="A90:A93"/>
    <mergeCell ref="H90:H93"/>
    <mergeCell ref="I90:I93"/>
    <mergeCell ref="M90:M93"/>
    <mergeCell ref="N90:N93"/>
    <mergeCell ref="O90:O93"/>
    <mergeCell ref="P90:P93"/>
    <mergeCell ref="W90:W93"/>
    <mergeCell ref="X90:X93"/>
    <mergeCell ref="C98:D98"/>
    <mergeCell ref="C99:D99"/>
    <mergeCell ref="C100:D100"/>
    <mergeCell ref="C101:D101"/>
    <mergeCell ref="C102:D102"/>
    <mergeCell ref="P94:P97"/>
    <mergeCell ref="W94:W97"/>
    <mergeCell ref="X94:X97"/>
    <mergeCell ref="Y94:Y97"/>
    <mergeCell ref="C109:D109"/>
    <mergeCell ref="C110:D110"/>
    <mergeCell ref="C111:D111"/>
    <mergeCell ref="C112:D112"/>
    <mergeCell ref="C113:D113"/>
    <mergeCell ref="C103:D103"/>
    <mergeCell ref="C104:D104"/>
    <mergeCell ref="C105:D105"/>
    <mergeCell ref="C106:D106"/>
    <mergeCell ref="C107:D107"/>
    <mergeCell ref="C108:D10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C55D-A6DD-43F5-9AAE-DCEFB5F66B7E}">
  <dimension ref="A1:AN113"/>
  <sheetViews>
    <sheetView topLeftCell="P13" workbookViewId="0">
      <selection activeCell="AM6" sqref="AM6:AN8"/>
    </sheetView>
  </sheetViews>
  <sheetFormatPr defaultRowHeight="15" x14ac:dyDescent="0.25"/>
  <cols>
    <col min="5" max="5" width="49.42578125" customWidth="1"/>
    <col min="8" max="8" width="14" customWidth="1"/>
    <col min="9" max="9" width="18.28515625" customWidth="1"/>
    <col min="13" max="13" width="17.28515625" customWidth="1"/>
    <col min="17" max="17" width="36.28515625" customWidth="1"/>
    <col min="30" max="30" width="16.42578125" customWidth="1"/>
  </cols>
  <sheetData>
    <row r="1" spans="1:40" ht="15.75" thickBot="1" x14ac:dyDescent="0.3">
      <c r="A1" s="1"/>
      <c r="B1" s="4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6" t="s">
        <v>428</v>
      </c>
      <c r="I1" s="6" t="s">
        <v>429</v>
      </c>
      <c r="J1" s="7" t="s">
        <v>430</v>
      </c>
      <c r="K1" s="7" t="s">
        <v>431</v>
      </c>
      <c r="L1" s="8" t="s">
        <v>432</v>
      </c>
      <c r="M1" s="8" t="s">
        <v>433</v>
      </c>
      <c r="N1" s="4" t="s">
        <v>434</v>
      </c>
      <c r="O1" s="5"/>
      <c r="P1" s="5" t="s">
        <v>435</v>
      </c>
      <c r="Q1" s="5" t="s">
        <v>63</v>
      </c>
      <c r="R1" s="5" t="s">
        <v>64</v>
      </c>
      <c r="S1" s="5" t="s">
        <v>65</v>
      </c>
      <c r="T1" s="5" t="s">
        <v>66</v>
      </c>
      <c r="U1" s="5" t="s">
        <v>67</v>
      </c>
      <c r="V1" s="7" t="s">
        <v>68</v>
      </c>
      <c r="W1" s="5" t="s">
        <v>436</v>
      </c>
      <c r="X1" s="8" t="s">
        <v>437</v>
      </c>
      <c r="Y1" s="9" t="s">
        <v>438</v>
      </c>
      <c r="Z1" s="9" t="s">
        <v>439</v>
      </c>
      <c r="AA1" s="10" t="s">
        <v>440</v>
      </c>
      <c r="AB1" s="1"/>
      <c r="AC1" s="9" t="s">
        <v>441</v>
      </c>
      <c r="AD1" s="1"/>
      <c r="AE1" s="1"/>
    </row>
    <row r="2" spans="1:40" x14ac:dyDescent="0.25">
      <c r="A2" s="100"/>
      <c r="B2" s="9">
        <v>337</v>
      </c>
      <c r="C2" s="9" t="s">
        <v>386</v>
      </c>
      <c r="D2" s="9" t="s">
        <v>103</v>
      </c>
      <c r="E2" s="9" t="s">
        <v>104</v>
      </c>
      <c r="F2" s="9" t="s">
        <v>332</v>
      </c>
      <c r="G2" s="9" t="s">
        <v>106</v>
      </c>
      <c r="H2" s="9"/>
      <c r="I2" s="9"/>
      <c r="J2" s="9">
        <v>23.096</v>
      </c>
      <c r="K2" s="9">
        <v>18.398</v>
      </c>
      <c r="L2" s="11"/>
      <c r="M2" s="104">
        <f>AVERAGE(J2:J5)</f>
        <v>23.071750000000002</v>
      </c>
      <c r="N2" s="104">
        <f>AVERAGE(K2:K5)</f>
        <v>18.297750000000001</v>
      </c>
      <c r="O2" s="104"/>
      <c r="P2" s="89">
        <f>GEOMEAN(M2,N2)</f>
        <v>20.546559652713153</v>
      </c>
      <c r="Q2" s="1" t="s">
        <v>104</v>
      </c>
      <c r="R2" s="1" t="s">
        <v>269</v>
      </c>
      <c r="S2" s="1" t="s">
        <v>106</v>
      </c>
      <c r="T2" s="1" t="s">
        <v>107</v>
      </c>
      <c r="U2" s="1" t="s">
        <v>108</v>
      </c>
      <c r="V2" s="1">
        <v>31.681999999999999</v>
      </c>
      <c r="W2" s="96">
        <f>_xlfn.STDEV.S(V2:V5)</f>
        <v>0.61212253675224171</v>
      </c>
      <c r="X2" s="128">
        <f>AVERAGE(V2:V5)</f>
        <v>32.177</v>
      </c>
      <c r="Y2" s="96">
        <f>X2-P2</f>
        <v>11.630440347286847</v>
      </c>
      <c r="Z2" s="96">
        <f>Y2-$AE$2</f>
        <v>-2.0207461957271633E-2</v>
      </c>
      <c r="AA2" s="84">
        <f>2^-Z2</f>
        <v>1.0141052993415984</v>
      </c>
      <c r="AB2" s="150"/>
      <c r="AC2" s="1">
        <f>LOG(AA2,2)</f>
        <v>2.0207461957271675E-2</v>
      </c>
      <c r="AD2" s="153" t="s">
        <v>442</v>
      </c>
      <c r="AE2" s="155">
        <f>AVERAGE(Y2,Y6)</f>
        <v>11.650647809244118</v>
      </c>
      <c r="AG2">
        <f>AC2</f>
        <v>2.0207461957271675E-2</v>
      </c>
      <c r="AH2">
        <f>AC6</f>
        <v>-2.0207461957271664E-2</v>
      </c>
      <c r="AJ2">
        <f>AC26</f>
        <v>-0.13367269164904974</v>
      </c>
      <c r="AK2">
        <f>AC30</f>
        <v>0.13367269164904977</v>
      </c>
      <c r="AM2">
        <f>AC50</f>
        <v>-0.2676423551323186</v>
      </c>
      <c r="AN2">
        <f>AC54</f>
        <v>0.2676423551323186</v>
      </c>
    </row>
    <row r="3" spans="1:40" x14ac:dyDescent="0.25">
      <c r="A3" s="101"/>
      <c r="B3" s="1">
        <v>361</v>
      </c>
      <c r="C3" s="1" t="s">
        <v>398</v>
      </c>
      <c r="D3" s="1" t="s">
        <v>103</v>
      </c>
      <c r="E3" s="1" t="s">
        <v>104</v>
      </c>
      <c r="F3" s="1" t="s">
        <v>332</v>
      </c>
      <c r="G3" s="1" t="s">
        <v>106</v>
      </c>
      <c r="H3" s="1"/>
      <c r="I3" s="1"/>
      <c r="J3" s="1">
        <v>23.042999999999999</v>
      </c>
      <c r="K3" s="1">
        <v>18.263999999999999</v>
      </c>
      <c r="L3" s="14"/>
      <c r="M3" s="105"/>
      <c r="N3" s="105"/>
      <c r="O3" s="105"/>
      <c r="P3" s="90"/>
      <c r="Q3" s="1" t="s">
        <v>104</v>
      </c>
      <c r="R3" s="1" t="s">
        <v>269</v>
      </c>
      <c r="S3" s="1" t="s">
        <v>106</v>
      </c>
      <c r="T3" s="1" t="s">
        <v>107</v>
      </c>
      <c r="U3" s="1" t="s">
        <v>108</v>
      </c>
      <c r="V3" s="1">
        <v>31.613</v>
      </c>
      <c r="W3" s="97"/>
      <c r="X3" s="129"/>
      <c r="Y3" s="97"/>
      <c r="Z3" s="97"/>
      <c r="AA3" s="85"/>
      <c r="AB3" s="151"/>
      <c r="AC3" s="1"/>
      <c r="AD3" s="154"/>
      <c r="AE3" s="156"/>
      <c r="AG3">
        <f>AC10</f>
        <v>5.8637510310984471</v>
      </c>
      <c r="AH3">
        <f>AC14</f>
        <v>5.8590482747070221</v>
      </c>
      <c r="AJ3">
        <f>AC34</f>
        <v>6.5111569776265554</v>
      </c>
      <c r="AK3">
        <f>AC38</f>
        <v>6.4955460963909815</v>
      </c>
      <c r="AM3">
        <f>AC58</f>
        <v>6.4040521701698498</v>
      </c>
      <c r="AN3">
        <f>AC62</f>
        <v>6.4076363072979943</v>
      </c>
    </row>
    <row r="4" spans="1:40" x14ac:dyDescent="0.25">
      <c r="A4" s="101"/>
      <c r="B4" s="1">
        <v>338</v>
      </c>
      <c r="C4" s="1" t="s">
        <v>387</v>
      </c>
      <c r="D4" s="1" t="s">
        <v>103</v>
      </c>
      <c r="E4" s="1" t="s">
        <v>104</v>
      </c>
      <c r="F4" s="1" t="s">
        <v>332</v>
      </c>
      <c r="G4" s="1" t="s">
        <v>106</v>
      </c>
      <c r="H4" s="1"/>
      <c r="I4" s="1"/>
      <c r="J4" s="1">
        <v>23.064</v>
      </c>
      <c r="K4" s="1">
        <v>18.318999999999999</v>
      </c>
      <c r="L4" s="14"/>
      <c r="M4" s="105"/>
      <c r="N4" s="105"/>
      <c r="O4" s="105"/>
      <c r="P4" s="90"/>
      <c r="Q4" s="1" t="s">
        <v>104</v>
      </c>
      <c r="R4" s="1" t="s">
        <v>269</v>
      </c>
      <c r="S4" s="1" t="s">
        <v>106</v>
      </c>
      <c r="T4" s="1" t="s">
        <v>107</v>
      </c>
      <c r="U4" s="1" t="s">
        <v>108</v>
      </c>
      <c r="V4" s="1">
        <v>32.695999999999998</v>
      </c>
      <c r="W4" s="97"/>
      <c r="X4" s="129"/>
      <c r="Y4" s="97"/>
      <c r="Z4" s="97"/>
      <c r="AA4" s="85"/>
      <c r="AB4" s="151"/>
      <c r="AC4" s="1"/>
      <c r="AD4" s="153" t="s">
        <v>443</v>
      </c>
      <c r="AE4" s="155">
        <f>AVERAGE(Y26,Y30)</f>
        <v>11.184835972136007</v>
      </c>
      <c r="AG4">
        <f>AC18</f>
        <v>6.4471396884772805</v>
      </c>
      <c r="AH4">
        <f>AC22</f>
        <v>6.5967833158033482</v>
      </c>
      <c r="AJ4">
        <f>AC42</f>
        <v>7.7574825717695086</v>
      </c>
      <c r="AK4">
        <f>AC46</f>
        <v>7.1459666437897127</v>
      </c>
      <c r="AM4">
        <f>AC66</f>
        <v>6.8731321043476692</v>
      </c>
      <c r="AN4">
        <f>AC70</f>
        <v>6.9934825343842748</v>
      </c>
    </row>
    <row r="5" spans="1:40" ht="15.75" thickBot="1" x14ac:dyDescent="0.3">
      <c r="A5" s="107"/>
      <c r="B5" s="83">
        <v>362</v>
      </c>
      <c r="C5" s="83" t="s">
        <v>399</v>
      </c>
      <c r="D5" s="83" t="s">
        <v>103</v>
      </c>
      <c r="E5" s="83" t="s">
        <v>104</v>
      </c>
      <c r="F5" s="83" t="s">
        <v>332</v>
      </c>
      <c r="G5" s="83" t="s">
        <v>106</v>
      </c>
      <c r="H5" s="83">
        <f>_xlfn.STDEV.S(K2:K5)</f>
        <v>8.0292693731538217E-2</v>
      </c>
      <c r="I5" s="83">
        <f>_xlfn.STDEV.S(J2:J5)</f>
        <v>2.3271943050234237E-2</v>
      </c>
      <c r="J5" s="83">
        <v>23.084</v>
      </c>
      <c r="K5" s="83">
        <v>18.21</v>
      </c>
      <c r="L5" s="17"/>
      <c r="M5" s="108"/>
      <c r="N5" s="108"/>
      <c r="O5" s="108"/>
      <c r="P5" s="109"/>
      <c r="Q5" s="1" t="s">
        <v>104</v>
      </c>
      <c r="R5" s="1" t="s">
        <v>269</v>
      </c>
      <c r="S5" s="1" t="s">
        <v>106</v>
      </c>
      <c r="T5" s="1" t="s">
        <v>107</v>
      </c>
      <c r="U5" s="1" t="s">
        <v>108</v>
      </c>
      <c r="V5" s="1">
        <v>32.716999999999999</v>
      </c>
      <c r="W5" s="98"/>
      <c r="X5" s="130"/>
      <c r="Y5" s="98"/>
      <c r="Z5" s="98"/>
      <c r="AA5" s="86"/>
      <c r="AB5" s="152"/>
      <c r="AC5" s="1"/>
      <c r="AD5" s="154"/>
      <c r="AE5" s="156"/>
      <c r="AF5">
        <v>75</v>
      </c>
      <c r="AI5">
        <v>100</v>
      </c>
      <c r="AL5">
        <v>150</v>
      </c>
    </row>
    <row r="6" spans="1:40" x14ac:dyDescent="0.25">
      <c r="A6" s="101"/>
      <c r="B6" s="9">
        <v>339</v>
      </c>
      <c r="C6" s="9" t="s">
        <v>388</v>
      </c>
      <c r="D6" s="9" t="s">
        <v>103</v>
      </c>
      <c r="E6" s="9" t="s">
        <v>114</v>
      </c>
      <c r="F6" s="9" t="s">
        <v>332</v>
      </c>
      <c r="G6" s="9" t="s">
        <v>106</v>
      </c>
      <c r="H6" s="9"/>
      <c r="I6" s="9"/>
      <c r="J6" s="9">
        <v>22.887</v>
      </c>
      <c r="K6" s="9">
        <v>18.141999999999999</v>
      </c>
      <c r="L6" s="11"/>
      <c r="M6" s="104">
        <f t="shared" ref="M6:N6" si="0">AVERAGE(J6:J9)</f>
        <v>22.817999999999998</v>
      </c>
      <c r="N6" s="104">
        <f t="shared" si="0"/>
        <v>18.093499999999999</v>
      </c>
      <c r="O6" s="104"/>
      <c r="P6" s="89">
        <f t="shared" ref="P6" si="1">GEOMEAN(M6,N6)</f>
        <v>20.318894728798611</v>
      </c>
      <c r="Q6" s="1" t="s">
        <v>114</v>
      </c>
      <c r="R6" s="1" t="s">
        <v>269</v>
      </c>
      <c r="S6" s="1" t="s">
        <v>106</v>
      </c>
      <c r="T6" s="1" t="s">
        <v>107</v>
      </c>
      <c r="U6" s="1" t="s">
        <v>108</v>
      </c>
      <c r="V6" s="1">
        <v>32.316000000000003</v>
      </c>
      <c r="W6" s="96">
        <f t="shared" ref="W6" si="2">_xlfn.STDEV.S(V6:V9)</f>
        <v>0.4863855637934445</v>
      </c>
      <c r="X6" s="128">
        <f t="shared" ref="X6" si="3">AVERAGE(V6:V9)</f>
        <v>31.989750000000001</v>
      </c>
      <c r="Y6" s="96">
        <f t="shared" ref="Y6" si="4">X6-P6</f>
        <v>11.67085527120139</v>
      </c>
      <c r="Z6" s="96">
        <f t="shared" ref="Z6" si="5">Y6-$AE$2</f>
        <v>2.0207461957271633E-2</v>
      </c>
      <c r="AA6" s="84">
        <f t="shared" ref="AA6" si="6">2^-Z6</f>
        <v>0.9860908927793236</v>
      </c>
      <c r="AB6" s="157"/>
      <c r="AC6" s="1">
        <f t="shared" ref="AC6" si="7">LOG(AA6,2)</f>
        <v>-2.0207461957271664E-2</v>
      </c>
      <c r="AD6" s="153" t="s">
        <v>444</v>
      </c>
      <c r="AE6" s="159">
        <f>AVERAGE(Y50,Y54)</f>
        <v>11.880240088173052</v>
      </c>
      <c r="AG6">
        <f>AM2</f>
        <v>-0.2676423551323186</v>
      </c>
      <c r="AH6">
        <f>AN2</f>
        <v>0.2676423551323186</v>
      </c>
      <c r="AJ6">
        <f>AG2</f>
        <v>2.0207461957271675E-2</v>
      </c>
      <c r="AK6">
        <f>AH2</f>
        <v>-2.0207461957271664E-2</v>
      </c>
      <c r="AM6">
        <f>AJ2</f>
        <v>-0.13367269164904974</v>
      </c>
      <c r="AN6">
        <f>AK2</f>
        <v>0.13367269164904977</v>
      </c>
    </row>
    <row r="7" spans="1:40" x14ac:dyDescent="0.25">
      <c r="A7" s="101"/>
      <c r="B7" s="1">
        <v>363</v>
      </c>
      <c r="C7" s="1" t="s">
        <v>400</v>
      </c>
      <c r="D7" s="1" t="s">
        <v>103</v>
      </c>
      <c r="E7" s="1" t="s">
        <v>114</v>
      </c>
      <c r="F7" s="1" t="s">
        <v>332</v>
      </c>
      <c r="G7" s="1" t="s">
        <v>106</v>
      </c>
      <c r="H7" s="1"/>
      <c r="I7" s="1"/>
      <c r="J7" s="1">
        <v>22.777999999999999</v>
      </c>
      <c r="K7" s="1">
        <v>18.074000000000002</v>
      </c>
      <c r="L7" s="14"/>
      <c r="M7" s="105"/>
      <c r="N7" s="105"/>
      <c r="O7" s="105"/>
      <c r="P7" s="90"/>
      <c r="Q7" s="1" t="s">
        <v>114</v>
      </c>
      <c r="R7" s="1" t="s">
        <v>269</v>
      </c>
      <c r="S7" s="1" t="s">
        <v>106</v>
      </c>
      <c r="T7" s="1" t="s">
        <v>107</v>
      </c>
      <c r="U7" s="1" t="s">
        <v>108</v>
      </c>
      <c r="V7" s="1">
        <v>31.529</v>
      </c>
      <c r="W7" s="97"/>
      <c r="X7" s="129"/>
      <c r="Y7" s="97"/>
      <c r="Z7" s="97"/>
      <c r="AA7" s="85"/>
      <c r="AB7" s="157"/>
      <c r="AC7" s="1"/>
      <c r="AD7" s="154"/>
      <c r="AE7" s="142"/>
      <c r="AG7">
        <f t="shared" ref="AG7:AG8" si="8">AM3</f>
        <v>6.4040521701698498</v>
      </c>
      <c r="AH7">
        <f t="shared" ref="AH7:AH8" si="9">AN3</f>
        <v>6.4076363072979943</v>
      </c>
      <c r="AJ7">
        <f t="shared" ref="AJ7:AJ8" si="10">AG3</f>
        <v>5.8637510310984471</v>
      </c>
      <c r="AK7">
        <f t="shared" ref="AK7:AK8" si="11">AH3</f>
        <v>5.8590482747070221</v>
      </c>
      <c r="AM7">
        <f t="shared" ref="AM7:AM8" si="12">AJ3</f>
        <v>6.5111569776265554</v>
      </c>
      <c r="AN7">
        <f t="shared" ref="AN7:AN8" si="13">AK3</f>
        <v>6.4955460963909815</v>
      </c>
    </row>
    <row r="8" spans="1:40" x14ac:dyDescent="0.25">
      <c r="A8" s="101"/>
      <c r="B8" s="1">
        <v>340</v>
      </c>
      <c r="C8" s="1" t="s">
        <v>389</v>
      </c>
      <c r="D8" s="1" t="s">
        <v>103</v>
      </c>
      <c r="E8" s="1" t="s">
        <v>114</v>
      </c>
      <c r="F8" s="1" t="s">
        <v>332</v>
      </c>
      <c r="G8" s="1" t="s">
        <v>106</v>
      </c>
      <c r="H8" s="1"/>
      <c r="I8" s="1"/>
      <c r="J8" s="1">
        <v>22.84</v>
      </c>
      <c r="K8" s="1">
        <v>18.117000000000001</v>
      </c>
      <c r="L8" s="14"/>
      <c r="M8" s="105"/>
      <c r="N8" s="105"/>
      <c r="O8" s="105"/>
      <c r="P8" s="90"/>
      <c r="Q8" s="1" t="s">
        <v>114</v>
      </c>
      <c r="R8" s="1" t="s">
        <v>269</v>
      </c>
      <c r="S8" s="1" t="s">
        <v>106</v>
      </c>
      <c r="T8" s="1" t="s">
        <v>107</v>
      </c>
      <c r="U8" s="1" t="s">
        <v>108</v>
      </c>
      <c r="V8" s="1">
        <v>31.62</v>
      </c>
      <c r="W8" s="97"/>
      <c r="X8" s="129"/>
      <c r="Y8" s="97"/>
      <c r="Z8" s="97"/>
      <c r="AA8" s="85"/>
      <c r="AB8" s="157"/>
      <c r="AC8" s="1"/>
      <c r="AD8" s="143"/>
      <c r="AE8" s="142"/>
      <c r="AG8">
        <f t="shared" si="8"/>
        <v>6.8731321043476692</v>
      </c>
      <c r="AH8">
        <f t="shared" si="9"/>
        <v>6.9934825343842748</v>
      </c>
      <c r="AJ8">
        <f t="shared" si="10"/>
        <v>6.4471396884772805</v>
      </c>
      <c r="AK8">
        <f t="shared" si="11"/>
        <v>6.5967833158033482</v>
      </c>
      <c r="AM8">
        <f t="shared" si="12"/>
        <v>7.7574825717695086</v>
      </c>
      <c r="AN8">
        <f t="shared" si="13"/>
        <v>7.1459666437897127</v>
      </c>
    </row>
    <row r="9" spans="1:40" ht="15.75" thickBot="1" x14ac:dyDescent="0.3">
      <c r="A9" s="107"/>
      <c r="B9" s="83">
        <v>364</v>
      </c>
      <c r="C9" s="83" t="s">
        <v>401</v>
      </c>
      <c r="D9" s="83" t="s">
        <v>103</v>
      </c>
      <c r="E9" s="83" t="s">
        <v>114</v>
      </c>
      <c r="F9" s="83" t="s">
        <v>332</v>
      </c>
      <c r="G9" s="83" t="s">
        <v>106</v>
      </c>
      <c r="H9" s="83">
        <f t="shared" ref="H9" si="14">_xlfn.STDEV.S(K6:K9)</f>
        <v>4.4873897386639251E-2</v>
      </c>
      <c r="I9" s="83">
        <f t="shared" ref="I9" si="15">_xlfn.STDEV.S(J6:J9)</f>
        <v>5.6112981266964762E-2</v>
      </c>
      <c r="J9" s="83">
        <v>22.766999999999999</v>
      </c>
      <c r="K9" s="83">
        <v>18.041</v>
      </c>
      <c r="L9" s="17"/>
      <c r="M9" s="108"/>
      <c r="N9" s="108"/>
      <c r="O9" s="108"/>
      <c r="P9" s="109"/>
      <c r="Q9" s="1" t="s">
        <v>114</v>
      </c>
      <c r="R9" s="1" t="s">
        <v>269</v>
      </c>
      <c r="S9" s="1" t="s">
        <v>106</v>
      </c>
      <c r="T9" s="1" t="s">
        <v>107</v>
      </c>
      <c r="U9" s="1" t="s">
        <v>108</v>
      </c>
      <c r="V9" s="1">
        <v>32.494</v>
      </c>
      <c r="W9" s="98"/>
      <c r="X9" s="130"/>
      <c r="Y9" s="98"/>
      <c r="Z9" s="98"/>
      <c r="AA9" s="86"/>
      <c r="AB9" s="158"/>
      <c r="AC9" s="1"/>
      <c r="AD9" s="143"/>
      <c r="AE9" s="142"/>
    </row>
    <row r="10" spans="1:40" x14ac:dyDescent="0.25">
      <c r="A10" s="100"/>
      <c r="B10" s="9">
        <v>341</v>
      </c>
      <c r="C10" s="9" t="s">
        <v>390</v>
      </c>
      <c r="D10" s="9" t="s">
        <v>103</v>
      </c>
      <c r="E10" s="9" t="s">
        <v>117</v>
      </c>
      <c r="F10" s="9" t="s">
        <v>332</v>
      </c>
      <c r="G10" s="9" t="s">
        <v>106</v>
      </c>
      <c r="H10" s="9"/>
      <c r="I10" s="9"/>
      <c r="J10" s="9">
        <v>22.46</v>
      </c>
      <c r="K10" s="9">
        <v>17.544</v>
      </c>
      <c r="L10" s="11"/>
      <c r="M10" s="104">
        <f t="shared" ref="M10:N10" si="16">AVERAGE(J10:J13)</f>
        <v>22.5335</v>
      </c>
      <c r="N10" s="104">
        <f t="shared" si="16"/>
        <v>17.604499999999998</v>
      </c>
      <c r="O10" s="104"/>
      <c r="P10" s="89">
        <f t="shared" ref="P10" si="17">GEOMEAN(M10,N10)</f>
        <v>19.917103221854326</v>
      </c>
      <c r="Q10" s="1" t="s">
        <v>117</v>
      </c>
      <c r="R10" s="1" t="s">
        <v>269</v>
      </c>
      <c r="S10" s="1" t="s">
        <v>106</v>
      </c>
      <c r="T10" s="1" t="s">
        <v>107</v>
      </c>
      <c r="U10" s="1" t="s">
        <v>108</v>
      </c>
      <c r="V10" s="1">
        <v>25.65</v>
      </c>
      <c r="W10" s="96">
        <f t="shared" ref="W10" si="18">_xlfn.STDEV.S(V10:V13)</f>
        <v>5.2535702146254755E-2</v>
      </c>
      <c r="X10" s="128">
        <f t="shared" ref="X10" si="19">AVERAGE(V10:V13)</f>
        <v>25.703999999999997</v>
      </c>
      <c r="Y10" s="96">
        <f t="shared" ref="Y10" si="20">X10-P10</f>
        <v>5.786896778145671</v>
      </c>
      <c r="Z10" s="96">
        <f t="shared" ref="Z10" si="21">Y10-$AE$2</f>
        <v>-5.8637510310984471</v>
      </c>
      <c r="AA10" s="84">
        <f t="shared" ref="AA10" si="22">2^-Z10</f>
        <v>58.232434580946759</v>
      </c>
      <c r="AB10" s="147"/>
      <c r="AC10" s="1">
        <f t="shared" ref="AC10" si="23">LOG(AA10,2)</f>
        <v>5.8637510310984471</v>
      </c>
      <c r="AD10" s="143"/>
      <c r="AE10" s="142"/>
    </row>
    <row r="11" spans="1:40" x14ac:dyDescent="0.25">
      <c r="A11" s="101"/>
      <c r="B11" s="1">
        <v>365</v>
      </c>
      <c r="C11" s="1" t="s">
        <v>402</v>
      </c>
      <c r="D11" s="1" t="s">
        <v>103</v>
      </c>
      <c r="E11" s="1" t="s">
        <v>117</v>
      </c>
      <c r="F11" s="1" t="s">
        <v>332</v>
      </c>
      <c r="G11" s="1" t="s">
        <v>106</v>
      </c>
      <c r="H11" s="1"/>
      <c r="I11" s="1"/>
      <c r="J11" s="1">
        <v>22.52</v>
      </c>
      <c r="K11" s="1">
        <v>17.760999999999999</v>
      </c>
      <c r="L11" s="14"/>
      <c r="M11" s="105"/>
      <c r="N11" s="105"/>
      <c r="O11" s="105"/>
      <c r="P11" s="90"/>
      <c r="Q11" s="1" t="s">
        <v>117</v>
      </c>
      <c r="R11" s="1" t="s">
        <v>269</v>
      </c>
      <c r="S11" s="1" t="s">
        <v>106</v>
      </c>
      <c r="T11" s="1" t="s">
        <v>107</v>
      </c>
      <c r="U11" s="1" t="s">
        <v>108</v>
      </c>
      <c r="V11" s="1">
        <v>25.667999999999999</v>
      </c>
      <c r="W11" s="97"/>
      <c r="X11" s="129"/>
      <c r="Y11" s="97"/>
      <c r="Z11" s="97"/>
      <c r="AA11" s="85"/>
      <c r="AB11" s="148"/>
      <c r="AC11" s="1"/>
      <c r="AD11" s="143"/>
      <c r="AE11" s="142"/>
    </row>
    <row r="12" spans="1:40" x14ac:dyDescent="0.25">
      <c r="A12" s="101"/>
      <c r="B12" s="1">
        <v>342</v>
      </c>
      <c r="C12" s="1" t="s">
        <v>391</v>
      </c>
      <c r="D12" s="1" t="s">
        <v>103</v>
      </c>
      <c r="E12" s="1" t="s">
        <v>117</v>
      </c>
      <c r="F12" s="1" t="s">
        <v>332</v>
      </c>
      <c r="G12" s="1" t="s">
        <v>106</v>
      </c>
      <c r="H12" s="1"/>
      <c r="I12" s="1"/>
      <c r="J12" s="1">
        <v>22.559000000000001</v>
      </c>
      <c r="K12" s="1">
        <v>17.477</v>
      </c>
      <c r="L12" s="14"/>
      <c r="M12" s="105"/>
      <c r="N12" s="105"/>
      <c r="O12" s="105"/>
      <c r="P12" s="90"/>
      <c r="Q12" s="1" t="s">
        <v>117</v>
      </c>
      <c r="R12" s="1" t="s">
        <v>269</v>
      </c>
      <c r="S12" s="1" t="s">
        <v>106</v>
      </c>
      <c r="T12" s="1" t="s">
        <v>107</v>
      </c>
      <c r="U12" s="1" t="s">
        <v>108</v>
      </c>
      <c r="V12" s="1">
        <v>25.745999999999999</v>
      </c>
      <c r="W12" s="97"/>
      <c r="X12" s="129"/>
      <c r="Y12" s="97"/>
      <c r="Z12" s="97"/>
      <c r="AA12" s="85"/>
      <c r="AB12" s="148"/>
      <c r="AC12" s="1"/>
      <c r="AD12" s="143"/>
      <c r="AE12" s="142"/>
    </row>
    <row r="13" spans="1:40" ht="15.75" thickBot="1" x14ac:dyDescent="0.3">
      <c r="A13" s="107"/>
      <c r="B13" s="83">
        <v>366</v>
      </c>
      <c r="C13" s="83" t="s">
        <v>403</v>
      </c>
      <c r="D13" s="83" t="s">
        <v>103</v>
      </c>
      <c r="E13" s="83" t="s">
        <v>117</v>
      </c>
      <c r="F13" s="83" t="s">
        <v>332</v>
      </c>
      <c r="G13" s="83" t="s">
        <v>106</v>
      </c>
      <c r="H13" s="83">
        <f t="shared" ref="H13" si="24">_xlfn.STDEV.S(K10:K13)</f>
        <v>0.12301896872704846</v>
      </c>
      <c r="I13" s="83">
        <f t="shared" ref="I13" si="25">_xlfn.STDEV.S(J10:J13)</f>
        <v>5.7784080852774096E-2</v>
      </c>
      <c r="J13" s="83">
        <v>22.594999999999999</v>
      </c>
      <c r="K13" s="83">
        <v>17.635999999999999</v>
      </c>
      <c r="L13" s="17"/>
      <c r="M13" s="108"/>
      <c r="N13" s="108"/>
      <c r="O13" s="108"/>
      <c r="P13" s="109"/>
      <c r="Q13" s="1" t="s">
        <v>117</v>
      </c>
      <c r="R13" s="1" t="s">
        <v>269</v>
      </c>
      <c r="S13" s="1" t="s">
        <v>106</v>
      </c>
      <c r="T13" s="1" t="s">
        <v>107</v>
      </c>
      <c r="U13" s="1" t="s">
        <v>108</v>
      </c>
      <c r="V13" s="1">
        <v>25.751999999999999</v>
      </c>
      <c r="W13" s="98"/>
      <c r="X13" s="130"/>
      <c r="Y13" s="98"/>
      <c r="Z13" s="98"/>
      <c r="AA13" s="86"/>
      <c r="AB13" s="149"/>
      <c r="AC13" s="1"/>
      <c r="AD13" s="143"/>
      <c r="AE13" s="142"/>
    </row>
    <row r="14" spans="1:40" x14ac:dyDescent="0.25">
      <c r="A14" s="100"/>
      <c r="B14" s="9">
        <v>343</v>
      </c>
      <c r="C14" s="9" t="s">
        <v>392</v>
      </c>
      <c r="D14" s="9" t="s">
        <v>103</v>
      </c>
      <c r="E14" s="9" t="s">
        <v>120</v>
      </c>
      <c r="F14" s="9" t="s">
        <v>332</v>
      </c>
      <c r="G14" s="9" t="s">
        <v>106</v>
      </c>
      <c r="H14" s="9"/>
      <c r="I14" s="9"/>
      <c r="J14" s="9">
        <v>22.733000000000001</v>
      </c>
      <c r="K14" s="9">
        <v>17.564</v>
      </c>
      <c r="L14" s="11"/>
      <c r="M14" s="104">
        <f t="shared" ref="M14:N14" si="26">AVERAGE(J14:J17)</f>
        <v>22.652999999999999</v>
      </c>
      <c r="N14" s="104">
        <f t="shared" si="26"/>
        <v>17.67475</v>
      </c>
      <c r="O14" s="104"/>
      <c r="P14" s="89">
        <f t="shared" ref="P14" si="27">GEOMEAN(M14,N14)</f>
        <v>20.009650465462908</v>
      </c>
      <c r="Q14" s="1" t="s">
        <v>120</v>
      </c>
      <c r="R14" s="1" t="s">
        <v>269</v>
      </c>
      <c r="S14" s="1" t="s">
        <v>106</v>
      </c>
      <c r="T14" s="1" t="s">
        <v>107</v>
      </c>
      <c r="U14" s="1" t="s">
        <v>108</v>
      </c>
      <c r="V14" s="1">
        <v>25.837</v>
      </c>
      <c r="W14" s="96">
        <f t="shared" ref="W14" si="28">_xlfn.STDEV.S(V14:V17)</f>
        <v>3.6718523935473278E-2</v>
      </c>
      <c r="X14" s="128">
        <f t="shared" ref="X14" si="29">AVERAGE(V14:V17)</f>
        <v>25.801250000000003</v>
      </c>
      <c r="Y14" s="96">
        <f t="shared" ref="Y14" si="30">X14-P14</f>
        <v>5.7915995345370952</v>
      </c>
      <c r="Z14" s="96">
        <f t="shared" ref="Z14" si="31">Y14-$AE$2</f>
        <v>-5.8590482747070229</v>
      </c>
      <c r="AA14" s="84">
        <f t="shared" ref="AA14" si="32">2^-Z14</f>
        <v>58.042923221171179</v>
      </c>
      <c r="AB14" s="147"/>
      <c r="AC14" s="1">
        <f t="shared" ref="AC14" si="33">LOG(AA14,2)</f>
        <v>5.8590482747070221</v>
      </c>
      <c r="AD14" s="143"/>
      <c r="AE14" s="142"/>
    </row>
    <row r="15" spans="1:40" x14ac:dyDescent="0.25">
      <c r="A15" s="101"/>
      <c r="B15" s="1">
        <v>367</v>
      </c>
      <c r="C15" s="1" t="s">
        <v>404</v>
      </c>
      <c r="D15" s="1" t="s">
        <v>103</v>
      </c>
      <c r="E15" s="1" t="s">
        <v>120</v>
      </c>
      <c r="F15" s="1" t="s">
        <v>332</v>
      </c>
      <c r="G15" s="1" t="s">
        <v>106</v>
      </c>
      <c r="H15" s="1"/>
      <c r="I15" s="1"/>
      <c r="J15" s="1">
        <v>22.678000000000001</v>
      </c>
      <c r="K15" s="1">
        <v>17.535</v>
      </c>
      <c r="L15" s="14"/>
      <c r="M15" s="105"/>
      <c r="N15" s="105"/>
      <c r="O15" s="105"/>
      <c r="P15" s="90"/>
      <c r="Q15" s="1" t="s">
        <v>120</v>
      </c>
      <c r="R15" s="1" t="s">
        <v>269</v>
      </c>
      <c r="S15" s="1" t="s">
        <v>106</v>
      </c>
      <c r="T15" s="1" t="s">
        <v>107</v>
      </c>
      <c r="U15" s="1" t="s">
        <v>108</v>
      </c>
      <c r="V15" s="1">
        <v>25.827999999999999</v>
      </c>
      <c r="W15" s="97"/>
      <c r="X15" s="129"/>
      <c r="Y15" s="97"/>
      <c r="Z15" s="97"/>
      <c r="AA15" s="85"/>
      <c r="AB15" s="148"/>
      <c r="AC15" s="1"/>
      <c r="AD15" s="143"/>
      <c r="AE15" s="142"/>
    </row>
    <row r="16" spans="1:40" x14ac:dyDescent="0.25">
      <c r="A16" s="101"/>
      <c r="B16" s="1">
        <v>344</v>
      </c>
      <c r="C16" s="1" t="s">
        <v>393</v>
      </c>
      <c r="D16" s="1" t="s">
        <v>103</v>
      </c>
      <c r="E16" s="1" t="s">
        <v>120</v>
      </c>
      <c r="F16" s="1" t="s">
        <v>332</v>
      </c>
      <c r="G16" s="1" t="s">
        <v>106</v>
      </c>
      <c r="H16" s="1"/>
      <c r="I16" s="1"/>
      <c r="J16" s="1">
        <v>22.619</v>
      </c>
      <c r="K16" s="1">
        <v>17.882999999999999</v>
      </c>
      <c r="L16" s="14"/>
      <c r="M16" s="105"/>
      <c r="N16" s="105"/>
      <c r="O16" s="105"/>
      <c r="P16" s="90"/>
      <c r="Q16" s="1" t="s">
        <v>120</v>
      </c>
      <c r="R16" s="1" t="s">
        <v>269</v>
      </c>
      <c r="S16" s="1" t="s">
        <v>106</v>
      </c>
      <c r="T16" s="1" t="s">
        <v>107</v>
      </c>
      <c r="U16" s="1" t="s">
        <v>108</v>
      </c>
      <c r="V16" s="1">
        <v>25.777000000000001</v>
      </c>
      <c r="W16" s="97"/>
      <c r="X16" s="129"/>
      <c r="Y16" s="97"/>
      <c r="Z16" s="97"/>
      <c r="AA16" s="85"/>
      <c r="AB16" s="148"/>
      <c r="AC16" s="1"/>
      <c r="AD16" s="143"/>
      <c r="AE16" s="142"/>
    </row>
    <row r="17" spans="1:31" ht="15.75" thickBot="1" x14ac:dyDescent="0.3">
      <c r="A17" s="107"/>
      <c r="B17" s="83">
        <v>368</v>
      </c>
      <c r="C17" s="83" t="s">
        <v>405</v>
      </c>
      <c r="D17" s="83" t="s">
        <v>103</v>
      </c>
      <c r="E17" s="83" t="s">
        <v>120</v>
      </c>
      <c r="F17" s="83" t="s">
        <v>332</v>
      </c>
      <c r="G17" s="83" t="s">
        <v>106</v>
      </c>
      <c r="H17" s="83">
        <f t="shared" ref="H17" si="34">_xlfn.STDEV.S(K14:K17)</f>
        <v>0.16015487296155917</v>
      </c>
      <c r="I17" s="83">
        <f t="shared" ref="I17" si="35">_xlfn.STDEV.S(J14:J17)</f>
        <v>6.6387749874004212E-2</v>
      </c>
      <c r="J17" s="83">
        <v>22.582000000000001</v>
      </c>
      <c r="K17" s="83">
        <v>17.716999999999999</v>
      </c>
      <c r="L17" s="17"/>
      <c r="M17" s="108"/>
      <c r="N17" s="108"/>
      <c r="O17" s="108"/>
      <c r="P17" s="109"/>
      <c r="Q17" s="1" t="s">
        <v>120</v>
      </c>
      <c r="R17" s="1" t="s">
        <v>269</v>
      </c>
      <c r="S17" s="1" t="s">
        <v>106</v>
      </c>
      <c r="T17" s="1" t="s">
        <v>107</v>
      </c>
      <c r="U17" s="1" t="s">
        <v>108</v>
      </c>
      <c r="V17" s="1">
        <v>25.763000000000002</v>
      </c>
      <c r="W17" s="98"/>
      <c r="X17" s="130"/>
      <c r="Y17" s="98"/>
      <c r="Z17" s="98"/>
      <c r="AA17" s="86"/>
      <c r="AB17" s="149"/>
      <c r="AC17" s="1"/>
      <c r="AD17" s="143"/>
      <c r="AE17" s="142"/>
    </row>
    <row r="18" spans="1:31" x14ac:dyDescent="0.25">
      <c r="A18" s="100"/>
      <c r="B18" s="9">
        <v>345</v>
      </c>
      <c r="C18" s="9" t="s">
        <v>394</v>
      </c>
      <c r="D18" s="9" t="s">
        <v>103</v>
      </c>
      <c r="E18" s="9" t="s">
        <v>123</v>
      </c>
      <c r="F18" s="9" t="s">
        <v>332</v>
      </c>
      <c r="G18" s="9" t="s">
        <v>106</v>
      </c>
      <c r="H18" s="9"/>
      <c r="I18" s="9"/>
      <c r="J18" s="9">
        <v>23.177</v>
      </c>
      <c r="K18" s="9">
        <v>18.623999999999999</v>
      </c>
      <c r="L18" s="11"/>
      <c r="M18" s="104">
        <f t="shared" ref="M18:N18" si="36">AVERAGE(J18:J21)</f>
        <v>23.083500000000001</v>
      </c>
      <c r="N18" s="104">
        <f t="shared" si="36"/>
        <v>18.561250000000001</v>
      </c>
      <c r="O18" s="104"/>
      <c r="P18" s="89">
        <f t="shared" ref="P18" si="37">GEOMEAN(M18,N18)</f>
        <v>20.699241879233163</v>
      </c>
      <c r="Q18" s="1" t="s">
        <v>123</v>
      </c>
      <c r="R18" s="1" t="s">
        <v>269</v>
      </c>
      <c r="S18" s="1" t="s">
        <v>106</v>
      </c>
      <c r="T18" s="1" t="s">
        <v>107</v>
      </c>
      <c r="U18" s="1" t="s">
        <v>108</v>
      </c>
      <c r="V18" s="1">
        <v>25.884</v>
      </c>
      <c r="W18" s="96">
        <f t="shared" ref="W18" si="38">_xlfn.STDEV.S(V18:V21)</f>
        <v>4.559513862975513E-2</v>
      </c>
      <c r="X18" s="128">
        <f t="shared" ref="X18" si="39">AVERAGE(V18:V21)</f>
        <v>25.902750000000001</v>
      </c>
      <c r="Y18" s="96">
        <f t="shared" ref="Y18" si="40">X18-P18</f>
        <v>5.2035081207668377</v>
      </c>
      <c r="Z18" s="96">
        <f t="shared" ref="Z18" si="41">Y18-$AE$2</f>
        <v>-6.4471396884772805</v>
      </c>
      <c r="AA18" s="84">
        <f t="shared" ref="AA18" si="42">2^-Z18</f>
        <v>87.253414740546177</v>
      </c>
      <c r="AB18" s="144"/>
      <c r="AC18" s="1">
        <f t="shared" ref="AC18" si="43">LOG(AA18,2)</f>
        <v>6.4471396884772805</v>
      </c>
      <c r="AD18" s="143"/>
      <c r="AE18" s="142"/>
    </row>
    <row r="19" spans="1:31" x14ac:dyDescent="0.25">
      <c r="A19" s="101"/>
      <c r="B19" s="1">
        <v>369</v>
      </c>
      <c r="C19" s="1" t="s">
        <v>406</v>
      </c>
      <c r="D19" s="1" t="s">
        <v>103</v>
      </c>
      <c r="E19" s="1" t="s">
        <v>123</v>
      </c>
      <c r="F19" s="1" t="s">
        <v>332</v>
      </c>
      <c r="G19" s="1" t="s">
        <v>106</v>
      </c>
      <c r="H19" s="1"/>
      <c r="I19" s="1"/>
      <c r="J19" s="1">
        <v>23.096</v>
      </c>
      <c r="K19" s="1">
        <v>18.565999999999999</v>
      </c>
      <c r="L19" s="14"/>
      <c r="M19" s="105"/>
      <c r="N19" s="105"/>
      <c r="O19" s="105"/>
      <c r="P19" s="90"/>
      <c r="Q19" s="1" t="s">
        <v>123</v>
      </c>
      <c r="R19" s="1" t="s">
        <v>269</v>
      </c>
      <c r="S19" s="1" t="s">
        <v>106</v>
      </c>
      <c r="T19" s="1" t="s">
        <v>107</v>
      </c>
      <c r="U19" s="1" t="s">
        <v>108</v>
      </c>
      <c r="V19" s="1">
        <v>25.899000000000001</v>
      </c>
      <c r="W19" s="97"/>
      <c r="X19" s="129"/>
      <c r="Y19" s="97"/>
      <c r="Z19" s="97"/>
      <c r="AA19" s="85"/>
      <c r="AB19" s="145"/>
      <c r="AC19" s="1"/>
      <c r="AD19" s="143"/>
      <c r="AE19" s="142"/>
    </row>
    <row r="20" spans="1:31" x14ac:dyDescent="0.25">
      <c r="A20" s="101"/>
      <c r="B20" s="1">
        <v>346</v>
      </c>
      <c r="C20" s="1" t="s">
        <v>395</v>
      </c>
      <c r="D20" s="1" t="s">
        <v>103</v>
      </c>
      <c r="E20" s="1" t="s">
        <v>123</v>
      </c>
      <c r="F20" s="1" t="s">
        <v>332</v>
      </c>
      <c r="G20" s="1" t="s">
        <v>106</v>
      </c>
      <c r="H20" s="1"/>
      <c r="I20" s="1"/>
      <c r="J20" s="1">
        <v>22.966999999999999</v>
      </c>
      <c r="K20" s="1">
        <v>18.457000000000001</v>
      </c>
      <c r="L20" s="14"/>
      <c r="M20" s="105"/>
      <c r="N20" s="105"/>
      <c r="O20" s="105"/>
      <c r="P20" s="90"/>
      <c r="Q20" s="1" t="s">
        <v>123</v>
      </c>
      <c r="R20" s="1" t="s">
        <v>269</v>
      </c>
      <c r="S20" s="1" t="s">
        <v>106</v>
      </c>
      <c r="T20" s="1" t="s">
        <v>107</v>
      </c>
      <c r="U20" s="1" t="s">
        <v>108</v>
      </c>
      <c r="V20" s="1">
        <v>25.966999999999999</v>
      </c>
      <c r="W20" s="97"/>
      <c r="X20" s="129"/>
      <c r="Y20" s="97"/>
      <c r="Z20" s="97"/>
      <c r="AA20" s="85"/>
      <c r="AB20" s="145"/>
      <c r="AC20" s="1"/>
      <c r="AD20" s="143"/>
      <c r="AE20" s="142"/>
    </row>
    <row r="21" spans="1:31" ht="15.75" thickBot="1" x14ac:dyDescent="0.3">
      <c r="A21" s="107"/>
      <c r="B21" s="83">
        <v>370</v>
      </c>
      <c r="C21" s="83" t="s">
        <v>407</v>
      </c>
      <c r="D21" s="83" t="s">
        <v>103</v>
      </c>
      <c r="E21" s="83" t="s">
        <v>123</v>
      </c>
      <c r="F21" s="83" t="s">
        <v>332</v>
      </c>
      <c r="G21" s="83" t="s">
        <v>106</v>
      </c>
      <c r="H21" s="83">
        <f t="shared" ref="H21" si="44">_xlfn.STDEV.S(K18:K21)</f>
        <v>7.3436480489376232E-2</v>
      </c>
      <c r="I21" s="83">
        <f t="shared" ref="I21" si="45">_xlfn.STDEV.S(J18:J21)</f>
        <v>8.675828490697636E-2</v>
      </c>
      <c r="J21" s="83">
        <v>23.094000000000001</v>
      </c>
      <c r="K21" s="83">
        <v>18.597999999999999</v>
      </c>
      <c r="L21" s="17"/>
      <c r="M21" s="108"/>
      <c r="N21" s="108"/>
      <c r="O21" s="108"/>
      <c r="P21" s="109"/>
      <c r="Q21" s="1" t="s">
        <v>123</v>
      </c>
      <c r="R21" s="1" t="s">
        <v>269</v>
      </c>
      <c r="S21" s="1" t="s">
        <v>106</v>
      </c>
      <c r="T21" s="1" t="s">
        <v>107</v>
      </c>
      <c r="U21" s="1" t="s">
        <v>108</v>
      </c>
      <c r="V21" s="1">
        <v>25.861000000000001</v>
      </c>
      <c r="W21" s="98"/>
      <c r="X21" s="130"/>
      <c r="Y21" s="98"/>
      <c r="Z21" s="98"/>
      <c r="AA21" s="86"/>
      <c r="AB21" s="146"/>
      <c r="AC21" s="1"/>
      <c r="AD21" s="143"/>
      <c r="AE21" s="142"/>
    </row>
    <row r="22" spans="1:31" x14ac:dyDescent="0.25">
      <c r="A22" s="100"/>
      <c r="B22" s="9">
        <v>347</v>
      </c>
      <c r="C22" s="9" t="s">
        <v>396</v>
      </c>
      <c r="D22" s="9" t="s">
        <v>103</v>
      </c>
      <c r="E22" s="9" t="s">
        <v>126</v>
      </c>
      <c r="F22" s="9" t="s">
        <v>332</v>
      </c>
      <c r="G22" s="9" t="s">
        <v>106</v>
      </c>
      <c r="H22" s="9"/>
      <c r="I22" s="9"/>
      <c r="J22" s="9">
        <v>22.98</v>
      </c>
      <c r="K22" s="9">
        <v>18.567</v>
      </c>
      <c r="L22" s="11"/>
      <c r="M22" s="104">
        <f t="shared" ref="M22:N22" si="46">AVERAGE(J22:J25)</f>
        <v>22.962500000000002</v>
      </c>
      <c r="N22" s="104">
        <f t="shared" si="46"/>
        <v>18.500999999999998</v>
      </c>
      <c r="O22" s="104"/>
      <c r="P22" s="89">
        <f t="shared" ref="P22" si="47">GEOMEAN(M22,N22)</f>
        <v>20.61138550655923</v>
      </c>
      <c r="Q22" s="1" t="s">
        <v>126</v>
      </c>
      <c r="R22" s="1" t="s">
        <v>269</v>
      </c>
      <c r="S22" s="1" t="s">
        <v>106</v>
      </c>
      <c r="T22" s="1" t="s">
        <v>107</v>
      </c>
      <c r="U22" s="1" t="s">
        <v>108</v>
      </c>
      <c r="V22" s="1">
        <v>25.7</v>
      </c>
      <c r="W22" s="96">
        <f t="shared" ref="W22" si="48">_xlfn.STDEV.S(V22:V25)</f>
        <v>0.10496467659805063</v>
      </c>
      <c r="X22" s="128">
        <f t="shared" ref="X22" si="49">AVERAGE(V22:V25)</f>
        <v>25.66525</v>
      </c>
      <c r="Y22" s="96">
        <f t="shared" ref="Y22" si="50">X22-P22</f>
        <v>5.0538644934407699</v>
      </c>
      <c r="Z22" s="96">
        <f t="shared" ref="Z22" si="51">Y22-$AE$2</f>
        <v>-6.5967833158033482</v>
      </c>
      <c r="AA22" s="84">
        <f t="shared" ref="AA22" si="52">2^-Z22</f>
        <v>96.789813481298708</v>
      </c>
      <c r="AB22" s="144"/>
      <c r="AC22" s="1">
        <f t="shared" ref="AC22" si="53">LOG(AA22,2)</f>
        <v>6.5967833158033482</v>
      </c>
      <c r="AD22" s="143"/>
      <c r="AE22" s="142"/>
    </row>
    <row r="23" spans="1:31" x14ac:dyDescent="0.25">
      <c r="A23" s="101"/>
      <c r="B23" s="1">
        <v>371</v>
      </c>
      <c r="C23" s="1" t="s">
        <v>408</v>
      </c>
      <c r="D23" s="1" t="s">
        <v>103</v>
      </c>
      <c r="E23" s="1" t="s">
        <v>126</v>
      </c>
      <c r="F23" s="1" t="s">
        <v>332</v>
      </c>
      <c r="G23" s="1" t="s">
        <v>106</v>
      </c>
      <c r="H23" s="1"/>
      <c r="I23" s="1"/>
      <c r="J23" s="1">
        <v>22.972000000000001</v>
      </c>
      <c r="K23" s="1">
        <v>18.613</v>
      </c>
      <c r="L23" s="14"/>
      <c r="M23" s="105"/>
      <c r="N23" s="105"/>
      <c r="O23" s="105"/>
      <c r="P23" s="90"/>
      <c r="Q23" s="1" t="s">
        <v>126</v>
      </c>
      <c r="R23" s="1" t="s">
        <v>269</v>
      </c>
      <c r="S23" s="1" t="s">
        <v>106</v>
      </c>
      <c r="T23" s="1" t="s">
        <v>107</v>
      </c>
      <c r="U23" s="1" t="s">
        <v>108</v>
      </c>
      <c r="V23" s="1">
        <v>25.509</v>
      </c>
      <c r="W23" s="97"/>
      <c r="X23" s="129"/>
      <c r="Y23" s="97"/>
      <c r="Z23" s="97"/>
      <c r="AA23" s="85"/>
      <c r="AB23" s="145"/>
      <c r="AC23" s="1"/>
      <c r="AD23" s="143"/>
      <c r="AE23" s="142"/>
    </row>
    <row r="24" spans="1:31" x14ac:dyDescent="0.25">
      <c r="A24" s="101"/>
      <c r="B24" s="1">
        <v>348</v>
      </c>
      <c r="C24" s="1" t="s">
        <v>397</v>
      </c>
      <c r="D24" s="1" t="s">
        <v>103</v>
      </c>
      <c r="E24" s="1" t="s">
        <v>126</v>
      </c>
      <c r="F24" s="1" t="s">
        <v>332</v>
      </c>
      <c r="G24" s="1" t="s">
        <v>106</v>
      </c>
      <c r="H24" s="1"/>
      <c r="I24" s="1"/>
      <c r="J24" s="1">
        <v>22.96</v>
      </c>
      <c r="K24" s="1">
        <v>18.332999999999998</v>
      </c>
      <c r="L24" s="14"/>
      <c r="M24" s="105"/>
      <c r="N24" s="105"/>
      <c r="O24" s="105"/>
      <c r="P24" s="90"/>
      <c r="Q24" s="1" t="s">
        <v>126</v>
      </c>
      <c r="R24" s="1" t="s">
        <v>269</v>
      </c>
      <c r="S24" s="1" t="s">
        <v>106</v>
      </c>
      <c r="T24" s="1" t="s">
        <v>107</v>
      </c>
      <c r="U24" s="1" t="s">
        <v>108</v>
      </c>
      <c r="V24" s="1">
        <v>25.731000000000002</v>
      </c>
      <c r="W24" s="97"/>
      <c r="X24" s="129"/>
      <c r="Y24" s="97"/>
      <c r="Z24" s="97"/>
      <c r="AA24" s="85"/>
      <c r="AB24" s="145"/>
      <c r="AC24" s="1"/>
      <c r="AD24" s="143"/>
      <c r="AE24" s="142"/>
    </row>
    <row r="25" spans="1:31" ht="15.75" thickBot="1" x14ac:dyDescent="0.3">
      <c r="A25" s="107"/>
      <c r="B25" s="83">
        <v>372</v>
      </c>
      <c r="C25" s="83" t="s">
        <v>409</v>
      </c>
      <c r="D25" s="83" t="s">
        <v>103</v>
      </c>
      <c r="E25" s="83" t="s">
        <v>126</v>
      </c>
      <c r="F25" s="83" t="s">
        <v>332</v>
      </c>
      <c r="G25" s="83" t="s">
        <v>106</v>
      </c>
      <c r="H25" s="83">
        <f t="shared" ref="H25" si="54">_xlfn.STDEV.S(K22:K25)</f>
        <v>0.12277893413231286</v>
      </c>
      <c r="I25" s="83">
        <f t="shared" ref="I25" si="55">_xlfn.STDEV.S(J22:J25)</f>
        <v>1.8284784202537482E-2</v>
      </c>
      <c r="J25" s="83">
        <v>22.937999999999999</v>
      </c>
      <c r="K25" s="83">
        <v>18.491</v>
      </c>
      <c r="L25" s="17"/>
      <c r="M25" s="108"/>
      <c r="N25" s="108"/>
      <c r="O25" s="108"/>
      <c r="P25" s="109"/>
      <c r="Q25" s="1" t="s">
        <v>126</v>
      </c>
      <c r="R25" s="1" t="s">
        <v>269</v>
      </c>
      <c r="S25" s="1" t="s">
        <v>106</v>
      </c>
      <c r="T25" s="1" t="s">
        <v>107</v>
      </c>
      <c r="U25" s="1" t="s">
        <v>108</v>
      </c>
      <c r="V25" s="1">
        <v>25.721</v>
      </c>
      <c r="W25" s="98"/>
      <c r="X25" s="130"/>
      <c r="Y25" s="98"/>
      <c r="Z25" s="98"/>
      <c r="AA25" s="86"/>
      <c r="AB25" s="146"/>
      <c r="AC25" s="1"/>
      <c r="AD25" s="143"/>
      <c r="AE25" s="142"/>
    </row>
    <row r="26" spans="1:31" x14ac:dyDescent="0.25">
      <c r="A26" s="100"/>
      <c r="B26" s="9">
        <v>337</v>
      </c>
      <c r="C26" s="9" t="s">
        <v>386</v>
      </c>
      <c r="D26" s="9" t="s">
        <v>103</v>
      </c>
      <c r="E26" s="9" t="s">
        <v>416</v>
      </c>
      <c r="F26" s="9" t="s">
        <v>332</v>
      </c>
      <c r="G26" s="9" t="s">
        <v>106</v>
      </c>
      <c r="H26" s="9"/>
      <c r="I26" s="9"/>
      <c r="J26" s="9">
        <v>22.983000000000001</v>
      </c>
      <c r="K26" s="9">
        <v>18.667000000000002</v>
      </c>
      <c r="L26" s="11"/>
      <c r="M26" s="104">
        <f t="shared" ref="M26:N26" si="56">AVERAGE(J26:J29)</f>
        <v>23.02</v>
      </c>
      <c r="N26" s="104">
        <f t="shared" si="56"/>
        <v>18.7575</v>
      </c>
      <c r="O26" s="104"/>
      <c r="P26" s="89">
        <f t="shared" ref="P26" si="57">GEOMEAN(M26,N26)</f>
        <v>20.779741336214943</v>
      </c>
      <c r="Q26" s="1" t="s">
        <v>416</v>
      </c>
      <c r="R26" s="1" t="s">
        <v>269</v>
      </c>
      <c r="S26" s="1" t="s">
        <v>106</v>
      </c>
      <c r="T26" s="1" t="s">
        <v>107</v>
      </c>
      <c r="U26" s="1" t="s">
        <v>108</v>
      </c>
      <c r="V26" s="1">
        <v>32.683999999999997</v>
      </c>
      <c r="W26" s="96">
        <f t="shared" ref="W26" si="58">_xlfn.STDEV.S(V26:V29)</f>
        <v>0.54020636488907192</v>
      </c>
      <c r="X26" s="128">
        <f t="shared" ref="X26" si="59">AVERAGE(V26:V29)</f>
        <v>32.09825</v>
      </c>
      <c r="Y26" s="96">
        <f t="shared" ref="Y26" si="60">X26-P26</f>
        <v>11.318508663785057</v>
      </c>
      <c r="Z26" s="96">
        <f>Y26-$AE$4</f>
        <v>0.13367269164904982</v>
      </c>
      <c r="AA26" s="84">
        <f t="shared" ref="AA26" si="61">2^-Z26</f>
        <v>0.91150805362028209</v>
      </c>
      <c r="AB26" s="139"/>
      <c r="AC26" s="1">
        <f t="shared" ref="AC26" si="62">LOG(AA26,2)</f>
        <v>-0.13367269164904974</v>
      </c>
      <c r="AD26" s="143"/>
      <c r="AE26" s="142"/>
    </row>
    <row r="27" spans="1:31" x14ac:dyDescent="0.25">
      <c r="A27" s="101"/>
      <c r="B27" s="1">
        <v>361</v>
      </c>
      <c r="C27" s="1" t="s">
        <v>398</v>
      </c>
      <c r="D27" s="1" t="s">
        <v>103</v>
      </c>
      <c r="E27" s="1" t="s">
        <v>416</v>
      </c>
      <c r="F27" s="1" t="s">
        <v>332</v>
      </c>
      <c r="G27" s="1" t="s">
        <v>106</v>
      </c>
      <c r="H27" s="1"/>
      <c r="I27" s="1"/>
      <c r="J27" s="1">
        <v>22.923999999999999</v>
      </c>
      <c r="K27" s="1">
        <v>18.940000000000001</v>
      </c>
      <c r="L27" s="14"/>
      <c r="M27" s="105"/>
      <c r="N27" s="105"/>
      <c r="O27" s="105"/>
      <c r="P27" s="90"/>
      <c r="Q27" s="1" t="s">
        <v>416</v>
      </c>
      <c r="R27" s="1" t="s">
        <v>269</v>
      </c>
      <c r="S27" s="1" t="s">
        <v>106</v>
      </c>
      <c r="T27" s="1" t="s">
        <v>107</v>
      </c>
      <c r="U27" s="1" t="s">
        <v>108</v>
      </c>
      <c r="V27" s="1">
        <v>32.335999999999999</v>
      </c>
      <c r="W27" s="97"/>
      <c r="X27" s="129"/>
      <c r="Y27" s="97"/>
      <c r="Z27" s="97"/>
      <c r="AA27" s="85"/>
      <c r="AB27" s="140"/>
      <c r="AC27" s="1"/>
      <c r="AD27" s="143"/>
      <c r="AE27" s="142"/>
    </row>
    <row r="28" spans="1:31" x14ac:dyDescent="0.25">
      <c r="A28" s="101"/>
      <c r="B28" s="1">
        <v>338</v>
      </c>
      <c r="C28" s="1" t="s">
        <v>387</v>
      </c>
      <c r="D28" s="1" t="s">
        <v>103</v>
      </c>
      <c r="E28" s="1" t="s">
        <v>416</v>
      </c>
      <c r="F28" s="1" t="s">
        <v>332</v>
      </c>
      <c r="G28" s="1" t="s">
        <v>106</v>
      </c>
      <c r="H28" s="1"/>
      <c r="I28" s="1"/>
      <c r="J28" s="1">
        <v>23.096</v>
      </c>
      <c r="K28" s="1">
        <v>18.649000000000001</v>
      </c>
      <c r="L28" s="14"/>
      <c r="M28" s="105"/>
      <c r="N28" s="105"/>
      <c r="O28" s="105"/>
      <c r="P28" s="90"/>
      <c r="Q28" s="1" t="s">
        <v>416</v>
      </c>
      <c r="R28" s="1" t="s">
        <v>269</v>
      </c>
      <c r="S28" s="1" t="s">
        <v>106</v>
      </c>
      <c r="T28" s="1" t="s">
        <v>107</v>
      </c>
      <c r="U28" s="1" t="s">
        <v>108</v>
      </c>
      <c r="V28" s="1">
        <v>31.948</v>
      </c>
      <c r="W28" s="97"/>
      <c r="X28" s="129"/>
      <c r="Y28" s="97"/>
      <c r="Z28" s="97"/>
      <c r="AA28" s="85"/>
      <c r="AB28" s="140"/>
      <c r="AC28" s="1"/>
      <c r="AD28" s="143"/>
      <c r="AE28" s="142"/>
    </row>
    <row r="29" spans="1:31" ht="15.75" thickBot="1" x14ac:dyDescent="0.3">
      <c r="A29" s="107"/>
      <c r="B29" s="83">
        <v>362</v>
      </c>
      <c r="C29" s="83" t="s">
        <v>399</v>
      </c>
      <c r="D29" s="83" t="s">
        <v>103</v>
      </c>
      <c r="E29" s="83" t="s">
        <v>416</v>
      </c>
      <c r="F29" s="83" t="s">
        <v>332</v>
      </c>
      <c r="G29" s="83" t="s">
        <v>106</v>
      </c>
      <c r="H29" s="83">
        <f t="shared" ref="H29" si="63">_xlfn.STDEV.S(K26:K29)</f>
        <v>0.13359266446927393</v>
      </c>
      <c r="I29" s="83">
        <f t="shared" ref="I29" si="64">_xlfn.STDEV.S(J26:J29)</f>
        <v>8.0849654709632221E-2</v>
      </c>
      <c r="J29" s="83">
        <v>23.077000000000002</v>
      </c>
      <c r="K29" s="83">
        <v>18.774000000000001</v>
      </c>
      <c r="L29" s="17"/>
      <c r="M29" s="108"/>
      <c r="N29" s="108"/>
      <c r="O29" s="108"/>
      <c r="P29" s="109"/>
      <c r="Q29" s="1" t="s">
        <v>416</v>
      </c>
      <c r="R29" s="1" t="s">
        <v>269</v>
      </c>
      <c r="S29" s="1" t="s">
        <v>106</v>
      </c>
      <c r="T29" s="1" t="s">
        <v>107</v>
      </c>
      <c r="U29" s="1" t="s">
        <v>108</v>
      </c>
      <c r="V29" s="1">
        <v>31.425000000000001</v>
      </c>
      <c r="W29" s="98"/>
      <c r="X29" s="130"/>
      <c r="Y29" s="98"/>
      <c r="Z29" s="98"/>
      <c r="AA29" s="86"/>
      <c r="AB29" s="141"/>
      <c r="AC29" s="1"/>
      <c r="AD29" s="143"/>
      <c r="AE29" s="142"/>
    </row>
    <row r="30" spans="1:31" x14ac:dyDescent="0.25">
      <c r="A30" s="100"/>
      <c r="B30" s="9">
        <v>339</v>
      </c>
      <c r="C30" s="9" t="s">
        <v>388</v>
      </c>
      <c r="D30" s="9" t="s">
        <v>103</v>
      </c>
      <c r="E30" s="9" t="s">
        <v>417</v>
      </c>
      <c r="F30" s="9" t="s">
        <v>332</v>
      </c>
      <c r="G30" s="9" t="s">
        <v>106</v>
      </c>
      <c r="H30" s="9"/>
      <c r="I30" s="9"/>
      <c r="J30" s="9">
        <v>22.806000000000001</v>
      </c>
      <c r="K30" s="9">
        <v>18.515000000000001</v>
      </c>
      <c r="L30" s="11"/>
      <c r="M30" s="104">
        <f t="shared" ref="M30:N30" si="65">AVERAGE(J30:J33)</f>
        <v>22.781750000000002</v>
      </c>
      <c r="N30" s="104">
        <f t="shared" si="65"/>
        <v>18.29025</v>
      </c>
      <c r="O30" s="104"/>
      <c r="P30" s="89">
        <f t="shared" ref="P30" si="66">GEOMEAN(M30,N30)</f>
        <v>20.412836719513045</v>
      </c>
      <c r="Q30" s="1" t="s">
        <v>417</v>
      </c>
      <c r="R30" s="1" t="s">
        <v>269</v>
      </c>
      <c r="S30" s="1" t="s">
        <v>106</v>
      </c>
      <c r="T30" s="1" t="s">
        <v>107</v>
      </c>
      <c r="U30" s="1" t="s">
        <v>108</v>
      </c>
      <c r="V30" s="1">
        <v>31.626999999999999</v>
      </c>
      <c r="W30" s="96">
        <f t="shared" ref="W30" si="67">_xlfn.STDEV.S(V30:V33)</f>
        <v>0.50147316312374413</v>
      </c>
      <c r="X30" s="128">
        <f t="shared" ref="X30" si="68">AVERAGE(V30:V33)</f>
        <v>31.464000000000002</v>
      </c>
      <c r="Y30" s="96">
        <f t="shared" ref="Y30" si="69">X30-P30</f>
        <v>11.051163280486957</v>
      </c>
      <c r="Z30" s="96">
        <f t="shared" ref="Z30" si="70">Y30-$AE$4</f>
        <v>-0.13367269164904982</v>
      </c>
      <c r="AA30" s="84">
        <f t="shared" ref="AA30" si="71">2^-Z30</f>
        <v>1.0970830109819107</v>
      </c>
      <c r="AB30" s="139"/>
      <c r="AC30" s="1">
        <f t="shared" ref="AC30" si="72">LOG(AA30,2)</f>
        <v>0.13367269164904977</v>
      </c>
      <c r="AD30" s="1"/>
      <c r="AE30" s="1"/>
    </row>
    <row r="31" spans="1:31" x14ac:dyDescent="0.25">
      <c r="A31" s="101"/>
      <c r="B31" s="1">
        <v>363</v>
      </c>
      <c r="C31" s="1" t="s">
        <v>400</v>
      </c>
      <c r="D31" s="1" t="s">
        <v>103</v>
      </c>
      <c r="E31" s="1" t="s">
        <v>417</v>
      </c>
      <c r="F31" s="1" t="s">
        <v>332</v>
      </c>
      <c r="G31" s="1" t="s">
        <v>106</v>
      </c>
      <c r="H31" s="1"/>
      <c r="I31" s="1"/>
      <c r="J31" s="1">
        <v>22.748999999999999</v>
      </c>
      <c r="K31" s="1">
        <v>18.596</v>
      </c>
      <c r="L31" s="14"/>
      <c r="M31" s="105"/>
      <c r="N31" s="105"/>
      <c r="O31" s="105"/>
      <c r="P31" s="90"/>
      <c r="Q31" s="1" t="s">
        <v>417</v>
      </c>
      <c r="R31" s="1" t="s">
        <v>269</v>
      </c>
      <c r="S31" s="1" t="s">
        <v>106</v>
      </c>
      <c r="T31" s="1" t="s">
        <v>107</v>
      </c>
      <c r="U31" s="1" t="s">
        <v>108</v>
      </c>
      <c r="V31" s="1">
        <v>30.841000000000001</v>
      </c>
      <c r="W31" s="97"/>
      <c r="X31" s="129"/>
      <c r="Y31" s="97"/>
      <c r="Z31" s="97"/>
      <c r="AA31" s="85"/>
      <c r="AB31" s="140"/>
      <c r="AC31" s="1"/>
      <c r="AD31" s="1"/>
      <c r="AE31" s="1"/>
    </row>
    <row r="32" spans="1:31" x14ac:dyDescent="0.25">
      <c r="A32" s="101"/>
      <c r="B32" s="1">
        <v>340</v>
      </c>
      <c r="C32" s="1" t="s">
        <v>389</v>
      </c>
      <c r="D32" s="1" t="s">
        <v>103</v>
      </c>
      <c r="E32" s="1" t="s">
        <v>417</v>
      </c>
      <c r="F32" s="1" t="s">
        <v>332</v>
      </c>
      <c r="G32" s="1" t="s">
        <v>106</v>
      </c>
      <c r="H32" s="1"/>
      <c r="I32" s="1"/>
      <c r="J32" s="1">
        <v>22.742999999999999</v>
      </c>
      <c r="K32" s="1">
        <v>18.411999999999999</v>
      </c>
      <c r="L32" s="14"/>
      <c r="M32" s="105"/>
      <c r="N32" s="105"/>
      <c r="O32" s="105"/>
      <c r="P32" s="90"/>
      <c r="Q32" s="1" t="s">
        <v>417</v>
      </c>
      <c r="R32" s="1" t="s">
        <v>269</v>
      </c>
      <c r="S32" s="1" t="s">
        <v>106</v>
      </c>
      <c r="T32" s="1" t="s">
        <v>107</v>
      </c>
      <c r="U32" s="1" t="s">
        <v>108</v>
      </c>
      <c r="V32" s="1">
        <v>32.036000000000001</v>
      </c>
      <c r="W32" s="97"/>
      <c r="X32" s="129"/>
      <c r="Y32" s="97"/>
      <c r="Z32" s="97"/>
      <c r="AA32" s="85"/>
      <c r="AB32" s="140"/>
      <c r="AC32" s="1"/>
      <c r="AD32" s="1"/>
      <c r="AE32" s="1"/>
    </row>
    <row r="33" spans="1:31" ht="15.75" thickBot="1" x14ac:dyDescent="0.3">
      <c r="A33" s="107"/>
      <c r="B33" s="83">
        <v>364</v>
      </c>
      <c r="C33" s="83" t="s">
        <v>401</v>
      </c>
      <c r="D33" s="83" t="s">
        <v>103</v>
      </c>
      <c r="E33" s="83" t="s">
        <v>417</v>
      </c>
      <c r="F33" s="83" t="s">
        <v>332</v>
      </c>
      <c r="G33" s="83" t="s">
        <v>106</v>
      </c>
      <c r="H33" s="83">
        <f t="shared" ref="H33" si="73">_xlfn.STDEV.S(K30:K33)</f>
        <v>0.44130441118725816</v>
      </c>
      <c r="I33" s="83">
        <f t="shared" ref="I33" si="74">_xlfn.STDEV.S(J30:J33)</f>
        <v>4.2405777908206085E-2</v>
      </c>
      <c r="J33" s="83">
        <v>22.829000000000001</v>
      </c>
      <c r="K33" s="83">
        <v>17.638000000000002</v>
      </c>
      <c r="L33" s="17"/>
      <c r="M33" s="108"/>
      <c r="N33" s="108"/>
      <c r="O33" s="108"/>
      <c r="P33" s="109"/>
      <c r="Q33" s="1" t="s">
        <v>417</v>
      </c>
      <c r="R33" s="1" t="s">
        <v>269</v>
      </c>
      <c r="S33" s="1" t="s">
        <v>106</v>
      </c>
      <c r="T33" s="1" t="s">
        <v>107</v>
      </c>
      <c r="U33" s="1" t="s">
        <v>108</v>
      </c>
      <c r="V33" s="1">
        <v>31.352</v>
      </c>
      <c r="W33" s="98"/>
      <c r="X33" s="130"/>
      <c r="Y33" s="98"/>
      <c r="Z33" s="98"/>
      <c r="AA33" s="86"/>
      <c r="AB33" s="141"/>
      <c r="AC33" s="1"/>
      <c r="AD33" s="1"/>
      <c r="AE33" s="1"/>
    </row>
    <row r="34" spans="1:31" x14ac:dyDescent="0.25">
      <c r="A34" s="100"/>
      <c r="B34" s="9">
        <v>341</v>
      </c>
      <c r="C34" s="9" t="s">
        <v>390</v>
      </c>
      <c r="D34" s="9" t="s">
        <v>103</v>
      </c>
      <c r="E34" s="9" t="s">
        <v>418</v>
      </c>
      <c r="F34" s="9" t="s">
        <v>332</v>
      </c>
      <c r="G34" s="9" t="s">
        <v>106</v>
      </c>
      <c r="H34" s="9"/>
      <c r="I34" s="9"/>
      <c r="J34" s="9">
        <v>22.611000000000001</v>
      </c>
      <c r="K34" s="9">
        <v>18.010000000000002</v>
      </c>
      <c r="L34" s="11"/>
      <c r="M34" s="104">
        <f t="shared" ref="M34:N34" si="75">AVERAGE(J34:J37)</f>
        <v>22.61225</v>
      </c>
      <c r="N34" s="104">
        <f t="shared" si="75"/>
        <v>18.068000000000001</v>
      </c>
      <c r="O34" s="104"/>
      <c r="P34" s="89">
        <f t="shared" ref="P34" si="76">GEOMEAN(M34,N34)</f>
        <v>20.21282100549055</v>
      </c>
      <c r="Q34" s="1" t="s">
        <v>418</v>
      </c>
      <c r="R34" s="1" t="s">
        <v>269</v>
      </c>
      <c r="S34" s="1" t="s">
        <v>106</v>
      </c>
      <c r="T34" s="1" t="s">
        <v>107</v>
      </c>
      <c r="U34" s="1" t="s">
        <v>108</v>
      </c>
      <c r="V34" s="1">
        <v>24.849</v>
      </c>
      <c r="W34" s="96">
        <f t="shared" ref="W34" si="77">_xlfn.STDEV.S(V34:V37)</f>
        <v>4.728283691432425E-2</v>
      </c>
      <c r="X34" s="128">
        <f t="shared" ref="X34" si="78">AVERAGE(V34:V37)</f>
        <v>24.886500000000002</v>
      </c>
      <c r="Y34" s="96">
        <f t="shared" ref="Y34" si="79">X34-P34</f>
        <v>4.6736789945094515</v>
      </c>
      <c r="Z34" s="96">
        <f t="shared" ref="Z34" si="80">Y34-$AE$4</f>
        <v>-6.5111569776265554</v>
      </c>
      <c r="AA34" s="84">
        <f t="shared" ref="AA34" si="81">2^-Z34</f>
        <v>91.212331451616492</v>
      </c>
      <c r="AB34" s="136"/>
      <c r="AC34" s="1">
        <f t="shared" ref="AC34" si="82">LOG(AA34,2)</f>
        <v>6.5111569776265554</v>
      </c>
      <c r="AD34" s="1"/>
      <c r="AE34" s="1"/>
    </row>
    <row r="35" spans="1:31" x14ac:dyDescent="0.25">
      <c r="A35" s="101"/>
      <c r="B35" s="1">
        <v>365</v>
      </c>
      <c r="C35" s="1" t="s">
        <v>402</v>
      </c>
      <c r="D35" s="1" t="s">
        <v>103</v>
      </c>
      <c r="E35" s="1" t="s">
        <v>418</v>
      </c>
      <c r="F35" s="1" t="s">
        <v>332</v>
      </c>
      <c r="G35" s="1" t="s">
        <v>106</v>
      </c>
      <c r="H35" s="1"/>
      <c r="I35" s="1"/>
      <c r="J35" s="1">
        <v>22.594000000000001</v>
      </c>
      <c r="K35" s="1">
        <v>18.193000000000001</v>
      </c>
      <c r="L35" s="14"/>
      <c r="M35" s="105"/>
      <c r="N35" s="105"/>
      <c r="O35" s="105"/>
      <c r="P35" s="90"/>
      <c r="Q35" s="1" t="s">
        <v>418</v>
      </c>
      <c r="R35" s="1" t="s">
        <v>269</v>
      </c>
      <c r="S35" s="1" t="s">
        <v>106</v>
      </c>
      <c r="T35" s="1" t="s">
        <v>107</v>
      </c>
      <c r="U35" s="1" t="s">
        <v>108</v>
      </c>
      <c r="V35" s="1">
        <v>24.863</v>
      </c>
      <c r="W35" s="97"/>
      <c r="X35" s="129"/>
      <c r="Y35" s="97"/>
      <c r="Z35" s="97"/>
      <c r="AA35" s="85"/>
      <c r="AB35" s="137"/>
      <c r="AC35" s="1"/>
      <c r="AD35" s="1"/>
      <c r="AE35" s="1"/>
    </row>
    <row r="36" spans="1:31" x14ac:dyDescent="0.25">
      <c r="A36" s="101"/>
      <c r="B36" s="1">
        <v>342</v>
      </c>
      <c r="C36" s="1" t="s">
        <v>391</v>
      </c>
      <c r="D36" s="1" t="s">
        <v>103</v>
      </c>
      <c r="E36" s="1" t="s">
        <v>418</v>
      </c>
      <c r="F36" s="1" t="s">
        <v>332</v>
      </c>
      <c r="G36" s="1" t="s">
        <v>106</v>
      </c>
      <c r="H36" s="1"/>
      <c r="I36" s="1"/>
      <c r="J36" s="1">
        <v>22.55</v>
      </c>
      <c r="K36" s="1">
        <v>17.946000000000002</v>
      </c>
      <c r="L36" s="14"/>
      <c r="M36" s="105"/>
      <c r="N36" s="105"/>
      <c r="O36" s="105"/>
      <c r="P36" s="90"/>
      <c r="Q36" s="1" t="s">
        <v>418</v>
      </c>
      <c r="R36" s="1" t="s">
        <v>269</v>
      </c>
      <c r="S36" s="1" t="s">
        <v>106</v>
      </c>
      <c r="T36" s="1" t="s">
        <v>107</v>
      </c>
      <c r="U36" s="1" t="s">
        <v>108</v>
      </c>
      <c r="V36" s="1">
        <v>24.954999999999998</v>
      </c>
      <c r="W36" s="97"/>
      <c r="X36" s="129"/>
      <c r="Y36" s="97"/>
      <c r="Z36" s="97"/>
      <c r="AA36" s="85"/>
      <c r="AB36" s="137"/>
      <c r="AC36" s="1"/>
      <c r="AD36" s="1"/>
      <c r="AE36" s="1"/>
    </row>
    <row r="37" spans="1:31" ht="15.75" thickBot="1" x14ac:dyDescent="0.3">
      <c r="A37" s="107"/>
      <c r="B37" s="83">
        <v>366</v>
      </c>
      <c r="C37" s="83" t="s">
        <v>403</v>
      </c>
      <c r="D37" s="83" t="s">
        <v>103</v>
      </c>
      <c r="E37" s="83" t="s">
        <v>418</v>
      </c>
      <c r="F37" s="83" t="s">
        <v>332</v>
      </c>
      <c r="G37" s="83" t="s">
        <v>106</v>
      </c>
      <c r="H37" s="83">
        <f t="shared" ref="H37" si="83">_xlfn.STDEV.S(K34:K37)</f>
        <v>0.11090235945791824</v>
      </c>
      <c r="I37" s="83">
        <f t="shared" ref="I37" si="84">_xlfn.STDEV.S(J34:J37)</f>
        <v>6.0257088103115065E-2</v>
      </c>
      <c r="J37" s="83">
        <v>22.693999999999999</v>
      </c>
      <c r="K37" s="83">
        <v>18.123000000000001</v>
      </c>
      <c r="L37" s="17"/>
      <c r="M37" s="108"/>
      <c r="N37" s="108"/>
      <c r="O37" s="108"/>
      <c r="P37" s="109"/>
      <c r="Q37" s="1" t="s">
        <v>418</v>
      </c>
      <c r="R37" s="1" t="s">
        <v>269</v>
      </c>
      <c r="S37" s="1" t="s">
        <v>106</v>
      </c>
      <c r="T37" s="1" t="s">
        <v>107</v>
      </c>
      <c r="U37" s="1" t="s">
        <v>108</v>
      </c>
      <c r="V37" s="1">
        <v>24.879000000000001</v>
      </c>
      <c r="W37" s="98"/>
      <c r="X37" s="130"/>
      <c r="Y37" s="98"/>
      <c r="Z37" s="98"/>
      <c r="AA37" s="86"/>
      <c r="AB37" s="138"/>
      <c r="AC37" s="1"/>
      <c r="AD37" s="1"/>
      <c r="AE37" s="1"/>
    </row>
    <row r="38" spans="1:31" x14ac:dyDescent="0.25">
      <c r="A38" s="100"/>
      <c r="B38" s="9">
        <v>343</v>
      </c>
      <c r="C38" s="9" t="s">
        <v>392</v>
      </c>
      <c r="D38" s="9" t="s">
        <v>103</v>
      </c>
      <c r="E38" s="9" t="s">
        <v>419</v>
      </c>
      <c r="F38" s="9" t="s">
        <v>332</v>
      </c>
      <c r="G38" s="9" t="s">
        <v>106</v>
      </c>
      <c r="H38" s="9"/>
      <c r="I38" s="9"/>
      <c r="J38" s="9">
        <v>22.65</v>
      </c>
      <c r="K38" s="9">
        <v>17.954999999999998</v>
      </c>
      <c r="L38" s="11"/>
      <c r="M38" s="104">
        <f t="shared" ref="M38:N38" si="85">AVERAGE(J38:J41)</f>
        <v>22.660999999999998</v>
      </c>
      <c r="N38" s="104">
        <f t="shared" si="85"/>
        <v>17.9955</v>
      </c>
      <c r="O38" s="104"/>
      <c r="P38" s="89">
        <f t="shared" ref="P38" si="86">GEOMEAN(M38,N38)</f>
        <v>20.193960124254975</v>
      </c>
      <c r="Q38" s="1" t="s">
        <v>419</v>
      </c>
      <c r="R38" s="1" t="s">
        <v>269</v>
      </c>
      <c r="S38" s="1" t="s">
        <v>106</v>
      </c>
      <c r="T38" s="1" t="s">
        <v>107</v>
      </c>
      <c r="U38" s="1" t="s">
        <v>108</v>
      </c>
      <c r="V38" s="1">
        <v>25.077000000000002</v>
      </c>
      <c r="W38" s="96">
        <f t="shared" ref="W38" si="87">_xlfn.STDEV.S(V38:V41)</f>
        <v>0.15982985745264716</v>
      </c>
      <c r="X38" s="128">
        <f t="shared" ref="X38" si="88">AVERAGE(V38:V41)</f>
        <v>24.88325</v>
      </c>
      <c r="Y38" s="96">
        <f t="shared" ref="Y38" si="89">X38-P38</f>
        <v>4.6892898757450254</v>
      </c>
      <c r="Z38" s="96">
        <f t="shared" ref="Z38" si="90">Y38-$AE$4</f>
        <v>-6.4955460963909815</v>
      </c>
      <c r="AA38" s="84">
        <f t="shared" ref="AA38" si="91">2^-Z38</f>
        <v>90.230676448197826</v>
      </c>
      <c r="AB38" s="136"/>
      <c r="AC38" s="1">
        <f t="shared" ref="AC38" si="92">LOG(AA38,2)</f>
        <v>6.4955460963909815</v>
      </c>
      <c r="AD38" s="1"/>
      <c r="AE38" s="1"/>
    </row>
    <row r="39" spans="1:31" x14ac:dyDescent="0.25">
      <c r="A39" s="101"/>
      <c r="B39" s="1">
        <v>367</v>
      </c>
      <c r="C39" s="1" t="s">
        <v>404</v>
      </c>
      <c r="D39" s="1" t="s">
        <v>103</v>
      </c>
      <c r="E39" s="1" t="s">
        <v>419</v>
      </c>
      <c r="F39" s="1" t="s">
        <v>332</v>
      </c>
      <c r="G39" s="1" t="s">
        <v>106</v>
      </c>
      <c r="H39" s="1"/>
      <c r="I39" s="1"/>
      <c r="J39" s="1">
        <v>22.596</v>
      </c>
      <c r="K39" s="1">
        <v>18.097000000000001</v>
      </c>
      <c r="L39" s="14"/>
      <c r="M39" s="105"/>
      <c r="N39" s="105"/>
      <c r="O39" s="105"/>
      <c r="P39" s="90"/>
      <c r="Q39" s="1" t="s">
        <v>419</v>
      </c>
      <c r="R39" s="1" t="s">
        <v>269</v>
      </c>
      <c r="S39" s="1" t="s">
        <v>106</v>
      </c>
      <c r="T39" s="1" t="s">
        <v>107</v>
      </c>
      <c r="U39" s="1" t="s">
        <v>108</v>
      </c>
      <c r="V39" s="1">
        <v>24.777000000000001</v>
      </c>
      <c r="W39" s="97"/>
      <c r="X39" s="129"/>
      <c r="Y39" s="97"/>
      <c r="Z39" s="97"/>
      <c r="AA39" s="85"/>
      <c r="AB39" s="137"/>
      <c r="AC39" s="1"/>
      <c r="AD39" s="1"/>
      <c r="AE39" s="1"/>
    </row>
    <row r="40" spans="1:31" x14ac:dyDescent="0.25">
      <c r="A40" s="101"/>
      <c r="B40" s="1">
        <v>344</v>
      </c>
      <c r="C40" s="1" t="s">
        <v>393</v>
      </c>
      <c r="D40" s="1" t="s">
        <v>103</v>
      </c>
      <c r="E40" s="1" t="s">
        <v>419</v>
      </c>
      <c r="F40" s="1" t="s">
        <v>332</v>
      </c>
      <c r="G40" s="1" t="s">
        <v>106</v>
      </c>
      <c r="H40" s="1"/>
      <c r="I40" s="1"/>
      <c r="J40" s="1">
        <v>22.698</v>
      </c>
      <c r="K40" s="1">
        <v>17.888999999999999</v>
      </c>
      <c r="L40" s="14"/>
      <c r="M40" s="105"/>
      <c r="N40" s="105"/>
      <c r="O40" s="105"/>
      <c r="P40" s="90"/>
      <c r="Q40" s="1" t="s">
        <v>419</v>
      </c>
      <c r="R40" s="1" t="s">
        <v>269</v>
      </c>
      <c r="S40" s="1" t="s">
        <v>106</v>
      </c>
      <c r="T40" s="1" t="s">
        <v>107</v>
      </c>
      <c r="U40" s="1" t="s">
        <v>108</v>
      </c>
      <c r="V40" s="1">
        <v>24.949000000000002</v>
      </c>
      <c r="W40" s="97"/>
      <c r="X40" s="129"/>
      <c r="Y40" s="97"/>
      <c r="Z40" s="97"/>
      <c r="AA40" s="85"/>
      <c r="AB40" s="137"/>
      <c r="AC40" s="1"/>
      <c r="AD40" s="1"/>
      <c r="AE40" s="1"/>
    </row>
    <row r="41" spans="1:31" ht="15.75" thickBot="1" x14ac:dyDescent="0.3">
      <c r="A41" s="107"/>
      <c r="B41" s="83">
        <v>368</v>
      </c>
      <c r="C41" s="83" t="s">
        <v>405</v>
      </c>
      <c r="D41" s="83" t="s">
        <v>103</v>
      </c>
      <c r="E41" s="83" t="s">
        <v>419</v>
      </c>
      <c r="F41" s="83" t="s">
        <v>332</v>
      </c>
      <c r="G41" s="83" t="s">
        <v>106</v>
      </c>
      <c r="H41" s="83">
        <f t="shared" ref="H41" si="93">_xlfn.STDEV.S(K38:K41)</f>
        <v>9.1932946578834621E-2</v>
      </c>
      <c r="I41" s="83">
        <f t="shared" ref="I41" si="94">_xlfn.STDEV.S(J38:J41)</f>
        <v>4.911211663123468E-2</v>
      </c>
      <c r="J41" s="83">
        <v>22.7</v>
      </c>
      <c r="K41" s="83">
        <v>18.041</v>
      </c>
      <c r="L41" s="17"/>
      <c r="M41" s="108"/>
      <c r="N41" s="108"/>
      <c r="O41" s="108"/>
      <c r="P41" s="109"/>
      <c r="Q41" s="1" t="s">
        <v>419</v>
      </c>
      <c r="R41" s="1" t="s">
        <v>269</v>
      </c>
      <c r="S41" s="1" t="s">
        <v>106</v>
      </c>
      <c r="T41" s="1" t="s">
        <v>107</v>
      </c>
      <c r="U41" s="1" t="s">
        <v>108</v>
      </c>
      <c r="V41" s="1">
        <v>24.73</v>
      </c>
      <c r="W41" s="98"/>
      <c r="X41" s="130"/>
      <c r="Y41" s="98"/>
      <c r="Z41" s="98"/>
      <c r="AA41" s="86"/>
      <c r="AB41" s="138"/>
      <c r="AC41" s="1"/>
      <c r="AD41" s="1"/>
      <c r="AE41" s="1"/>
    </row>
    <row r="42" spans="1:31" x14ac:dyDescent="0.25">
      <c r="A42" s="100"/>
      <c r="B42" s="9">
        <v>345</v>
      </c>
      <c r="C42" s="9" t="s">
        <v>394</v>
      </c>
      <c r="D42" s="9" t="s">
        <v>103</v>
      </c>
      <c r="E42" s="9" t="s">
        <v>420</v>
      </c>
      <c r="F42" s="9" t="s">
        <v>332</v>
      </c>
      <c r="G42" s="9" t="s">
        <v>106</v>
      </c>
      <c r="H42" s="9"/>
      <c r="I42" s="9"/>
      <c r="J42" s="9">
        <v>24.039000000000001</v>
      </c>
      <c r="K42" s="9">
        <v>20.016999999999999</v>
      </c>
      <c r="L42" s="11"/>
      <c r="M42" s="104">
        <f t="shared" ref="M42:N42" si="95">AVERAGE(J42:J45)</f>
        <v>24.10125</v>
      </c>
      <c r="N42" s="104">
        <f t="shared" si="95"/>
        <v>19.996499999999997</v>
      </c>
      <c r="O42" s="104"/>
      <c r="P42" s="89">
        <f t="shared" ref="P42" si="96">GEOMEAN(M42,N42)</f>
        <v>21.953146599633502</v>
      </c>
      <c r="Q42" s="1" t="s">
        <v>420</v>
      </c>
      <c r="R42" s="1" t="s">
        <v>269</v>
      </c>
      <c r="S42" s="1" t="s">
        <v>106</v>
      </c>
      <c r="T42" s="1" t="s">
        <v>107</v>
      </c>
      <c r="U42" s="1" t="s">
        <v>108</v>
      </c>
      <c r="V42" s="1">
        <v>25.562999999999999</v>
      </c>
      <c r="W42" s="96">
        <f t="shared" ref="W42" si="97">_xlfn.STDEV.S(V42:V45)</f>
        <v>0.20876382189769596</v>
      </c>
      <c r="X42" s="128">
        <f t="shared" ref="X42" si="98">AVERAGE(V42:V45)</f>
        <v>25.380500000000001</v>
      </c>
      <c r="Y42" s="96">
        <f t="shared" ref="Y42" si="99">X42-P42</f>
        <v>3.4273534003664992</v>
      </c>
      <c r="Z42" s="96">
        <f t="shared" ref="Z42" si="100">Y42-$AE$4</f>
        <v>-7.7574825717695077</v>
      </c>
      <c r="AA42" s="84">
        <f t="shared" ref="AA42" si="101">2^-Z42</f>
        <v>216.38888292873057</v>
      </c>
      <c r="AB42" s="132"/>
      <c r="AC42" s="1">
        <f t="shared" ref="AC42" si="102">LOG(AA42,2)</f>
        <v>7.7574825717695086</v>
      </c>
      <c r="AD42" s="1"/>
      <c r="AE42" s="1"/>
    </row>
    <row r="43" spans="1:31" x14ac:dyDescent="0.25">
      <c r="A43" s="101"/>
      <c r="B43" s="1">
        <v>369</v>
      </c>
      <c r="C43" s="1" t="s">
        <v>406</v>
      </c>
      <c r="D43" s="1" t="s">
        <v>103</v>
      </c>
      <c r="E43" s="1" t="s">
        <v>420</v>
      </c>
      <c r="F43" s="1" t="s">
        <v>332</v>
      </c>
      <c r="G43" s="1" t="s">
        <v>106</v>
      </c>
      <c r="H43" s="1"/>
      <c r="I43" s="1"/>
      <c r="J43" s="1">
        <v>24.114999999999998</v>
      </c>
      <c r="K43" s="1">
        <v>20.026</v>
      </c>
      <c r="L43" s="14"/>
      <c r="M43" s="105"/>
      <c r="N43" s="105"/>
      <c r="O43" s="105"/>
      <c r="P43" s="90"/>
      <c r="Q43" s="1" t="s">
        <v>420</v>
      </c>
      <c r="R43" s="1" t="s">
        <v>269</v>
      </c>
      <c r="S43" s="1" t="s">
        <v>106</v>
      </c>
      <c r="T43" s="1" t="s">
        <v>107</v>
      </c>
      <c r="U43" s="1" t="s">
        <v>108</v>
      </c>
      <c r="V43" s="1">
        <v>25.298999999999999</v>
      </c>
      <c r="W43" s="97"/>
      <c r="X43" s="129"/>
      <c r="Y43" s="97"/>
      <c r="Z43" s="97"/>
      <c r="AA43" s="85"/>
      <c r="AB43" s="133"/>
      <c r="AC43" s="1"/>
      <c r="AD43" s="1"/>
      <c r="AE43" s="1"/>
    </row>
    <row r="44" spans="1:31" x14ac:dyDescent="0.25">
      <c r="A44" s="101"/>
      <c r="B44" s="1">
        <v>346</v>
      </c>
      <c r="C44" s="1" t="s">
        <v>395</v>
      </c>
      <c r="D44" s="1" t="s">
        <v>103</v>
      </c>
      <c r="E44" s="1" t="s">
        <v>420</v>
      </c>
      <c r="F44" s="1" t="s">
        <v>332</v>
      </c>
      <c r="G44" s="1" t="s">
        <v>106</v>
      </c>
      <c r="H44" s="1"/>
      <c r="I44" s="1"/>
      <c r="J44" s="1">
        <v>24.184000000000001</v>
      </c>
      <c r="K44" s="1">
        <v>19.843</v>
      </c>
      <c r="L44" s="14"/>
      <c r="M44" s="105"/>
      <c r="N44" s="105"/>
      <c r="O44" s="105"/>
      <c r="P44" s="90"/>
      <c r="Q44" s="1" t="s">
        <v>420</v>
      </c>
      <c r="R44" s="1" t="s">
        <v>269</v>
      </c>
      <c r="S44" s="1" t="s">
        <v>106</v>
      </c>
      <c r="T44" s="1" t="s">
        <v>107</v>
      </c>
      <c r="U44" s="1" t="s">
        <v>108</v>
      </c>
      <c r="V44" s="1">
        <v>25.536999999999999</v>
      </c>
      <c r="W44" s="97"/>
      <c r="X44" s="129"/>
      <c r="Y44" s="97"/>
      <c r="Z44" s="97"/>
      <c r="AA44" s="85"/>
      <c r="AB44" s="133"/>
      <c r="AC44" s="1"/>
      <c r="AD44" s="1"/>
      <c r="AE44" s="1"/>
    </row>
    <row r="45" spans="1:31" ht="15.75" thickBot="1" x14ac:dyDescent="0.3">
      <c r="A45" s="107"/>
      <c r="B45" s="83">
        <v>370</v>
      </c>
      <c r="C45" s="83" t="s">
        <v>407</v>
      </c>
      <c r="D45" s="83" t="s">
        <v>103</v>
      </c>
      <c r="E45" s="83" t="s">
        <v>420</v>
      </c>
      <c r="F45" s="83" t="s">
        <v>332</v>
      </c>
      <c r="G45" s="83" t="s">
        <v>106</v>
      </c>
      <c r="H45" s="83">
        <f t="shared" ref="H45" si="103">_xlfn.STDEV.S(K42:K45)</f>
        <v>0.1088806686239577</v>
      </c>
      <c r="I45" s="83">
        <f t="shared" ref="I45" si="104">_xlfn.STDEV.S(J42:J45)</f>
        <v>6.3468496122091766E-2</v>
      </c>
      <c r="J45" s="83">
        <v>24.067</v>
      </c>
      <c r="K45" s="83">
        <v>20.100000000000001</v>
      </c>
      <c r="L45" s="17"/>
      <c r="M45" s="108"/>
      <c r="N45" s="108"/>
      <c r="O45" s="108"/>
      <c r="P45" s="109"/>
      <c r="Q45" s="1" t="s">
        <v>420</v>
      </c>
      <c r="R45" s="1" t="s">
        <v>269</v>
      </c>
      <c r="S45" s="1" t="s">
        <v>106</v>
      </c>
      <c r="T45" s="1" t="s">
        <v>107</v>
      </c>
      <c r="U45" s="1" t="s">
        <v>108</v>
      </c>
      <c r="V45" s="1">
        <v>25.123000000000001</v>
      </c>
      <c r="W45" s="98"/>
      <c r="X45" s="130"/>
      <c r="Y45" s="98"/>
      <c r="Z45" s="98"/>
      <c r="AA45" s="86"/>
      <c r="AB45" s="135"/>
      <c r="AC45" s="1"/>
      <c r="AD45" s="1"/>
      <c r="AE45" s="1"/>
    </row>
    <row r="46" spans="1:31" x14ac:dyDescent="0.25">
      <c r="A46" s="100"/>
      <c r="B46" s="9">
        <v>347</v>
      </c>
      <c r="C46" s="9" t="s">
        <v>396</v>
      </c>
      <c r="D46" s="9" t="s">
        <v>103</v>
      </c>
      <c r="E46" s="9" t="s">
        <v>421</v>
      </c>
      <c r="F46" s="9" t="s">
        <v>332</v>
      </c>
      <c r="G46" s="9" t="s">
        <v>106</v>
      </c>
      <c r="H46" s="9"/>
      <c r="I46" s="9"/>
      <c r="J46" s="9">
        <v>23.227</v>
      </c>
      <c r="K46" s="9">
        <v>18.948</v>
      </c>
      <c r="L46" s="11"/>
      <c r="M46" s="104">
        <f t="shared" ref="M46:N46" si="105">AVERAGE(J46:J49)</f>
        <v>23.23875</v>
      </c>
      <c r="N46" s="104">
        <f t="shared" si="105"/>
        <v>18.911249999999999</v>
      </c>
      <c r="O46" s="104"/>
      <c r="P46" s="89">
        <f t="shared" ref="P46" si="106">GEOMEAN(M46,N46)</f>
        <v>20.963630671653704</v>
      </c>
      <c r="Q46" s="1" t="s">
        <v>421</v>
      </c>
      <c r="R46" s="1" t="s">
        <v>269</v>
      </c>
      <c r="S46" s="1" t="s">
        <v>106</v>
      </c>
      <c r="T46" s="1" t="s">
        <v>107</v>
      </c>
      <c r="U46" s="1" t="s">
        <v>108</v>
      </c>
      <c r="V46" s="1">
        <v>24.869</v>
      </c>
      <c r="W46" s="96">
        <f t="shared" ref="W46" si="107">_xlfn.STDEV.S(V46:V49)</f>
        <v>0.10700311521944914</v>
      </c>
      <c r="X46" s="128">
        <f t="shared" ref="X46" si="108">AVERAGE(V46:V49)</f>
        <v>25.002499999999998</v>
      </c>
      <c r="Y46" s="96">
        <f t="shared" ref="Y46" si="109">X46-P46</f>
        <v>4.0388693283462942</v>
      </c>
      <c r="Z46" s="96">
        <f t="shared" ref="Z46" si="110">Y46-$AE$4</f>
        <v>-7.1459666437897127</v>
      </c>
      <c r="AA46" s="84">
        <f t="shared" ref="AA46" si="111">2^-Z46</f>
        <v>141.62838660157848</v>
      </c>
      <c r="AB46" s="132"/>
      <c r="AC46" s="1">
        <f t="shared" ref="AC46" si="112">LOG(AA46,2)</f>
        <v>7.1459666437897127</v>
      </c>
      <c r="AD46" s="1"/>
      <c r="AE46" s="1"/>
    </row>
    <row r="47" spans="1:31" x14ac:dyDescent="0.25">
      <c r="A47" s="101"/>
      <c r="B47" s="1">
        <v>371</v>
      </c>
      <c r="C47" s="1" t="s">
        <v>408</v>
      </c>
      <c r="D47" s="1" t="s">
        <v>103</v>
      </c>
      <c r="E47" s="1" t="s">
        <v>421</v>
      </c>
      <c r="F47" s="1" t="s">
        <v>332</v>
      </c>
      <c r="G47" s="1" t="s">
        <v>106</v>
      </c>
      <c r="H47" s="1"/>
      <c r="I47" s="1"/>
      <c r="J47" s="1">
        <v>23.309000000000001</v>
      </c>
      <c r="K47" s="1">
        <v>18.928999999999998</v>
      </c>
      <c r="L47" s="14"/>
      <c r="M47" s="105"/>
      <c r="N47" s="105"/>
      <c r="O47" s="105"/>
      <c r="P47" s="90"/>
      <c r="Q47" s="1" t="s">
        <v>421</v>
      </c>
      <c r="R47" s="1" t="s">
        <v>269</v>
      </c>
      <c r="S47" s="1" t="s">
        <v>106</v>
      </c>
      <c r="T47" s="1" t="s">
        <v>107</v>
      </c>
      <c r="U47" s="1" t="s">
        <v>108</v>
      </c>
      <c r="V47" s="1">
        <v>25.088000000000001</v>
      </c>
      <c r="W47" s="97"/>
      <c r="X47" s="129"/>
      <c r="Y47" s="97"/>
      <c r="Z47" s="97"/>
      <c r="AA47" s="85"/>
      <c r="AB47" s="133"/>
      <c r="AC47" s="1"/>
      <c r="AD47" s="1"/>
      <c r="AE47" s="1"/>
    </row>
    <row r="48" spans="1:31" x14ac:dyDescent="0.25">
      <c r="A48" s="101"/>
      <c r="B48" s="1">
        <v>348</v>
      </c>
      <c r="C48" s="1" t="s">
        <v>397</v>
      </c>
      <c r="D48" s="1" t="s">
        <v>103</v>
      </c>
      <c r="E48" s="1" t="s">
        <v>421</v>
      </c>
      <c r="F48" s="1" t="s">
        <v>332</v>
      </c>
      <c r="G48" s="1" t="s">
        <v>106</v>
      </c>
      <c r="H48" s="1"/>
      <c r="I48" s="1"/>
      <c r="J48" s="1">
        <v>23.308</v>
      </c>
      <c r="K48" s="1">
        <v>18.931000000000001</v>
      </c>
      <c r="L48" s="14"/>
      <c r="M48" s="105"/>
      <c r="N48" s="105"/>
      <c r="O48" s="105"/>
      <c r="P48" s="90"/>
      <c r="Q48" s="1" t="s">
        <v>421</v>
      </c>
      <c r="R48" s="1" t="s">
        <v>269</v>
      </c>
      <c r="S48" s="1" t="s">
        <v>106</v>
      </c>
      <c r="T48" s="1" t="s">
        <v>107</v>
      </c>
      <c r="U48" s="1" t="s">
        <v>108</v>
      </c>
      <c r="V48" s="1">
        <v>25.09</v>
      </c>
      <c r="W48" s="97"/>
      <c r="X48" s="129"/>
      <c r="Y48" s="97"/>
      <c r="Z48" s="97"/>
      <c r="AA48" s="85"/>
      <c r="AB48" s="133"/>
      <c r="AC48" s="1"/>
      <c r="AD48" s="1"/>
      <c r="AE48" s="1"/>
    </row>
    <row r="49" spans="1:31" ht="15.75" thickBot="1" x14ac:dyDescent="0.3">
      <c r="A49" s="107"/>
      <c r="B49" s="83">
        <v>372</v>
      </c>
      <c r="C49" s="83" t="s">
        <v>409</v>
      </c>
      <c r="D49" s="83" t="s">
        <v>103</v>
      </c>
      <c r="E49" s="83" t="s">
        <v>421</v>
      </c>
      <c r="F49" s="83" t="s">
        <v>332</v>
      </c>
      <c r="G49" s="83" t="s">
        <v>106</v>
      </c>
      <c r="H49" s="83">
        <f t="shared" ref="H49" si="113">_xlfn.STDEV.S(K46:K49)</f>
        <v>5.0228643886398958E-2</v>
      </c>
      <c r="I49" s="83">
        <f t="shared" ref="I49" si="114">_xlfn.STDEV.S(J46:J49)</f>
        <v>9.3432239261045852E-2</v>
      </c>
      <c r="J49" s="83">
        <v>23.111000000000001</v>
      </c>
      <c r="K49" s="83">
        <v>18.837</v>
      </c>
      <c r="L49" s="17"/>
      <c r="M49" s="108"/>
      <c r="N49" s="108"/>
      <c r="O49" s="108"/>
      <c r="P49" s="109"/>
      <c r="Q49" s="1" t="s">
        <v>421</v>
      </c>
      <c r="R49" s="1" t="s">
        <v>269</v>
      </c>
      <c r="S49" s="1" t="s">
        <v>106</v>
      </c>
      <c r="T49" s="1" t="s">
        <v>107</v>
      </c>
      <c r="U49" s="1" t="s">
        <v>108</v>
      </c>
      <c r="V49" s="1">
        <v>24.963000000000001</v>
      </c>
      <c r="W49" s="98"/>
      <c r="X49" s="130"/>
      <c r="Y49" s="98"/>
      <c r="Z49" s="98"/>
      <c r="AA49" s="86"/>
      <c r="AB49" s="134"/>
      <c r="AC49" s="1"/>
      <c r="AD49" s="1"/>
      <c r="AE49" s="1"/>
    </row>
    <row r="50" spans="1:31" x14ac:dyDescent="0.25">
      <c r="A50" s="100"/>
      <c r="B50" s="9">
        <v>337</v>
      </c>
      <c r="C50" s="9" t="s">
        <v>386</v>
      </c>
      <c r="D50" s="9" t="b">
        <v>0</v>
      </c>
      <c r="E50" s="9" t="s">
        <v>422</v>
      </c>
      <c r="F50" s="9" t="s">
        <v>332</v>
      </c>
      <c r="G50" s="9" t="s">
        <v>106</v>
      </c>
      <c r="H50" s="9"/>
      <c r="I50" s="9"/>
      <c r="J50" s="9">
        <v>22.439899444580078</v>
      </c>
      <c r="K50" s="9">
        <v>17.946588516235352</v>
      </c>
      <c r="L50" s="11"/>
      <c r="M50" s="104">
        <f t="shared" ref="M50:N50" si="115">AVERAGE(J50:J53)</f>
        <v>22.516579151153564</v>
      </c>
      <c r="N50" s="104">
        <f t="shared" si="115"/>
        <v>17.914458751678467</v>
      </c>
      <c r="O50" s="104"/>
      <c r="P50" s="89">
        <f t="shared" ref="P50" si="116">GEOMEAN(M50,N50)</f>
        <v>20.084131259087208</v>
      </c>
      <c r="Q50" t="s">
        <v>422</v>
      </c>
      <c r="R50" t="s">
        <v>269</v>
      </c>
      <c r="S50" t="s">
        <v>106</v>
      </c>
      <c r="T50" t="s">
        <v>107</v>
      </c>
      <c r="U50" t="s">
        <v>108</v>
      </c>
      <c r="V50" s="3">
        <v>32.063602447509766</v>
      </c>
      <c r="W50" s="96">
        <f t="shared" ref="W50" si="117">_xlfn.STDEV.S(V50:V53)</f>
        <v>0.98461915136334399</v>
      </c>
      <c r="X50" s="128">
        <f t="shared" ref="X50" si="118">AVERAGE(V50:V53)</f>
        <v>32.232013702392578</v>
      </c>
      <c r="Y50" s="96">
        <f t="shared" ref="Y50" si="119">X50-P50</f>
        <v>12.14788244330537</v>
      </c>
      <c r="Z50" s="96">
        <f>Y50-$AE$6</f>
        <v>0.2676423551323186</v>
      </c>
      <c r="AA50" s="84">
        <f t="shared" ref="AA50" si="120">2^-Z50</f>
        <v>0.83067592357164743</v>
      </c>
      <c r="AB50" s="131"/>
      <c r="AC50" s="1">
        <f t="shared" ref="AC50" si="121">LOG(AA50,2)</f>
        <v>-0.2676423551323186</v>
      </c>
      <c r="AD50" s="1"/>
      <c r="AE50" s="1"/>
    </row>
    <row r="51" spans="1:31" x14ac:dyDescent="0.25">
      <c r="A51" s="101"/>
      <c r="B51" s="1">
        <v>361</v>
      </c>
      <c r="C51" s="1" t="s">
        <v>398</v>
      </c>
      <c r="D51" s="1" t="b">
        <v>0</v>
      </c>
      <c r="E51" s="1" t="s">
        <v>422</v>
      </c>
      <c r="F51" s="1" t="s">
        <v>332</v>
      </c>
      <c r="G51" s="1" t="s">
        <v>106</v>
      </c>
      <c r="H51" s="1"/>
      <c r="I51" s="1"/>
      <c r="J51" s="1">
        <v>22.503049850463867</v>
      </c>
      <c r="K51" s="1">
        <v>17.91816520690918</v>
      </c>
      <c r="L51" s="14"/>
      <c r="M51" s="105"/>
      <c r="N51" s="105"/>
      <c r="O51" s="105"/>
      <c r="P51" s="90"/>
      <c r="Q51" t="s">
        <v>422</v>
      </c>
      <c r="R51" t="s">
        <v>269</v>
      </c>
      <c r="S51" t="s">
        <v>106</v>
      </c>
      <c r="T51" t="s">
        <v>107</v>
      </c>
      <c r="U51" t="s">
        <v>108</v>
      </c>
      <c r="V51" s="3">
        <v>33.665733337402344</v>
      </c>
      <c r="W51" s="97"/>
      <c r="X51" s="129"/>
      <c r="Y51" s="97"/>
      <c r="Z51" s="97"/>
      <c r="AA51" s="85"/>
      <c r="AB51" s="127"/>
      <c r="AC51" s="1"/>
      <c r="AD51" s="1"/>
      <c r="AE51" s="1"/>
    </row>
    <row r="52" spans="1:31" x14ac:dyDescent="0.25">
      <c r="A52" s="101"/>
      <c r="B52" s="1">
        <v>338</v>
      </c>
      <c r="C52" s="1" t="s">
        <v>387</v>
      </c>
      <c r="D52" s="1" t="b">
        <v>0</v>
      </c>
      <c r="E52" s="1" t="s">
        <v>422</v>
      </c>
      <c r="F52" s="1" t="s">
        <v>332</v>
      </c>
      <c r="G52" s="1" t="s">
        <v>106</v>
      </c>
      <c r="H52" s="1"/>
      <c r="I52" s="1"/>
      <c r="J52" s="1">
        <v>22.497282028198242</v>
      </c>
      <c r="K52" s="1">
        <v>17.994478225708008</v>
      </c>
      <c r="L52" s="14"/>
      <c r="M52" s="105"/>
      <c r="N52" s="105"/>
      <c r="O52" s="105"/>
      <c r="P52" s="90"/>
      <c r="Q52" t="s">
        <v>422</v>
      </c>
      <c r="R52" t="s">
        <v>269</v>
      </c>
      <c r="S52" t="s">
        <v>106</v>
      </c>
      <c r="T52" t="s">
        <v>107</v>
      </c>
      <c r="U52" t="s">
        <v>108</v>
      </c>
      <c r="V52" s="3">
        <v>31.708921432495117</v>
      </c>
      <c r="W52" s="97"/>
      <c r="X52" s="129"/>
      <c r="Y52" s="97"/>
      <c r="Z52" s="97"/>
      <c r="AA52" s="85"/>
      <c r="AB52" s="127"/>
      <c r="AC52" s="1"/>
      <c r="AD52" s="1"/>
      <c r="AE52" s="1"/>
    </row>
    <row r="53" spans="1:31" ht="15.75" thickBot="1" x14ac:dyDescent="0.3">
      <c r="A53" s="107"/>
      <c r="B53" s="83">
        <v>362</v>
      </c>
      <c r="C53" s="83" t="s">
        <v>399</v>
      </c>
      <c r="D53" s="83" t="b">
        <v>0</v>
      </c>
      <c r="E53" s="83" t="s">
        <v>422</v>
      </c>
      <c r="F53" s="83" t="s">
        <v>332</v>
      </c>
      <c r="G53" s="83" t="s">
        <v>106</v>
      </c>
      <c r="H53" s="83">
        <f t="shared" ref="H53" si="122">_xlfn.STDEV.S(K50:K53)</f>
        <v>8.341006652811378E-2</v>
      </c>
      <c r="I53" s="83">
        <f t="shared" ref="I53" si="123">_xlfn.STDEV.S(J50:J53)</f>
        <v>7.8372594885230545E-2</v>
      </c>
      <c r="J53" s="83">
        <v>22.62608528137207</v>
      </c>
      <c r="K53" s="83">
        <v>17.798603057861328</v>
      </c>
      <c r="L53" s="17"/>
      <c r="M53" s="108"/>
      <c r="N53" s="108"/>
      <c r="O53" s="108"/>
      <c r="P53" s="109"/>
      <c r="Q53" t="s">
        <v>422</v>
      </c>
      <c r="R53" t="s">
        <v>269</v>
      </c>
      <c r="S53" t="s">
        <v>106</v>
      </c>
      <c r="T53" t="s">
        <v>107</v>
      </c>
      <c r="U53" t="s">
        <v>108</v>
      </c>
      <c r="V53" s="3">
        <v>31.489797592163086</v>
      </c>
      <c r="W53" s="98"/>
      <c r="X53" s="130"/>
      <c r="Y53" s="98"/>
      <c r="Z53" s="98"/>
      <c r="AA53" s="86"/>
      <c r="AB53" s="127"/>
      <c r="AC53" s="1"/>
      <c r="AD53" s="1"/>
      <c r="AE53" s="1"/>
    </row>
    <row r="54" spans="1:31" x14ac:dyDescent="0.25">
      <c r="A54" s="100"/>
      <c r="B54" s="9">
        <v>339</v>
      </c>
      <c r="C54" s="9" t="s">
        <v>388</v>
      </c>
      <c r="D54" s="9" t="b">
        <v>0</v>
      </c>
      <c r="E54" s="9" t="s">
        <v>424</v>
      </c>
      <c r="F54" s="9" t="s">
        <v>332</v>
      </c>
      <c r="G54" s="9" t="s">
        <v>106</v>
      </c>
      <c r="H54" s="9"/>
      <c r="I54" s="9"/>
      <c r="J54" s="9">
        <v>22.781806945800781</v>
      </c>
      <c r="K54" s="9">
        <v>18.156644821166992</v>
      </c>
      <c r="L54" s="11"/>
      <c r="M54" s="104">
        <f t="shared" ref="M54:N54" si="124">AVERAGE(J54:J57)</f>
        <v>22.707976341247559</v>
      </c>
      <c r="N54" s="104">
        <f t="shared" si="124"/>
        <v>18.165340423583984</v>
      </c>
      <c r="O54" s="104"/>
      <c r="P54" s="89">
        <f t="shared" ref="P54" si="125">GEOMEAN(M54,N54)</f>
        <v>20.310049743155556</v>
      </c>
      <c r="Q54" t="s">
        <v>424</v>
      </c>
      <c r="R54" t="s">
        <v>269</v>
      </c>
      <c r="S54" t="s">
        <v>106</v>
      </c>
      <c r="T54" t="s">
        <v>107</v>
      </c>
      <c r="U54" t="s">
        <v>108</v>
      </c>
      <c r="V54" s="3">
        <v>31.696781158447266</v>
      </c>
      <c r="W54" s="96">
        <f t="shared" ref="W54" si="126">_xlfn.STDEV.S(V54:V57)</f>
        <v>0.73835920036600522</v>
      </c>
      <c r="X54" s="128">
        <f t="shared" ref="X54" si="127">AVERAGE(V54:V57)</f>
        <v>31.922647476196289</v>
      </c>
      <c r="Y54" s="96">
        <f t="shared" ref="Y54" si="128">X54-P54</f>
        <v>11.612597733040733</v>
      </c>
      <c r="Z54" s="96">
        <f t="shared" ref="Z54" si="129">Y54-$AE$6</f>
        <v>-0.2676423551323186</v>
      </c>
      <c r="AA54" s="84">
        <f t="shared" ref="AA54" si="130">2^-Z54</f>
        <v>1.2038389119312762</v>
      </c>
      <c r="AB54" s="127"/>
      <c r="AC54" s="1">
        <f t="shared" ref="AC54" si="131">LOG(AA54,2)</f>
        <v>0.2676423551323186</v>
      </c>
      <c r="AD54" s="1"/>
      <c r="AE54" s="1"/>
    </row>
    <row r="55" spans="1:31" x14ac:dyDescent="0.25">
      <c r="A55" s="101"/>
      <c r="B55" s="1">
        <v>363</v>
      </c>
      <c r="C55" s="1" t="s">
        <v>400</v>
      </c>
      <c r="D55" s="1" t="b">
        <v>0</v>
      </c>
      <c r="E55" s="1" t="s">
        <v>424</v>
      </c>
      <c r="F55" s="1" t="s">
        <v>332</v>
      </c>
      <c r="G55" s="1" t="s">
        <v>106</v>
      </c>
      <c r="H55" s="1"/>
      <c r="I55" s="1"/>
      <c r="J55" s="1">
        <v>22.68287467956543</v>
      </c>
      <c r="K55" s="1">
        <v>19.030796051025391</v>
      </c>
      <c r="L55" s="14"/>
      <c r="M55" s="105"/>
      <c r="N55" s="105"/>
      <c r="O55" s="105"/>
      <c r="P55" s="90"/>
      <c r="Q55" t="s">
        <v>424</v>
      </c>
      <c r="R55" t="s">
        <v>269</v>
      </c>
      <c r="S55" t="s">
        <v>106</v>
      </c>
      <c r="T55" t="s">
        <v>107</v>
      </c>
      <c r="U55" t="s">
        <v>108</v>
      </c>
      <c r="V55" s="3">
        <v>31.323602676391602</v>
      </c>
      <c r="W55" s="97"/>
      <c r="X55" s="129"/>
      <c r="Y55" s="97"/>
      <c r="Z55" s="97"/>
      <c r="AA55" s="85"/>
      <c r="AB55" s="127"/>
      <c r="AC55" s="1"/>
      <c r="AD55" s="1"/>
      <c r="AE55" s="1"/>
    </row>
    <row r="56" spans="1:31" x14ac:dyDescent="0.25">
      <c r="A56" s="101"/>
      <c r="B56" s="1">
        <v>340</v>
      </c>
      <c r="C56" s="1" t="s">
        <v>389</v>
      </c>
      <c r="D56" s="1" t="b">
        <v>0</v>
      </c>
      <c r="E56" s="1" t="s">
        <v>424</v>
      </c>
      <c r="F56" s="1" t="s">
        <v>332</v>
      </c>
      <c r="G56" s="1" t="s">
        <v>106</v>
      </c>
      <c r="H56" s="1"/>
      <c r="I56" s="1"/>
      <c r="J56" s="1">
        <v>22.742557525634766</v>
      </c>
      <c r="K56" s="1">
        <v>18.100671768188477</v>
      </c>
      <c r="L56" s="14"/>
      <c r="M56" s="105"/>
      <c r="N56" s="105"/>
      <c r="O56" s="105"/>
      <c r="P56" s="90"/>
      <c r="Q56" t="s">
        <v>424</v>
      </c>
      <c r="R56" t="s">
        <v>269</v>
      </c>
      <c r="S56" t="s">
        <v>106</v>
      </c>
      <c r="T56" t="s">
        <v>107</v>
      </c>
      <c r="U56" t="s">
        <v>108</v>
      </c>
      <c r="V56" t="s">
        <v>235</v>
      </c>
      <c r="W56" s="97"/>
      <c r="X56" s="129"/>
      <c r="Y56" s="97"/>
      <c r="Z56" s="97"/>
      <c r="AA56" s="85"/>
      <c r="AB56" s="127"/>
      <c r="AC56" s="1"/>
      <c r="AD56" s="1"/>
      <c r="AE56" s="1"/>
    </row>
    <row r="57" spans="1:31" ht="15.75" thickBot="1" x14ac:dyDescent="0.3">
      <c r="A57" s="107"/>
      <c r="B57" s="83">
        <v>364</v>
      </c>
      <c r="C57" s="83" t="s">
        <v>401</v>
      </c>
      <c r="D57" s="83" t="b">
        <v>0</v>
      </c>
      <c r="E57" s="83" t="s">
        <v>424</v>
      </c>
      <c r="F57" s="83" t="s">
        <v>332</v>
      </c>
      <c r="G57" s="83" t="s">
        <v>106</v>
      </c>
      <c r="H57" s="83">
        <f t="shared" ref="H57" si="132">_xlfn.STDEV.S(K54:K57)</f>
        <v>0.67840003670465998</v>
      </c>
      <c r="I57" s="83">
        <f t="shared" ref="I57" si="133">_xlfn.STDEV.S(J54:J57)</f>
        <v>6.8841574660749597E-2</v>
      </c>
      <c r="J57" s="83">
        <v>22.624666213989258</v>
      </c>
      <c r="K57" s="83">
        <v>17.373249053955078</v>
      </c>
      <c r="L57" s="17"/>
      <c r="M57" s="108"/>
      <c r="N57" s="108"/>
      <c r="O57" s="108"/>
      <c r="P57" s="109"/>
      <c r="Q57" t="s">
        <v>424</v>
      </c>
      <c r="R57" t="s">
        <v>269</v>
      </c>
      <c r="S57" t="s">
        <v>106</v>
      </c>
      <c r="T57" t="s">
        <v>107</v>
      </c>
      <c r="U57" t="s">
        <v>108</v>
      </c>
      <c r="V57" s="3">
        <v>32.74755859375</v>
      </c>
      <c r="W57" s="98"/>
      <c r="X57" s="130"/>
      <c r="Y57" s="98"/>
      <c r="Z57" s="98"/>
      <c r="AA57" s="86"/>
      <c r="AB57" s="127"/>
      <c r="AC57" s="1"/>
      <c r="AD57" s="1"/>
      <c r="AE57" s="1"/>
    </row>
    <row r="58" spans="1:31" x14ac:dyDescent="0.25">
      <c r="A58" s="100"/>
      <c r="B58" s="9">
        <v>341</v>
      </c>
      <c r="C58" s="9" t="s">
        <v>390</v>
      </c>
      <c r="D58" s="9" t="b">
        <v>0</v>
      </c>
      <c r="E58" s="9" t="s">
        <v>423</v>
      </c>
      <c r="F58" s="9" t="s">
        <v>332</v>
      </c>
      <c r="G58" s="9" t="s">
        <v>106</v>
      </c>
      <c r="H58" s="9"/>
      <c r="I58" s="9"/>
      <c r="J58" s="9">
        <v>22.543874740600586</v>
      </c>
      <c r="K58" s="9">
        <v>17.632972717285156</v>
      </c>
      <c r="L58" s="11"/>
      <c r="M58" s="104">
        <f t="shared" ref="M58:N58" si="134">AVERAGE(J58:J61)</f>
        <v>22.527778625488281</v>
      </c>
      <c r="N58" s="104">
        <f t="shared" si="134"/>
        <v>17.682387351989746</v>
      </c>
      <c r="O58" s="104"/>
      <c r="P58" s="89">
        <f t="shared" ref="P58" si="135">GEOMEAN(M58,N58)</f>
        <v>19.958579805080294</v>
      </c>
      <c r="Q58" t="s">
        <v>423</v>
      </c>
      <c r="R58" t="s">
        <v>269</v>
      </c>
      <c r="S58" t="s">
        <v>106</v>
      </c>
      <c r="T58" t="s">
        <v>107</v>
      </c>
      <c r="U58" t="s">
        <v>108</v>
      </c>
      <c r="V58" s="3">
        <v>25.349145889282227</v>
      </c>
      <c r="W58" s="96">
        <f t="shared" ref="W58" si="136">_xlfn.STDEV.S(V58:V61)</f>
        <v>9.3601586692949323E-2</v>
      </c>
      <c r="X58" s="128">
        <f t="shared" ref="X58" si="137">AVERAGE(V58:V61)</f>
        <v>25.434767723083496</v>
      </c>
      <c r="Y58" s="96">
        <f t="shared" ref="Y58" si="138">X58-P58</f>
        <v>5.4761879180032018</v>
      </c>
      <c r="Z58" s="96">
        <f t="shared" ref="Z58" si="139">Y58-$AE$6</f>
        <v>-6.4040521701698498</v>
      </c>
      <c r="AA58" s="84">
        <f t="shared" ref="AA58" si="140">2^-Z58</f>
        <v>84.686034481774556</v>
      </c>
      <c r="AB58" s="127"/>
      <c r="AC58" s="1">
        <f t="shared" ref="AC58" si="141">LOG(AA58,2)</f>
        <v>6.4040521701698498</v>
      </c>
      <c r="AD58" s="1"/>
      <c r="AE58" s="1"/>
    </row>
    <row r="59" spans="1:31" x14ac:dyDescent="0.25">
      <c r="A59" s="101"/>
      <c r="B59" s="1">
        <v>365</v>
      </c>
      <c r="C59" s="1" t="s">
        <v>402</v>
      </c>
      <c r="D59" s="1" t="b">
        <v>0</v>
      </c>
      <c r="E59" s="1" t="s">
        <v>423</v>
      </c>
      <c r="F59" s="1" t="s">
        <v>332</v>
      </c>
      <c r="G59" s="1" t="s">
        <v>106</v>
      </c>
      <c r="H59" s="1"/>
      <c r="I59" s="1"/>
      <c r="J59" s="1">
        <v>22.497089385986328</v>
      </c>
      <c r="K59" s="1">
        <v>17.797683715820313</v>
      </c>
      <c r="L59" s="14"/>
      <c r="M59" s="105"/>
      <c r="N59" s="105"/>
      <c r="O59" s="105"/>
      <c r="P59" s="90"/>
      <c r="Q59" t="s">
        <v>423</v>
      </c>
      <c r="R59" t="s">
        <v>269</v>
      </c>
      <c r="S59" t="s">
        <v>106</v>
      </c>
      <c r="T59" t="s">
        <v>107</v>
      </c>
      <c r="U59" t="s">
        <v>108</v>
      </c>
      <c r="V59" s="3">
        <v>25.477130889892578</v>
      </c>
      <c r="W59" s="97"/>
      <c r="X59" s="129"/>
      <c r="Y59" s="97"/>
      <c r="Z59" s="97"/>
      <c r="AA59" s="85"/>
      <c r="AB59" s="127"/>
      <c r="AC59" s="1"/>
      <c r="AD59" s="1"/>
      <c r="AE59" s="1"/>
    </row>
    <row r="60" spans="1:31" x14ac:dyDescent="0.25">
      <c r="A60" s="101"/>
      <c r="B60" s="1">
        <v>342</v>
      </c>
      <c r="C60" s="1" t="s">
        <v>391</v>
      </c>
      <c r="D60" s="1" t="b">
        <v>0</v>
      </c>
      <c r="E60" s="1" t="s">
        <v>423</v>
      </c>
      <c r="F60" s="1" t="s">
        <v>332</v>
      </c>
      <c r="G60" s="1" t="s">
        <v>106</v>
      </c>
      <c r="H60" s="1"/>
      <c r="I60" s="1"/>
      <c r="J60" s="1">
        <v>22.538244247436523</v>
      </c>
      <c r="K60" s="1">
        <v>17.612838745117188</v>
      </c>
      <c r="L60" s="14"/>
      <c r="M60" s="105"/>
      <c r="N60" s="105"/>
      <c r="O60" s="105"/>
      <c r="P60" s="90"/>
      <c r="Q60" t="s">
        <v>423</v>
      </c>
      <c r="R60" t="s">
        <v>269</v>
      </c>
      <c r="S60" t="s">
        <v>106</v>
      </c>
      <c r="T60" t="s">
        <v>107</v>
      </c>
      <c r="U60" t="s">
        <v>108</v>
      </c>
      <c r="V60" s="3">
        <v>25.366334915161133</v>
      </c>
      <c r="W60" s="97"/>
      <c r="X60" s="129"/>
      <c r="Y60" s="97"/>
      <c r="Z60" s="97"/>
      <c r="AA60" s="85"/>
      <c r="AB60" s="127"/>
      <c r="AC60" s="1"/>
      <c r="AD60" s="1"/>
      <c r="AE60" s="1"/>
    </row>
    <row r="61" spans="1:31" ht="15.75" thickBot="1" x14ac:dyDescent="0.3">
      <c r="A61" s="107"/>
      <c r="B61" s="83">
        <v>366</v>
      </c>
      <c r="C61" s="83" t="s">
        <v>403</v>
      </c>
      <c r="D61" s="83" t="b">
        <v>0</v>
      </c>
      <c r="E61" s="83" t="s">
        <v>423</v>
      </c>
      <c r="F61" s="83" t="s">
        <v>332</v>
      </c>
      <c r="G61" s="83" t="s">
        <v>106</v>
      </c>
      <c r="H61" s="83">
        <f t="shared" ref="H61" si="142">_xlfn.STDEV.S(K58:K61)</f>
        <v>8.2836208560146937E-2</v>
      </c>
      <c r="I61" s="83">
        <f t="shared" ref="I61" si="143">_xlfn.STDEV.S(J58:J61)</f>
        <v>2.1035524413747859E-2</v>
      </c>
      <c r="J61" s="83">
        <v>22.531906127929688</v>
      </c>
      <c r="K61" s="83">
        <v>17.686054229736328</v>
      </c>
      <c r="L61" s="17"/>
      <c r="M61" s="108"/>
      <c r="N61" s="108"/>
      <c r="O61" s="108"/>
      <c r="P61" s="109"/>
      <c r="Q61" t="s">
        <v>423</v>
      </c>
      <c r="R61" t="s">
        <v>269</v>
      </c>
      <c r="S61" t="s">
        <v>106</v>
      </c>
      <c r="T61" t="s">
        <v>107</v>
      </c>
      <c r="U61" t="s">
        <v>108</v>
      </c>
      <c r="V61" s="3">
        <v>25.546459197998047</v>
      </c>
      <c r="W61" s="98"/>
      <c r="X61" s="130"/>
      <c r="Y61" s="98"/>
      <c r="Z61" s="98"/>
      <c r="AA61" s="86"/>
      <c r="AB61" s="127"/>
      <c r="AC61" s="1"/>
      <c r="AD61" s="1"/>
      <c r="AE61" s="1"/>
    </row>
    <row r="62" spans="1:31" x14ac:dyDescent="0.25">
      <c r="A62" s="100"/>
      <c r="B62" s="9">
        <v>343</v>
      </c>
      <c r="C62" s="9" t="s">
        <v>392</v>
      </c>
      <c r="D62" s="9" t="b">
        <v>0</v>
      </c>
      <c r="E62" s="9" t="s">
        <v>425</v>
      </c>
      <c r="F62" s="9" t="s">
        <v>332</v>
      </c>
      <c r="G62" s="9" t="s">
        <v>106</v>
      </c>
      <c r="H62" s="9"/>
      <c r="I62" s="9"/>
      <c r="J62" s="9">
        <v>22.504655838012695</v>
      </c>
      <c r="K62" s="9">
        <v>17.712419509887695</v>
      </c>
      <c r="L62" s="11"/>
      <c r="M62" s="104">
        <f t="shared" ref="M62:N62" si="144">AVERAGE(J62:J65)</f>
        <v>22.514381408691406</v>
      </c>
      <c r="N62" s="104">
        <f t="shared" si="144"/>
        <v>17.726653575897217</v>
      </c>
      <c r="O62" s="104"/>
      <c r="P62" s="89">
        <f t="shared" ref="P62" si="145">GEOMEAN(M62,N62)</f>
        <v>19.977603452553897</v>
      </c>
      <c r="Q62" t="s">
        <v>425</v>
      </c>
      <c r="R62" t="s">
        <v>269</v>
      </c>
      <c r="S62" t="s">
        <v>106</v>
      </c>
      <c r="T62" t="s">
        <v>107</v>
      </c>
      <c r="U62" t="s">
        <v>108</v>
      </c>
      <c r="V62" s="3">
        <v>25.445144653320313</v>
      </c>
      <c r="W62" s="96">
        <f t="shared" ref="W62" si="146">_xlfn.STDEV.S(V62:V65)</f>
        <v>8.3487869231045148E-2</v>
      </c>
      <c r="X62" s="128">
        <f t="shared" ref="X62" si="147">AVERAGE(V62:V65)</f>
        <v>25.450207233428955</v>
      </c>
      <c r="Y62" s="96">
        <f t="shared" ref="Y62" si="148">X62-P62</f>
        <v>5.4726037808750583</v>
      </c>
      <c r="Z62" s="96">
        <f t="shared" ref="Z62" si="149">Y62-$AE$6</f>
        <v>-6.4076363072979934</v>
      </c>
      <c r="AA62" s="84">
        <f t="shared" ref="AA62" si="150">2^-Z62</f>
        <v>84.896684476913336</v>
      </c>
      <c r="AB62" s="127"/>
      <c r="AC62" s="1">
        <f t="shared" ref="AC62" si="151">LOG(AA62,2)</f>
        <v>6.4076363072979943</v>
      </c>
      <c r="AD62" s="1"/>
      <c r="AE62" s="1"/>
    </row>
    <row r="63" spans="1:31" x14ac:dyDescent="0.25">
      <c r="A63" s="101"/>
      <c r="B63" s="1">
        <v>367</v>
      </c>
      <c r="C63" s="1" t="s">
        <v>404</v>
      </c>
      <c r="D63" s="1" t="b">
        <v>0</v>
      </c>
      <c r="E63" s="1" t="s">
        <v>425</v>
      </c>
      <c r="F63" s="1" t="s">
        <v>332</v>
      </c>
      <c r="G63" s="1" t="s">
        <v>106</v>
      </c>
      <c r="H63" s="1"/>
      <c r="I63" s="1"/>
      <c r="J63" s="1">
        <v>22.53801155090332</v>
      </c>
      <c r="K63" s="1">
        <v>17.806955337524414</v>
      </c>
      <c r="L63" s="14"/>
      <c r="M63" s="105"/>
      <c r="N63" s="105"/>
      <c r="O63" s="105"/>
      <c r="P63" s="90"/>
      <c r="Q63" t="s">
        <v>425</v>
      </c>
      <c r="R63" t="s">
        <v>269</v>
      </c>
      <c r="S63" t="s">
        <v>106</v>
      </c>
      <c r="T63" t="s">
        <v>107</v>
      </c>
      <c r="U63" t="s">
        <v>108</v>
      </c>
      <c r="V63" s="3">
        <v>25.484106063842773</v>
      </c>
      <c r="W63" s="97"/>
      <c r="X63" s="129"/>
      <c r="Y63" s="97"/>
      <c r="Z63" s="97"/>
      <c r="AA63" s="85"/>
      <c r="AB63" s="127"/>
      <c r="AC63" s="1"/>
      <c r="AD63" s="1"/>
      <c r="AE63" s="1"/>
    </row>
    <row r="64" spans="1:31" x14ac:dyDescent="0.25">
      <c r="A64" s="101"/>
      <c r="B64" s="1">
        <v>344</v>
      </c>
      <c r="C64" s="1" t="s">
        <v>393</v>
      </c>
      <c r="D64" s="1" t="b">
        <v>0</v>
      </c>
      <c r="E64" s="1" t="s">
        <v>425</v>
      </c>
      <c r="F64" s="1" t="s">
        <v>332</v>
      </c>
      <c r="G64" s="1" t="s">
        <v>106</v>
      </c>
      <c r="H64" s="1"/>
      <c r="I64" s="1"/>
      <c r="J64" s="1">
        <v>22.499790191650391</v>
      </c>
      <c r="K64" s="1">
        <v>17.708463668823242</v>
      </c>
      <c r="L64" s="14"/>
      <c r="M64" s="105"/>
      <c r="N64" s="105"/>
      <c r="O64" s="105"/>
      <c r="P64" s="90"/>
      <c r="Q64" t="s">
        <v>425</v>
      </c>
      <c r="R64" t="s">
        <v>269</v>
      </c>
      <c r="S64" t="s">
        <v>106</v>
      </c>
      <c r="T64" t="s">
        <v>107</v>
      </c>
      <c r="U64" t="s">
        <v>108</v>
      </c>
      <c r="V64" s="3">
        <v>25.337503433227539</v>
      </c>
      <c r="W64" s="97"/>
      <c r="X64" s="129"/>
      <c r="Y64" s="97"/>
      <c r="Z64" s="97"/>
      <c r="AA64" s="85"/>
      <c r="AB64" s="127"/>
      <c r="AC64" s="1"/>
      <c r="AD64" s="1"/>
      <c r="AE64" s="1"/>
    </row>
    <row r="65" spans="1:31" ht="15.75" thickBot="1" x14ac:dyDescent="0.3">
      <c r="A65" s="107"/>
      <c r="B65" s="83">
        <v>368</v>
      </c>
      <c r="C65" s="83" t="s">
        <v>405</v>
      </c>
      <c r="D65" s="83" t="b">
        <v>0</v>
      </c>
      <c r="E65" s="83" t="s">
        <v>425</v>
      </c>
      <c r="F65" s="83" t="s">
        <v>332</v>
      </c>
      <c r="G65" s="83" t="s">
        <v>106</v>
      </c>
      <c r="H65" s="83">
        <f t="shared" ref="H65" si="152">_xlfn.STDEV.S(K62:K65)</f>
        <v>5.5600170595631028E-2</v>
      </c>
      <c r="I65" s="83">
        <f t="shared" ref="I65" si="153">_xlfn.STDEV.S(J62:J65)</f>
        <v>1.6993581560629578E-2</v>
      </c>
      <c r="J65" s="83">
        <v>22.515068054199219</v>
      </c>
      <c r="K65" s="83">
        <v>17.678775787353516</v>
      </c>
      <c r="L65" s="17"/>
      <c r="M65" s="108"/>
      <c r="N65" s="108"/>
      <c r="O65" s="108"/>
      <c r="P65" s="109"/>
      <c r="Q65" t="s">
        <v>425</v>
      </c>
      <c r="R65" t="s">
        <v>269</v>
      </c>
      <c r="S65" t="s">
        <v>106</v>
      </c>
      <c r="T65" t="s">
        <v>107</v>
      </c>
      <c r="U65" t="s">
        <v>108</v>
      </c>
      <c r="V65" s="3">
        <v>25.534074783325195</v>
      </c>
      <c r="W65" s="98"/>
      <c r="X65" s="130"/>
      <c r="Y65" s="98"/>
      <c r="Z65" s="98"/>
      <c r="AA65" s="86"/>
      <c r="AB65" s="127"/>
      <c r="AC65" s="1"/>
      <c r="AD65" s="1"/>
      <c r="AE65" s="1"/>
    </row>
    <row r="66" spans="1:31" x14ac:dyDescent="0.25">
      <c r="A66" s="100"/>
      <c r="B66" s="9">
        <v>345</v>
      </c>
      <c r="C66" s="9" t="s">
        <v>394</v>
      </c>
      <c r="D66" s="9" t="b">
        <v>0</v>
      </c>
      <c r="E66" s="9" t="s">
        <v>426</v>
      </c>
      <c r="F66" s="9" t="s">
        <v>332</v>
      </c>
      <c r="G66" s="9" t="s">
        <v>106</v>
      </c>
      <c r="H66" s="9"/>
      <c r="I66" s="9"/>
      <c r="J66" s="9">
        <v>22.853849411010742</v>
      </c>
      <c r="K66" s="9">
        <v>18.554037094116211</v>
      </c>
      <c r="L66" s="11"/>
      <c r="M66" s="104">
        <f t="shared" ref="M66:N66" si="154">AVERAGE(J66:J69)</f>
        <v>22.862873554229736</v>
      </c>
      <c r="N66" s="104">
        <f t="shared" si="154"/>
        <v>18.527228832244873</v>
      </c>
      <c r="O66" s="104"/>
      <c r="P66" s="89">
        <f t="shared" ref="P66" si="155">GEOMEAN(M66,N66)</f>
        <v>20.581197489502255</v>
      </c>
      <c r="Q66" t="s">
        <v>426</v>
      </c>
      <c r="R66" t="s">
        <v>269</v>
      </c>
      <c r="S66" t="s">
        <v>106</v>
      </c>
      <c r="T66" t="s">
        <v>107</v>
      </c>
      <c r="U66" t="s">
        <v>108</v>
      </c>
      <c r="V66" s="3">
        <v>25.590518951416016</v>
      </c>
      <c r="W66" s="96">
        <f t="shared" ref="W66" si="156">_xlfn.STDEV.S(V66:V69)</f>
        <v>5.1325890181696698E-2</v>
      </c>
      <c r="X66" s="128">
        <f t="shared" ref="X66" si="157">AVERAGE(V66:V69)</f>
        <v>25.588305473327637</v>
      </c>
      <c r="Y66" s="96">
        <f t="shared" ref="Y66" si="158">X66-P66</f>
        <v>5.0071079838253816</v>
      </c>
      <c r="Z66" s="96">
        <f t="shared" ref="Z66" si="159">Y66-$AE$6</f>
        <v>-6.8731321043476701</v>
      </c>
      <c r="AA66" s="84">
        <f t="shared" ref="AA66" si="160">2^-Z66</f>
        <v>117.22464536783019</v>
      </c>
      <c r="AB66" s="119"/>
      <c r="AC66" s="1">
        <f t="shared" ref="AC66" si="161">LOG(AA66,2)</f>
        <v>6.8731321043476692</v>
      </c>
      <c r="AD66" s="1"/>
      <c r="AE66" s="1"/>
    </row>
    <row r="67" spans="1:31" x14ac:dyDescent="0.25">
      <c r="A67" s="101"/>
      <c r="B67" s="1">
        <v>369</v>
      </c>
      <c r="C67" s="1" t="s">
        <v>406</v>
      </c>
      <c r="D67" s="1" t="b">
        <v>0</v>
      </c>
      <c r="E67" s="1" t="s">
        <v>426</v>
      </c>
      <c r="F67" s="1" t="s">
        <v>332</v>
      </c>
      <c r="G67" s="1" t="s">
        <v>106</v>
      </c>
      <c r="H67" s="1"/>
      <c r="I67" s="1"/>
      <c r="J67" s="1">
        <v>22.905683517456055</v>
      </c>
      <c r="K67" s="1">
        <v>18.587224960327148</v>
      </c>
      <c r="L67" s="14"/>
      <c r="M67" s="105"/>
      <c r="N67" s="105"/>
      <c r="O67" s="105"/>
      <c r="P67" s="90"/>
      <c r="Q67" t="s">
        <v>426</v>
      </c>
      <c r="R67" t="s">
        <v>269</v>
      </c>
      <c r="S67" t="s">
        <v>106</v>
      </c>
      <c r="T67" t="s">
        <v>107</v>
      </c>
      <c r="U67" t="s">
        <v>108</v>
      </c>
      <c r="V67" s="3">
        <v>25.516860961914063</v>
      </c>
      <c r="W67" s="97"/>
      <c r="X67" s="129"/>
      <c r="Y67" s="97"/>
      <c r="Z67" s="97"/>
      <c r="AA67" s="85"/>
      <c r="AB67" s="119"/>
      <c r="AC67" s="1"/>
      <c r="AD67" s="1"/>
      <c r="AE67" s="1"/>
    </row>
    <row r="68" spans="1:31" x14ac:dyDescent="0.25">
      <c r="A68" s="101"/>
      <c r="B68" s="1">
        <v>346</v>
      </c>
      <c r="C68" s="1" t="s">
        <v>395</v>
      </c>
      <c r="D68" s="1" t="b">
        <v>0</v>
      </c>
      <c r="E68" s="1" t="s">
        <v>426</v>
      </c>
      <c r="F68" s="1" t="s">
        <v>332</v>
      </c>
      <c r="G68" s="1" t="s">
        <v>106</v>
      </c>
      <c r="H68" s="1"/>
      <c r="I68" s="1"/>
      <c r="J68" s="1">
        <v>22.859567642211914</v>
      </c>
      <c r="K68" s="1">
        <v>18.580108642578125</v>
      </c>
      <c r="L68" s="14"/>
      <c r="M68" s="105"/>
      <c r="N68" s="105"/>
      <c r="O68" s="105"/>
      <c r="P68" s="90"/>
      <c r="Q68" t="s">
        <v>426</v>
      </c>
      <c r="R68" t="s">
        <v>269</v>
      </c>
      <c r="S68" t="s">
        <v>106</v>
      </c>
      <c r="T68" t="s">
        <v>107</v>
      </c>
      <c r="U68" t="s">
        <v>108</v>
      </c>
      <c r="V68" s="3">
        <v>25.60882568359375</v>
      </c>
      <c r="W68" s="97"/>
      <c r="X68" s="129"/>
      <c r="Y68" s="97"/>
      <c r="Z68" s="97"/>
      <c r="AA68" s="85"/>
      <c r="AB68" s="119"/>
      <c r="AC68" s="1"/>
      <c r="AD68" s="1"/>
      <c r="AE68" s="1"/>
    </row>
    <row r="69" spans="1:31" ht="15.75" thickBot="1" x14ac:dyDescent="0.3">
      <c r="A69" s="107"/>
      <c r="B69" s="83">
        <v>370</v>
      </c>
      <c r="C69" s="83" t="s">
        <v>407</v>
      </c>
      <c r="D69" s="83" t="b">
        <v>0</v>
      </c>
      <c r="E69" s="83" t="s">
        <v>426</v>
      </c>
      <c r="F69" s="83" t="s">
        <v>332</v>
      </c>
      <c r="G69" s="83" t="s">
        <v>106</v>
      </c>
      <c r="H69" s="83">
        <f t="shared" ref="H69" si="162">_xlfn.STDEV.S(K66:K69)</f>
        <v>9.4209285529769315E-2</v>
      </c>
      <c r="I69" s="83">
        <f t="shared" ref="I69" si="163">_xlfn.STDEV.S(J66:J69)</f>
        <v>3.0844134815735145E-2</v>
      </c>
      <c r="J69" s="83">
        <v>22.832393646240234</v>
      </c>
      <c r="K69" s="83">
        <v>18.387544631958008</v>
      </c>
      <c r="L69" s="17"/>
      <c r="M69" s="108"/>
      <c r="N69" s="108"/>
      <c r="O69" s="108"/>
      <c r="P69" s="109"/>
      <c r="Q69" t="s">
        <v>426</v>
      </c>
      <c r="R69" t="s">
        <v>269</v>
      </c>
      <c r="S69" t="s">
        <v>106</v>
      </c>
      <c r="T69" t="s">
        <v>107</v>
      </c>
      <c r="U69" t="s">
        <v>108</v>
      </c>
      <c r="V69" s="3">
        <v>25.637016296386719</v>
      </c>
      <c r="W69" s="98"/>
      <c r="X69" s="130"/>
      <c r="Y69" s="98"/>
      <c r="Z69" s="98"/>
      <c r="AA69" s="86"/>
      <c r="AB69" s="119"/>
      <c r="AC69" s="1"/>
      <c r="AD69" s="1"/>
      <c r="AE69" s="1"/>
    </row>
    <row r="70" spans="1:31" x14ac:dyDescent="0.25">
      <c r="A70" s="100"/>
      <c r="B70" s="9">
        <v>347</v>
      </c>
      <c r="C70" s="9" t="s">
        <v>396</v>
      </c>
      <c r="D70" s="9" t="b">
        <v>0</v>
      </c>
      <c r="E70" s="9" t="s">
        <v>427</v>
      </c>
      <c r="F70" s="9" t="s">
        <v>332</v>
      </c>
      <c r="G70" s="9" t="s">
        <v>106</v>
      </c>
      <c r="H70" s="9"/>
      <c r="I70" s="9"/>
      <c r="J70" s="9">
        <v>22.899017333984375</v>
      </c>
      <c r="K70" s="9">
        <v>18.637588500976563</v>
      </c>
      <c r="L70" s="11"/>
      <c r="M70" s="104">
        <f t="shared" ref="M70:N70" si="164">AVERAGE(J70:J73)</f>
        <v>23.081553936004639</v>
      </c>
      <c r="N70" s="104">
        <f t="shared" si="164"/>
        <v>18.681993961334229</v>
      </c>
      <c r="O70" s="104"/>
      <c r="P70" s="89">
        <f t="shared" ref="P70" si="165">GEOMEAN(M70,N70)</f>
        <v>20.765583335188275</v>
      </c>
      <c r="Q70" t="s">
        <v>427</v>
      </c>
      <c r="R70" t="s">
        <v>269</v>
      </c>
      <c r="S70" t="s">
        <v>106</v>
      </c>
      <c r="T70" t="s">
        <v>107</v>
      </c>
      <c r="U70" t="s">
        <v>108</v>
      </c>
      <c r="V70" s="3">
        <v>25.718807220458984</v>
      </c>
      <c r="W70" s="96">
        <f t="shared" ref="W70" si="166">_xlfn.STDEV.S(V70:V73)</f>
        <v>7.5993134963344519E-2</v>
      </c>
      <c r="X70" s="128">
        <f t="shared" ref="X70" si="167">AVERAGE(V70:V73)</f>
        <v>25.652340888977051</v>
      </c>
      <c r="Y70" s="96">
        <f t="shared" ref="Y70" si="168">X70-P70</f>
        <v>4.886757553788776</v>
      </c>
      <c r="Z70" s="96">
        <f t="shared" ref="Z70" si="169">Y70-$AE$6</f>
        <v>-6.9934825343842757</v>
      </c>
      <c r="AA70" s="84">
        <f t="shared" ref="AA70" si="170">2^-Z70</f>
        <v>127.42305611810977</v>
      </c>
      <c r="AB70" s="119"/>
      <c r="AC70" s="1">
        <f t="shared" ref="AC70" si="171">LOG(AA70,2)</f>
        <v>6.9934825343842748</v>
      </c>
      <c r="AD70" s="1"/>
      <c r="AE70" s="1"/>
    </row>
    <row r="71" spans="1:31" x14ac:dyDescent="0.25">
      <c r="A71" s="101"/>
      <c r="B71" s="1">
        <v>371</v>
      </c>
      <c r="C71" s="1" t="s">
        <v>408</v>
      </c>
      <c r="D71" s="1" t="b">
        <v>0</v>
      </c>
      <c r="E71" s="1" t="s">
        <v>427</v>
      </c>
      <c r="F71" s="1" t="s">
        <v>332</v>
      </c>
      <c r="G71" s="1" t="s">
        <v>106</v>
      </c>
      <c r="H71" s="1"/>
      <c r="I71" s="1"/>
      <c r="J71" s="1">
        <v>22.754722595214844</v>
      </c>
      <c r="K71" s="1">
        <v>18.74791145324707</v>
      </c>
      <c r="L71" s="14"/>
      <c r="M71" s="105"/>
      <c r="N71" s="105"/>
      <c r="O71" s="105"/>
      <c r="P71" s="90"/>
      <c r="Q71" t="s">
        <v>427</v>
      </c>
      <c r="R71" t="s">
        <v>269</v>
      </c>
      <c r="S71" t="s">
        <v>106</v>
      </c>
      <c r="T71" t="s">
        <v>107</v>
      </c>
      <c r="U71" t="s">
        <v>108</v>
      </c>
      <c r="V71" s="3">
        <v>25.547431945800781</v>
      </c>
      <c r="W71" s="97"/>
      <c r="X71" s="129"/>
      <c r="Y71" s="97"/>
      <c r="Z71" s="97"/>
      <c r="AA71" s="85"/>
      <c r="AB71" s="119"/>
      <c r="AC71" s="1"/>
      <c r="AD71" s="1"/>
      <c r="AE71" s="1"/>
    </row>
    <row r="72" spans="1:31" x14ac:dyDescent="0.25">
      <c r="A72" s="101"/>
      <c r="B72" s="1">
        <v>348</v>
      </c>
      <c r="C72" s="1" t="s">
        <v>397</v>
      </c>
      <c r="D72" s="1" t="b">
        <v>0</v>
      </c>
      <c r="E72" s="1" t="s">
        <v>427</v>
      </c>
      <c r="F72" s="1" t="s">
        <v>332</v>
      </c>
      <c r="G72" s="1" t="s">
        <v>106</v>
      </c>
      <c r="H72" s="1"/>
      <c r="I72" s="1"/>
      <c r="J72" s="1">
        <v>22.944528579711914</v>
      </c>
      <c r="K72" s="1">
        <v>18.6053466796875</v>
      </c>
      <c r="L72" s="14"/>
      <c r="M72" s="105"/>
      <c r="N72" s="105"/>
      <c r="O72" s="105"/>
      <c r="P72" s="90"/>
      <c r="Q72" t="s">
        <v>427</v>
      </c>
      <c r="R72" t="s">
        <v>269</v>
      </c>
      <c r="S72" t="s">
        <v>106</v>
      </c>
      <c r="T72" t="s">
        <v>107</v>
      </c>
      <c r="U72" t="s">
        <v>108</v>
      </c>
      <c r="V72" s="3">
        <v>25.695669174194336</v>
      </c>
      <c r="W72" s="97"/>
      <c r="X72" s="129"/>
      <c r="Y72" s="97"/>
      <c r="Z72" s="97"/>
      <c r="AA72" s="85"/>
      <c r="AB72" s="119"/>
      <c r="AC72" s="1"/>
      <c r="AD72" s="1"/>
      <c r="AE72" s="1"/>
    </row>
    <row r="73" spans="1:31" ht="15.75" thickBot="1" x14ac:dyDescent="0.3">
      <c r="A73" s="107"/>
      <c r="B73" s="83">
        <v>372</v>
      </c>
      <c r="C73" s="83" t="s">
        <v>409</v>
      </c>
      <c r="D73" s="83" t="b">
        <v>0</v>
      </c>
      <c r="E73" s="83" t="s">
        <v>427</v>
      </c>
      <c r="F73" s="83" t="s">
        <v>332</v>
      </c>
      <c r="G73" s="83" t="s">
        <v>106</v>
      </c>
      <c r="H73" s="83">
        <f t="shared" ref="H73" si="172">_xlfn.STDEV.S(K70:K73)</f>
        <v>7.1254619116112514E-2</v>
      </c>
      <c r="I73" s="83">
        <f t="shared" ref="I73" si="173">_xlfn.STDEV.S(J70:J73)</f>
        <v>0.43845888510846998</v>
      </c>
      <c r="J73" s="83">
        <v>23.727947235107422</v>
      </c>
      <c r="K73" s="83">
        <v>18.737129211425781</v>
      </c>
      <c r="L73" s="17"/>
      <c r="M73" s="108"/>
      <c r="N73" s="108"/>
      <c r="O73" s="108"/>
      <c r="P73" s="109"/>
      <c r="Q73" t="s">
        <v>427</v>
      </c>
      <c r="R73" t="s">
        <v>269</v>
      </c>
      <c r="S73" t="s">
        <v>106</v>
      </c>
      <c r="T73" t="s">
        <v>107</v>
      </c>
      <c r="U73" t="s">
        <v>108</v>
      </c>
      <c r="V73" s="3">
        <v>25.647455215454102</v>
      </c>
      <c r="W73" s="98"/>
      <c r="X73" s="130"/>
      <c r="Y73" s="98"/>
      <c r="Z73" s="98"/>
      <c r="AA73" s="86"/>
      <c r="AB73" s="119"/>
      <c r="AC73" s="1"/>
      <c r="AD73" s="1"/>
      <c r="AE73" s="1"/>
    </row>
    <row r="74" spans="1:31" x14ac:dyDescent="0.25">
      <c r="A74" s="100"/>
      <c r="B74" s="11"/>
      <c r="C74" s="11"/>
      <c r="D74" s="11"/>
      <c r="E74" s="11"/>
      <c r="F74" s="11"/>
      <c r="G74" s="11"/>
      <c r="H74" s="96"/>
      <c r="I74" s="96"/>
      <c r="J74" s="22"/>
      <c r="K74" s="27"/>
      <c r="L74" s="11"/>
      <c r="M74" s="104"/>
      <c r="N74" s="104"/>
      <c r="O74" s="104"/>
      <c r="P74" s="89"/>
      <c r="Q74" s="13"/>
      <c r="R74" s="11"/>
      <c r="S74" s="11"/>
      <c r="T74" s="11"/>
      <c r="U74" s="11"/>
      <c r="V74" s="29"/>
      <c r="W74" s="96"/>
      <c r="X74" s="124"/>
      <c r="Y74" s="96"/>
      <c r="Z74" s="96"/>
      <c r="AA74" s="96"/>
      <c r="AB74" s="119"/>
      <c r="AC74" s="1"/>
      <c r="AD74" s="1"/>
      <c r="AE74" s="1"/>
    </row>
    <row r="75" spans="1:31" x14ac:dyDescent="0.25">
      <c r="A75" s="101"/>
      <c r="B75" s="14"/>
      <c r="C75" s="14"/>
      <c r="D75" s="14"/>
      <c r="E75" s="14"/>
      <c r="F75" s="14"/>
      <c r="G75" s="14"/>
      <c r="H75" s="97"/>
      <c r="I75" s="97"/>
      <c r="J75" s="24"/>
      <c r="K75" s="30"/>
      <c r="L75" s="14"/>
      <c r="M75" s="105"/>
      <c r="N75" s="105"/>
      <c r="O75" s="105"/>
      <c r="P75" s="90"/>
      <c r="Q75" s="16"/>
      <c r="R75" s="14"/>
      <c r="S75" s="14"/>
      <c r="T75" s="14"/>
      <c r="U75" s="14"/>
      <c r="V75" s="26"/>
      <c r="W75" s="97"/>
      <c r="X75" s="125"/>
      <c r="Y75" s="97"/>
      <c r="Z75" s="97"/>
      <c r="AA75" s="97"/>
      <c r="AB75" s="119"/>
      <c r="AC75" s="1"/>
      <c r="AD75" s="1"/>
      <c r="AE75" s="1"/>
    </row>
    <row r="76" spans="1:31" x14ac:dyDescent="0.25">
      <c r="A76" s="101"/>
      <c r="B76" s="14"/>
      <c r="C76" s="14"/>
      <c r="D76" s="14"/>
      <c r="E76" s="14"/>
      <c r="F76" s="14"/>
      <c r="G76" s="14"/>
      <c r="H76" s="97"/>
      <c r="I76" s="97"/>
      <c r="J76" s="31"/>
      <c r="K76" s="32"/>
      <c r="L76" s="14"/>
      <c r="M76" s="105"/>
      <c r="N76" s="105"/>
      <c r="O76" s="105"/>
      <c r="P76" s="90"/>
      <c r="Q76" s="16"/>
      <c r="R76" s="14"/>
      <c r="S76" s="14"/>
      <c r="T76" s="14"/>
      <c r="U76" s="14"/>
      <c r="V76" s="26"/>
      <c r="W76" s="97"/>
      <c r="X76" s="125"/>
      <c r="Y76" s="97"/>
      <c r="Z76" s="97"/>
      <c r="AA76" s="97"/>
      <c r="AB76" s="119"/>
      <c r="AC76" s="1"/>
      <c r="AD76" s="1"/>
      <c r="AE76" s="1"/>
    </row>
    <row r="77" spans="1:31" ht="15.75" thickBot="1" x14ac:dyDescent="0.3">
      <c r="A77" s="107"/>
      <c r="B77" s="17"/>
      <c r="C77" s="17"/>
      <c r="D77" s="17"/>
      <c r="E77" s="17"/>
      <c r="F77" s="17"/>
      <c r="G77" s="17"/>
      <c r="H77" s="98"/>
      <c r="I77" s="98"/>
      <c r="J77" s="33"/>
      <c r="K77" s="20"/>
      <c r="L77" s="17"/>
      <c r="M77" s="108"/>
      <c r="N77" s="108"/>
      <c r="O77" s="108"/>
      <c r="P77" s="109"/>
      <c r="Q77" s="18"/>
      <c r="R77" s="17"/>
      <c r="S77" s="17"/>
      <c r="T77" s="17"/>
      <c r="U77" s="17"/>
      <c r="V77" s="34"/>
      <c r="W77" s="98"/>
      <c r="X77" s="126"/>
      <c r="Y77" s="98"/>
      <c r="Z77" s="98"/>
      <c r="AA77" s="98"/>
      <c r="AB77" s="119"/>
      <c r="AC77" s="1"/>
      <c r="AD77" s="1"/>
      <c r="AE77" s="1"/>
    </row>
    <row r="78" spans="1:31" x14ac:dyDescent="0.25">
      <c r="A78" s="100"/>
      <c r="B78" s="11"/>
      <c r="C78" s="11"/>
      <c r="D78" s="11"/>
      <c r="E78" s="11"/>
      <c r="F78" s="11"/>
      <c r="G78" s="11"/>
      <c r="H78" s="92"/>
      <c r="I78" s="96"/>
      <c r="J78" s="35"/>
      <c r="K78" s="36"/>
      <c r="L78" s="11"/>
      <c r="M78" s="104"/>
      <c r="N78" s="104"/>
      <c r="O78" s="104"/>
      <c r="P78" s="89"/>
      <c r="Q78" s="13"/>
      <c r="R78" s="11"/>
      <c r="S78" s="11"/>
      <c r="T78" s="11"/>
      <c r="U78" s="11"/>
      <c r="V78" s="37"/>
      <c r="W78" s="96"/>
      <c r="X78" s="121"/>
      <c r="Y78" s="96"/>
      <c r="Z78" s="96"/>
      <c r="AA78" s="96"/>
      <c r="AB78" s="119"/>
      <c r="AC78" s="1"/>
      <c r="AD78" s="1"/>
      <c r="AE78" s="1"/>
    </row>
    <row r="79" spans="1:31" x14ac:dyDescent="0.25">
      <c r="A79" s="101"/>
      <c r="B79" s="14"/>
      <c r="C79" s="14"/>
      <c r="D79" s="14"/>
      <c r="E79" s="14"/>
      <c r="F79" s="14"/>
      <c r="G79" s="14"/>
      <c r="H79" s="93"/>
      <c r="I79" s="97"/>
      <c r="J79" s="38"/>
      <c r="K79" s="39"/>
      <c r="L79" s="14"/>
      <c r="M79" s="105"/>
      <c r="N79" s="105"/>
      <c r="O79" s="105"/>
      <c r="P79" s="90"/>
      <c r="Q79" s="16"/>
      <c r="R79" s="14"/>
      <c r="S79" s="14"/>
      <c r="T79" s="14"/>
      <c r="U79" s="14"/>
      <c r="V79" s="40"/>
      <c r="W79" s="97"/>
      <c r="X79" s="122"/>
      <c r="Y79" s="97"/>
      <c r="Z79" s="97"/>
      <c r="AA79" s="97"/>
      <c r="AB79" s="119"/>
      <c r="AC79" s="1"/>
      <c r="AD79" s="1"/>
      <c r="AE79" s="1"/>
    </row>
    <row r="80" spans="1:31" x14ac:dyDescent="0.25">
      <c r="A80" s="101"/>
      <c r="B80" s="14"/>
      <c r="C80" s="14"/>
      <c r="D80" s="14"/>
      <c r="E80" s="14"/>
      <c r="F80" s="14"/>
      <c r="G80" s="14"/>
      <c r="H80" s="93"/>
      <c r="I80" s="97"/>
      <c r="J80" s="41"/>
      <c r="K80" s="42"/>
      <c r="L80" s="14"/>
      <c r="M80" s="105"/>
      <c r="N80" s="105"/>
      <c r="O80" s="105"/>
      <c r="P80" s="90"/>
      <c r="Q80" s="16"/>
      <c r="R80" s="14"/>
      <c r="S80" s="14"/>
      <c r="T80" s="14"/>
      <c r="U80" s="14"/>
      <c r="V80" s="15"/>
      <c r="W80" s="97"/>
      <c r="X80" s="122"/>
      <c r="Y80" s="97"/>
      <c r="Z80" s="97"/>
      <c r="AA80" s="97"/>
      <c r="AB80" s="119"/>
      <c r="AC80" s="1"/>
      <c r="AD80" s="1"/>
      <c r="AE80" s="1"/>
    </row>
    <row r="81" spans="1:31" ht="15.75" thickBot="1" x14ac:dyDescent="0.3">
      <c r="A81" s="107"/>
      <c r="B81" s="17"/>
      <c r="C81" s="17"/>
      <c r="D81" s="17"/>
      <c r="E81" s="17"/>
      <c r="F81" s="17"/>
      <c r="G81" s="17"/>
      <c r="H81" s="120"/>
      <c r="I81" s="98"/>
      <c r="J81" s="43"/>
      <c r="K81" s="44"/>
      <c r="L81" s="17"/>
      <c r="M81" s="108"/>
      <c r="N81" s="108"/>
      <c r="O81" s="108"/>
      <c r="P81" s="109"/>
      <c r="Q81" s="18"/>
      <c r="R81" s="17"/>
      <c r="S81" s="17"/>
      <c r="T81" s="17"/>
      <c r="U81" s="17"/>
      <c r="V81" s="45"/>
      <c r="W81" s="98"/>
      <c r="X81" s="123"/>
      <c r="Y81" s="98"/>
      <c r="Z81" s="98"/>
      <c r="AA81" s="98"/>
      <c r="AB81" s="119"/>
      <c r="AC81" s="1"/>
      <c r="AD81" s="1"/>
      <c r="AE81" s="1"/>
    </row>
    <row r="82" spans="1:31" x14ac:dyDescent="0.25">
      <c r="A82" s="100"/>
      <c r="B82" s="11"/>
      <c r="C82" s="11"/>
      <c r="D82" s="11"/>
      <c r="E82" s="11"/>
      <c r="F82" s="11"/>
      <c r="G82" s="11"/>
      <c r="H82" s="96"/>
      <c r="I82" s="96"/>
      <c r="J82" s="46"/>
      <c r="K82" s="47"/>
      <c r="L82" s="11"/>
      <c r="M82" s="104"/>
      <c r="N82" s="104"/>
      <c r="O82" s="104"/>
      <c r="P82" s="89"/>
      <c r="Q82" s="13"/>
      <c r="R82" s="11"/>
      <c r="S82" s="11"/>
      <c r="T82" s="11"/>
      <c r="U82" s="11"/>
      <c r="V82" s="29"/>
      <c r="W82" s="96"/>
      <c r="X82" s="116"/>
      <c r="Y82" s="96"/>
      <c r="Z82" s="96"/>
      <c r="AA82" s="96"/>
      <c r="AB82" s="99"/>
      <c r="AC82" s="1"/>
      <c r="AD82" s="1"/>
      <c r="AE82" s="1"/>
    </row>
    <row r="83" spans="1:31" x14ac:dyDescent="0.25">
      <c r="A83" s="101"/>
      <c r="B83" s="14"/>
      <c r="C83" s="14"/>
      <c r="D83" s="14"/>
      <c r="E83" s="14"/>
      <c r="F83" s="14"/>
      <c r="G83" s="14"/>
      <c r="H83" s="97"/>
      <c r="I83" s="97"/>
      <c r="J83" s="48"/>
      <c r="K83" s="49"/>
      <c r="L83" s="14"/>
      <c r="M83" s="105"/>
      <c r="N83" s="105"/>
      <c r="O83" s="105"/>
      <c r="P83" s="90"/>
      <c r="Q83" s="16"/>
      <c r="R83" s="14"/>
      <c r="S83" s="14"/>
      <c r="T83" s="14"/>
      <c r="U83" s="14"/>
      <c r="V83" s="50"/>
      <c r="W83" s="97"/>
      <c r="X83" s="117"/>
      <c r="Y83" s="97"/>
      <c r="Z83" s="97"/>
      <c r="AA83" s="97"/>
      <c r="AB83" s="99"/>
      <c r="AC83" s="1"/>
      <c r="AD83" s="1"/>
      <c r="AE83" s="1"/>
    </row>
    <row r="84" spans="1:31" x14ac:dyDescent="0.25">
      <c r="A84" s="101"/>
      <c r="B84" s="14"/>
      <c r="C84" s="14"/>
      <c r="D84" s="14"/>
      <c r="E84" s="14"/>
      <c r="F84" s="14"/>
      <c r="G84" s="14"/>
      <c r="H84" s="97"/>
      <c r="I84" s="97"/>
      <c r="J84" s="21"/>
      <c r="K84" s="12"/>
      <c r="L84" s="14"/>
      <c r="M84" s="105"/>
      <c r="N84" s="105"/>
      <c r="O84" s="105"/>
      <c r="P84" s="90"/>
      <c r="Q84" s="16"/>
      <c r="R84" s="14"/>
      <c r="S84" s="14"/>
      <c r="T84" s="14"/>
      <c r="U84" s="14"/>
      <c r="V84" s="51"/>
      <c r="W84" s="97"/>
      <c r="X84" s="117"/>
      <c r="Y84" s="97"/>
      <c r="Z84" s="97"/>
      <c r="AA84" s="97"/>
      <c r="AB84" s="99"/>
      <c r="AC84" s="1"/>
      <c r="AD84" s="1"/>
      <c r="AE84" s="1"/>
    </row>
    <row r="85" spans="1:31" ht="15.75" thickBot="1" x14ac:dyDescent="0.3">
      <c r="A85" s="107"/>
      <c r="B85" s="17"/>
      <c r="C85" s="17"/>
      <c r="D85" s="17"/>
      <c r="E85" s="17"/>
      <c r="F85" s="17"/>
      <c r="G85" s="17"/>
      <c r="H85" s="98"/>
      <c r="I85" s="98"/>
      <c r="J85" s="52"/>
      <c r="K85" s="49"/>
      <c r="L85" s="17"/>
      <c r="M85" s="108"/>
      <c r="N85" s="108"/>
      <c r="O85" s="108"/>
      <c r="P85" s="109"/>
      <c r="Q85" s="18"/>
      <c r="R85" s="17"/>
      <c r="S85" s="17"/>
      <c r="T85" s="17"/>
      <c r="U85" s="17"/>
      <c r="V85" s="53"/>
      <c r="W85" s="98"/>
      <c r="X85" s="118"/>
      <c r="Y85" s="98"/>
      <c r="Z85" s="98"/>
      <c r="AA85" s="98"/>
      <c r="AB85" s="99"/>
      <c r="AC85" s="1"/>
      <c r="AD85" s="1"/>
      <c r="AE85" s="1"/>
    </row>
    <row r="86" spans="1:31" x14ac:dyDescent="0.25">
      <c r="A86" s="100"/>
      <c r="B86" s="11"/>
      <c r="C86" s="11"/>
      <c r="D86" s="11"/>
      <c r="E86" s="11"/>
      <c r="F86" s="11"/>
      <c r="G86" s="11"/>
      <c r="H86" s="96"/>
      <c r="I86" s="96"/>
      <c r="J86" s="37"/>
      <c r="K86" s="54"/>
      <c r="L86" s="11"/>
      <c r="M86" s="104"/>
      <c r="N86" s="104"/>
      <c r="O86" s="104"/>
      <c r="P86" s="89"/>
      <c r="Q86" s="13"/>
      <c r="R86" s="11"/>
      <c r="S86" s="11"/>
      <c r="T86" s="11"/>
      <c r="U86" s="11"/>
      <c r="V86" s="55"/>
      <c r="W86" s="96"/>
      <c r="X86" s="113"/>
      <c r="Y86" s="96"/>
      <c r="Z86" s="96"/>
      <c r="AA86" s="96"/>
      <c r="AB86" s="99"/>
      <c r="AC86" s="1"/>
      <c r="AD86" s="1"/>
      <c r="AE86" s="1"/>
    </row>
    <row r="87" spans="1:31" x14ac:dyDescent="0.25">
      <c r="A87" s="101"/>
      <c r="B87" s="14"/>
      <c r="C87" s="14"/>
      <c r="D87" s="14"/>
      <c r="E87" s="14"/>
      <c r="F87" s="14"/>
      <c r="G87" s="14"/>
      <c r="H87" s="97"/>
      <c r="I87" s="97"/>
      <c r="J87" s="56"/>
      <c r="K87" s="32"/>
      <c r="L87" s="14"/>
      <c r="M87" s="105"/>
      <c r="N87" s="105"/>
      <c r="O87" s="105"/>
      <c r="P87" s="90"/>
      <c r="Q87" s="16"/>
      <c r="R87" s="14"/>
      <c r="S87" s="14"/>
      <c r="T87" s="14"/>
      <c r="U87" s="14"/>
      <c r="V87" s="57"/>
      <c r="W87" s="97"/>
      <c r="X87" s="114"/>
      <c r="Y87" s="97"/>
      <c r="Z87" s="97"/>
      <c r="AA87" s="97"/>
      <c r="AB87" s="99"/>
      <c r="AC87" s="1"/>
      <c r="AD87" s="1"/>
      <c r="AE87" s="1"/>
    </row>
    <row r="88" spans="1:31" x14ac:dyDescent="0.25">
      <c r="A88" s="101"/>
      <c r="B88" s="14"/>
      <c r="C88" s="14"/>
      <c r="D88" s="14"/>
      <c r="E88" s="14"/>
      <c r="F88" s="14"/>
      <c r="G88" s="14"/>
      <c r="H88" s="97"/>
      <c r="I88" s="97"/>
      <c r="J88" s="58"/>
      <c r="K88" s="59"/>
      <c r="L88" s="14"/>
      <c r="M88" s="105"/>
      <c r="N88" s="105"/>
      <c r="O88" s="105"/>
      <c r="P88" s="90"/>
      <c r="Q88" s="16"/>
      <c r="R88" s="14"/>
      <c r="S88" s="14"/>
      <c r="T88" s="14"/>
      <c r="U88" s="14"/>
      <c r="V88" s="60"/>
      <c r="W88" s="97"/>
      <c r="X88" s="114"/>
      <c r="Y88" s="97"/>
      <c r="Z88" s="97"/>
      <c r="AA88" s="97"/>
      <c r="AB88" s="99"/>
      <c r="AC88" s="1"/>
      <c r="AD88" s="1"/>
      <c r="AE88" s="1"/>
    </row>
    <row r="89" spans="1:31" ht="15.75" thickBot="1" x14ac:dyDescent="0.3">
      <c r="A89" s="107"/>
      <c r="B89" s="17"/>
      <c r="C89" s="17"/>
      <c r="D89" s="17"/>
      <c r="E89" s="17"/>
      <c r="F89" s="17"/>
      <c r="G89" s="17"/>
      <c r="H89" s="98"/>
      <c r="I89" s="98"/>
      <c r="J89" s="61"/>
      <c r="K89" s="25"/>
      <c r="L89" s="17"/>
      <c r="M89" s="108"/>
      <c r="N89" s="108"/>
      <c r="O89" s="108"/>
      <c r="P89" s="109"/>
      <c r="Q89" s="18"/>
      <c r="R89" s="17"/>
      <c r="S89" s="17"/>
      <c r="T89" s="17"/>
      <c r="U89" s="17"/>
      <c r="V89" s="62"/>
      <c r="W89" s="98"/>
      <c r="X89" s="115"/>
      <c r="Y89" s="98"/>
      <c r="Z89" s="98"/>
      <c r="AA89" s="98"/>
      <c r="AB89" s="99"/>
      <c r="AC89" s="1"/>
      <c r="AD89" s="1"/>
      <c r="AE89" s="1"/>
    </row>
    <row r="90" spans="1:31" x14ac:dyDescent="0.25">
      <c r="A90" s="100"/>
      <c r="B90" s="11"/>
      <c r="C90" s="11"/>
      <c r="D90" s="11"/>
      <c r="E90" s="11"/>
      <c r="F90" s="11"/>
      <c r="G90" s="11"/>
      <c r="H90" s="96"/>
      <c r="I90" s="96"/>
      <c r="J90" s="63"/>
      <c r="K90" s="64"/>
      <c r="L90" s="11"/>
      <c r="M90" s="104"/>
      <c r="N90" s="104"/>
      <c r="O90" s="104"/>
      <c r="P90" s="89"/>
      <c r="Q90" s="13"/>
      <c r="R90" s="11"/>
      <c r="S90" s="11"/>
      <c r="T90" s="11"/>
      <c r="U90" s="11"/>
      <c r="V90" s="35"/>
      <c r="W90" s="96"/>
      <c r="X90" s="110"/>
      <c r="Y90" s="96"/>
      <c r="Z90" s="96"/>
      <c r="AA90" s="96"/>
      <c r="AB90" s="99"/>
      <c r="AC90" s="1"/>
      <c r="AD90" s="1"/>
      <c r="AE90" s="1"/>
    </row>
    <row r="91" spans="1:31" x14ac:dyDescent="0.25">
      <c r="A91" s="101"/>
      <c r="B91" s="14"/>
      <c r="C91" s="14"/>
      <c r="D91" s="14"/>
      <c r="E91" s="14"/>
      <c r="F91" s="14"/>
      <c r="G91" s="14"/>
      <c r="H91" s="97"/>
      <c r="I91" s="97"/>
      <c r="J91" s="65"/>
      <c r="K91" s="23"/>
      <c r="L91" s="14"/>
      <c r="M91" s="105"/>
      <c r="N91" s="105"/>
      <c r="O91" s="105"/>
      <c r="P91" s="90"/>
      <c r="Q91" s="16"/>
      <c r="R91" s="14"/>
      <c r="S91" s="14"/>
      <c r="T91" s="14"/>
      <c r="U91" s="14"/>
      <c r="V91" s="66"/>
      <c r="W91" s="97"/>
      <c r="X91" s="111"/>
      <c r="Y91" s="97"/>
      <c r="Z91" s="97"/>
      <c r="AA91" s="97"/>
      <c r="AB91" s="99"/>
      <c r="AC91" s="1"/>
      <c r="AD91" s="1"/>
      <c r="AE91" s="1"/>
    </row>
    <row r="92" spans="1:31" x14ac:dyDescent="0.25">
      <c r="A92" s="101"/>
      <c r="B92" s="14"/>
      <c r="C92" s="14"/>
      <c r="D92" s="14"/>
      <c r="E92" s="14"/>
      <c r="F92" s="14"/>
      <c r="G92" s="14"/>
      <c r="H92" s="97"/>
      <c r="I92" s="97"/>
      <c r="J92" s="67"/>
      <c r="K92" s="28"/>
      <c r="L92" s="14"/>
      <c r="M92" s="105"/>
      <c r="N92" s="105"/>
      <c r="O92" s="105"/>
      <c r="P92" s="90"/>
      <c r="Q92" s="16"/>
      <c r="R92" s="14"/>
      <c r="S92" s="14"/>
      <c r="T92" s="14"/>
      <c r="U92" s="14"/>
      <c r="V92" s="68"/>
      <c r="W92" s="97"/>
      <c r="X92" s="111"/>
      <c r="Y92" s="97"/>
      <c r="Z92" s="97"/>
      <c r="AA92" s="97"/>
      <c r="AB92" s="99"/>
      <c r="AC92" s="1"/>
      <c r="AD92" s="1"/>
      <c r="AE92" s="1"/>
    </row>
    <row r="93" spans="1:31" ht="15.75" thickBot="1" x14ac:dyDescent="0.3">
      <c r="A93" s="107"/>
      <c r="B93" s="17"/>
      <c r="C93" s="17"/>
      <c r="D93" s="17"/>
      <c r="E93" s="17"/>
      <c r="F93" s="17"/>
      <c r="G93" s="17"/>
      <c r="H93" s="98"/>
      <c r="I93" s="98"/>
      <c r="J93" s="69"/>
      <c r="K93" s="19"/>
      <c r="L93" s="17"/>
      <c r="M93" s="108"/>
      <c r="N93" s="108"/>
      <c r="O93" s="108"/>
      <c r="P93" s="109"/>
      <c r="Q93" s="18"/>
      <c r="R93" s="17"/>
      <c r="S93" s="17"/>
      <c r="T93" s="17"/>
      <c r="U93" s="17"/>
      <c r="V93" s="70"/>
      <c r="W93" s="98"/>
      <c r="X93" s="112"/>
      <c r="Y93" s="98"/>
      <c r="Z93" s="98"/>
      <c r="AA93" s="98"/>
      <c r="AB93" s="99"/>
      <c r="AC93" s="1"/>
      <c r="AD93" s="1"/>
      <c r="AE93" s="1"/>
    </row>
    <row r="94" spans="1:31" x14ac:dyDescent="0.25">
      <c r="A94" s="100"/>
      <c r="B94" s="11"/>
      <c r="C94" s="11"/>
      <c r="D94" s="11"/>
      <c r="E94" s="11"/>
      <c r="F94" s="11"/>
      <c r="G94" s="11"/>
      <c r="H94" s="96"/>
      <c r="I94" s="96"/>
      <c r="J94" s="71"/>
      <c r="K94" s="72"/>
      <c r="L94" s="11"/>
      <c r="M94" s="104"/>
      <c r="N94" s="104"/>
      <c r="O94" s="104"/>
      <c r="P94" s="89"/>
      <c r="Q94" s="13"/>
      <c r="R94" s="11"/>
      <c r="S94" s="11"/>
      <c r="T94" s="11"/>
      <c r="U94" s="11"/>
      <c r="V94" s="73"/>
      <c r="W94" s="92"/>
      <c r="X94" s="94"/>
      <c r="Y94" s="96"/>
      <c r="Z94" s="96"/>
      <c r="AA94" s="96"/>
      <c r="AB94" s="99"/>
      <c r="AC94" s="1"/>
      <c r="AD94" s="1"/>
      <c r="AE94" s="1"/>
    </row>
    <row r="95" spans="1:31" x14ac:dyDescent="0.25">
      <c r="A95" s="101"/>
      <c r="B95" s="14"/>
      <c r="C95" s="14"/>
      <c r="D95" s="14"/>
      <c r="E95" s="14"/>
      <c r="F95" s="14"/>
      <c r="G95" s="14"/>
      <c r="H95" s="97"/>
      <c r="I95" s="97"/>
      <c r="J95" s="74"/>
      <c r="K95" s="75"/>
      <c r="L95" s="14"/>
      <c r="M95" s="105"/>
      <c r="N95" s="105"/>
      <c r="O95" s="105"/>
      <c r="P95" s="90"/>
      <c r="Q95" s="16"/>
      <c r="R95" s="14"/>
      <c r="S95" s="14"/>
      <c r="T95" s="14"/>
      <c r="U95" s="14"/>
      <c r="V95" s="76"/>
      <c r="W95" s="93"/>
      <c r="X95" s="95"/>
      <c r="Y95" s="97"/>
      <c r="Z95" s="97"/>
      <c r="AA95" s="97"/>
      <c r="AB95" s="99"/>
      <c r="AC95" s="1"/>
      <c r="AD95" s="1"/>
      <c r="AE95" s="1"/>
    </row>
    <row r="96" spans="1:31" x14ac:dyDescent="0.25">
      <c r="A96" s="101"/>
      <c r="B96" s="14"/>
      <c r="C96" s="14"/>
      <c r="D96" s="14"/>
      <c r="E96" s="14"/>
      <c r="F96" s="14"/>
      <c r="G96" s="14"/>
      <c r="H96" s="97"/>
      <c r="I96" s="97"/>
      <c r="J96" s="77"/>
      <c r="K96" s="78"/>
      <c r="L96" s="14"/>
      <c r="M96" s="105"/>
      <c r="N96" s="105"/>
      <c r="O96" s="105"/>
      <c r="P96" s="90"/>
      <c r="Q96" s="16"/>
      <c r="R96" s="14"/>
      <c r="S96" s="14"/>
      <c r="T96" s="14"/>
      <c r="U96" s="14"/>
      <c r="V96" s="79"/>
      <c r="W96" s="93"/>
      <c r="X96" s="95"/>
      <c r="Y96" s="97"/>
      <c r="Z96" s="97"/>
      <c r="AA96" s="97"/>
      <c r="AB96" s="99"/>
      <c r="AC96" s="1"/>
      <c r="AD96" s="1"/>
      <c r="AE96" s="1"/>
    </row>
    <row r="97" spans="1:31" ht="15.75" thickBot="1" x14ac:dyDescent="0.3">
      <c r="A97" s="102"/>
      <c r="B97" s="17"/>
      <c r="C97" s="17"/>
      <c r="D97" s="17"/>
      <c r="E97" s="17"/>
      <c r="F97" s="17"/>
      <c r="G97" s="17"/>
      <c r="H97" s="103"/>
      <c r="I97" s="103"/>
      <c r="J97" s="80"/>
      <c r="K97" s="81"/>
      <c r="L97" s="17"/>
      <c r="M97" s="106"/>
      <c r="N97" s="106"/>
      <c r="O97" s="106"/>
      <c r="P97" s="91"/>
      <c r="Q97" s="18"/>
      <c r="R97" s="17"/>
      <c r="S97" s="17"/>
      <c r="T97" s="17"/>
      <c r="U97" s="17"/>
      <c r="V97" s="82"/>
      <c r="W97" s="93"/>
      <c r="X97" s="95"/>
      <c r="Y97" s="97"/>
      <c r="Z97" s="97"/>
      <c r="AA97" s="97"/>
      <c r="AB97" s="99"/>
      <c r="AC97" s="1"/>
      <c r="AD97" s="1"/>
      <c r="AE97" s="1"/>
    </row>
    <row r="98" spans="1:31" x14ac:dyDescent="0.25">
      <c r="A98" s="1"/>
      <c r="B98" s="1"/>
      <c r="C98" s="88"/>
      <c r="D98" s="8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5">
      <c r="A99" s="1"/>
      <c r="B99" s="1"/>
      <c r="C99" s="87"/>
      <c r="D99" s="8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5">
      <c r="A100" s="1"/>
      <c r="B100" s="1"/>
      <c r="C100" s="87"/>
      <c r="D100" s="8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5">
      <c r="A101" s="1"/>
      <c r="B101" s="1"/>
      <c r="C101" s="87"/>
      <c r="D101" s="8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25">
      <c r="A102" s="1"/>
      <c r="B102" s="1"/>
      <c r="C102" s="87"/>
      <c r="D102" s="8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25">
      <c r="A103" s="1"/>
      <c r="B103" s="1"/>
      <c r="C103" s="87"/>
      <c r="D103" s="8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25">
      <c r="A104" s="1"/>
      <c r="B104" s="1"/>
      <c r="C104" s="87"/>
      <c r="D104" s="8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25">
      <c r="A105" s="1"/>
      <c r="B105" s="1"/>
      <c r="C105" s="87"/>
      <c r="D105" s="8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25">
      <c r="A106" s="1"/>
      <c r="B106" s="1"/>
      <c r="C106" s="87"/>
      <c r="D106" s="8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s="1"/>
      <c r="B107" s="1"/>
      <c r="C107" s="87"/>
      <c r="D107" s="8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25">
      <c r="A108" s="1"/>
      <c r="B108" s="1"/>
      <c r="C108" s="87"/>
      <c r="D108" s="8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x14ac:dyDescent="0.25">
      <c r="A109" s="1"/>
      <c r="B109" s="1"/>
      <c r="C109" s="87"/>
      <c r="D109" s="8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25">
      <c r="A110" s="1"/>
      <c r="B110" s="1"/>
      <c r="C110" s="87"/>
      <c r="D110" s="8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x14ac:dyDescent="0.25">
      <c r="A111" s="1"/>
      <c r="B111" s="1"/>
      <c r="C111" s="87"/>
      <c r="D111" s="8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x14ac:dyDescent="0.25">
      <c r="A112" s="1"/>
      <c r="B112" s="1"/>
      <c r="C112" s="87"/>
      <c r="D112" s="8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x14ac:dyDescent="0.25">
      <c r="A113" s="1"/>
      <c r="B113" s="1"/>
      <c r="C113" s="87"/>
      <c r="D113" s="8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</sheetData>
  <mergeCells count="302">
    <mergeCell ref="X2:X5"/>
    <mergeCell ref="Y2:Y5"/>
    <mergeCell ref="Z2:Z5"/>
    <mergeCell ref="AB2:AB5"/>
    <mergeCell ref="AD2:AD3"/>
    <mergeCell ref="AE2:AE3"/>
    <mergeCell ref="AD4:AD5"/>
    <mergeCell ref="AE4:AE5"/>
    <mergeCell ref="A2:A5"/>
    <mergeCell ref="M2:M5"/>
    <mergeCell ref="N2:N5"/>
    <mergeCell ref="O2:O5"/>
    <mergeCell ref="P2:P5"/>
    <mergeCell ref="W2:W5"/>
    <mergeCell ref="X6:X9"/>
    <mergeCell ref="Y6:Y9"/>
    <mergeCell ref="Z6:Z9"/>
    <mergeCell ref="AB6:AB9"/>
    <mergeCell ref="AD6:AD7"/>
    <mergeCell ref="AE6:AE7"/>
    <mergeCell ref="AD8:AD9"/>
    <mergeCell ref="AE8:AE9"/>
    <mergeCell ref="A6:A9"/>
    <mergeCell ref="M6:M9"/>
    <mergeCell ref="N6:N9"/>
    <mergeCell ref="O6:O9"/>
    <mergeCell ref="P6:P9"/>
    <mergeCell ref="W6:W9"/>
    <mergeCell ref="X10:X13"/>
    <mergeCell ref="Y10:Y13"/>
    <mergeCell ref="Z10:Z13"/>
    <mergeCell ref="AB10:AB13"/>
    <mergeCell ref="AD10:AD11"/>
    <mergeCell ref="AE10:AE11"/>
    <mergeCell ref="AD12:AD13"/>
    <mergeCell ref="AE12:AE13"/>
    <mergeCell ref="A10:A13"/>
    <mergeCell ref="M10:M13"/>
    <mergeCell ref="N10:N13"/>
    <mergeCell ref="O10:O13"/>
    <mergeCell ref="P10:P13"/>
    <mergeCell ref="W10:W13"/>
    <mergeCell ref="X14:X17"/>
    <mergeCell ref="Y14:Y17"/>
    <mergeCell ref="Z14:Z17"/>
    <mergeCell ref="AB14:AB17"/>
    <mergeCell ref="AD14:AD15"/>
    <mergeCell ref="AE14:AE15"/>
    <mergeCell ref="AD16:AD17"/>
    <mergeCell ref="AE16:AE17"/>
    <mergeCell ref="A14:A17"/>
    <mergeCell ref="M14:M17"/>
    <mergeCell ref="N14:N17"/>
    <mergeCell ref="O14:O17"/>
    <mergeCell ref="P14:P17"/>
    <mergeCell ref="W14:W17"/>
    <mergeCell ref="X18:X21"/>
    <mergeCell ref="Y18:Y21"/>
    <mergeCell ref="Z18:Z21"/>
    <mergeCell ref="AB18:AB21"/>
    <mergeCell ref="AD18:AD19"/>
    <mergeCell ref="AE18:AE19"/>
    <mergeCell ref="AD20:AD21"/>
    <mergeCell ref="AE20:AE21"/>
    <mergeCell ref="A18:A21"/>
    <mergeCell ref="M18:M21"/>
    <mergeCell ref="N18:N21"/>
    <mergeCell ref="O18:O21"/>
    <mergeCell ref="P18:P21"/>
    <mergeCell ref="W18:W21"/>
    <mergeCell ref="X22:X25"/>
    <mergeCell ref="Y22:Y25"/>
    <mergeCell ref="Z22:Z25"/>
    <mergeCell ref="AB22:AB25"/>
    <mergeCell ref="AD22:AD23"/>
    <mergeCell ref="AE22:AE23"/>
    <mergeCell ref="AD24:AD25"/>
    <mergeCell ref="AE24:AE25"/>
    <mergeCell ref="A22:A25"/>
    <mergeCell ref="M22:M25"/>
    <mergeCell ref="N22:N25"/>
    <mergeCell ref="O22:O25"/>
    <mergeCell ref="P22:P25"/>
    <mergeCell ref="W22:W25"/>
    <mergeCell ref="X26:X29"/>
    <mergeCell ref="Y26:Y29"/>
    <mergeCell ref="Z26:Z29"/>
    <mergeCell ref="AB26:AB29"/>
    <mergeCell ref="AD26:AD27"/>
    <mergeCell ref="AE26:AE27"/>
    <mergeCell ref="AD28:AD29"/>
    <mergeCell ref="AE28:AE29"/>
    <mergeCell ref="A26:A29"/>
    <mergeCell ref="M26:M29"/>
    <mergeCell ref="N26:N29"/>
    <mergeCell ref="O26:O29"/>
    <mergeCell ref="P26:P29"/>
    <mergeCell ref="W26:W29"/>
    <mergeCell ref="X30:X33"/>
    <mergeCell ref="Y30:Y33"/>
    <mergeCell ref="Z30:Z33"/>
    <mergeCell ref="AB30:AB33"/>
    <mergeCell ref="A34:A37"/>
    <mergeCell ref="M34:M37"/>
    <mergeCell ref="N34:N37"/>
    <mergeCell ref="O34:O37"/>
    <mergeCell ref="P34:P37"/>
    <mergeCell ref="W34:W37"/>
    <mergeCell ref="A30:A33"/>
    <mergeCell ref="M30:M33"/>
    <mergeCell ref="N30:N33"/>
    <mergeCell ref="O30:O33"/>
    <mergeCell ref="P30:P33"/>
    <mergeCell ref="W30:W33"/>
    <mergeCell ref="X34:X37"/>
    <mergeCell ref="Y34:Y37"/>
    <mergeCell ref="Z34:Z37"/>
    <mergeCell ref="AB34:AB37"/>
    <mergeCell ref="AB38:AB41"/>
    <mergeCell ref="A42:A45"/>
    <mergeCell ref="M42:M45"/>
    <mergeCell ref="N42:N45"/>
    <mergeCell ref="O42:O45"/>
    <mergeCell ref="P42:P45"/>
    <mergeCell ref="W42:W45"/>
    <mergeCell ref="X42:X45"/>
    <mergeCell ref="Y42:Y45"/>
    <mergeCell ref="Z42:Z45"/>
    <mergeCell ref="AB42:AB45"/>
    <mergeCell ref="A38:A41"/>
    <mergeCell ref="M38:M41"/>
    <mergeCell ref="N38:N41"/>
    <mergeCell ref="O38:O41"/>
    <mergeCell ref="P38:P41"/>
    <mergeCell ref="W38:W41"/>
    <mergeCell ref="X38:X41"/>
    <mergeCell ref="Y38:Y41"/>
    <mergeCell ref="Z38:Z41"/>
    <mergeCell ref="AB46:AB49"/>
    <mergeCell ref="A50:A53"/>
    <mergeCell ref="M50:M53"/>
    <mergeCell ref="N50:N53"/>
    <mergeCell ref="O50:O53"/>
    <mergeCell ref="P50:P53"/>
    <mergeCell ref="W50:W53"/>
    <mergeCell ref="X50:X53"/>
    <mergeCell ref="Y50:Y53"/>
    <mergeCell ref="Z50:Z53"/>
    <mergeCell ref="AB50:AB53"/>
    <mergeCell ref="A46:A49"/>
    <mergeCell ref="M46:M49"/>
    <mergeCell ref="N46:N49"/>
    <mergeCell ref="O46:O49"/>
    <mergeCell ref="P46:P49"/>
    <mergeCell ref="W46:W49"/>
    <mergeCell ref="X46:X49"/>
    <mergeCell ref="Y46:Y49"/>
    <mergeCell ref="Z46:Z49"/>
    <mergeCell ref="AB54:AB57"/>
    <mergeCell ref="A58:A61"/>
    <mergeCell ref="M58:M61"/>
    <mergeCell ref="N58:N61"/>
    <mergeCell ref="O58:O61"/>
    <mergeCell ref="P58:P61"/>
    <mergeCell ref="W58:W61"/>
    <mergeCell ref="X58:X61"/>
    <mergeCell ref="Y58:Y61"/>
    <mergeCell ref="Z58:Z61"/>
    <mergeCell ref="AB58:AB61"/>
    <mergeCell ref="A54:A57"/>
    <mergeCell ref="M54:M57"/>
    <mergeCell ref="N54:N57"/>
    <mergeCell ref="O54:O57"/>
    <mergeCell ref="P54:P57"/>
    <mergeCell ref="W54:W57"/>
    <mergeCell ref="X54:X57"/>
    <mergeCell ref="Y54:Y57"/>
    <mergeCell ref="Z54:Z57"/>
    <mergeCell ref="AB62:AB65"/>
    <mergeCell ref="A66:A69"/>
    <mergeCell ref="M66:M69"/>
    <mergeCell ref="N66:N69"/>
    <mergeCell ref="O66:O69"/>
    <mergeCell ref="P66:P69"/>
    <mergeCell ref="W66:W69"/>
    <mergeCell ref="X66:X69"/>
    <mergeCell ref="Y66:Y69"/>
    <mergeCell ref="Z66:Z69"/>
    <mergeCell ref="AB66:AB69"/>
    <mergeCell ref="A62:A65"/>
    <mergeCell ref="M62:M65"/>
    <mergeCell ref="N62:N65"/>
    <mergeCell ref="O62:O65"/>
    <mergeCell ref="P62:P65"/>
    <mergeCell ref="W62:W65"/>
    <mergeCell ref="X62:X65"/>
    <mergeCell ref="Y62:Y65"/>
    <mergeCell ref="Z62:Z65"/>
    <mergeCell ref="A70:A73"/>
    <mergeCell ref="M70:M73"/>
    <mergeCell ref="N70:N73"/>
    <mergeCell ref="O70:O73"/>
    <mergeCell ref="P70:P73"/>
    <mergeCell ref="W70:W73"/>
    <mergeCell ref="X70:X73"/>
    <mergeCell ref="Y70:Y73"/>
    <mergeCell ref="Z70:Z73"/>
    <mergeCell ref="AB70:AB73"/>
    <mergeCell ref="A74:A77"/>
    <mergeCell ref="H74:H77"/>
    <mergeCell ref="I74:I77"/>
    <mergeCell ref="M74:M77"/>
    <mergeCell ref="N74:N77"/>
    <mergeCell ref="O74:O77"/>
    <mergeCell ref="AB74:AB77"/>
    <mergeCell ref="A78:A81"/>
    <mergeCell ref="H78:H81"/>
    <mergeCell ref="I78:I81"/>
    <mergeCell ref="M78:M81"/>
    <mergeCell ref="N78:N81"/>
    <mergeCell ref="O78:O81"/>
    <mergeCell ref="P78:P81"/>
    <mergeCell ref="W78:W81"/>
    <mergeCell ref="X78:X81"/>
    <mergeCell ref="P74:P77"/>
    <mergeCell ref="W74:W77"/>
    <mergeCell ref="X74:X77"/>
    <mergeCell ref="Y74:Y77"/>
    <mergeCell ref="Z74:Z77"/>
    <mergeCell ref="AA74:AA77"/>
    <mergeCell ref="Y78:Y81"/>
    <mergeCell ref="Z78:Z81"/>
    <mergeCell ref="AA78:AA81"/>
    <mergeCell ref="AB78:AB81"/>
    <mergeCell ref="A82:A85"/>
    <mergeCell ref="H82:H85"/>
    <mergeCell ref="I82:I85"/>
    <mergeCell ref="M82:M85"/>
    <mergeCell ref="N82:N85"/>
    <mergeCell ref="O82:O85"/>
    <mergeCell ref="AB82:AB85"/>
    <mergeCell ref="P82:P85"/>
    <mergeCell ref="W82:W85"/>
    <mergeCell ref="X82:X85"/>
    <mergeCell ref="Y82:Y85"/>
    <mergeCell ref="Z82:Z85"/>
    <mergeCell ref="AA82:AA85"/>
    <mergeCell ref="Y86:Y89"/>
    <mergeCell ref="Z86:Z89"/>
    <mergeCell ref="AA86:AA89"/>
    <mergeCell ref="AB86:AB89"/>
    <mergeCell ref="A90:A93"/>
    <mergeCell ref="H90:H93"/>
    <mergeCell ref="I90:I93"/>
    <mergeCell ref="M90:M93"/>
    <mergeCell ref="N90:N93"/>
    <mergeCell ref="O90:O93"/>
    <mergeCell ref="A86:A89"/>
    <mergeCell ref="H86:H89"/>
    <mergeCell ref="I86:I89"/>
    <mergeCell ref="M86:M89"/>
    <mergeCell ref="N86:N89"/>
    <mergeCell ref="O86:O89"/>
    <mergeCell ref="P86:P89"/>
    <mergeCell ref="W86:W89"/>
    <mergeCell ref="X86:X89"/>
    <mergeCell ref="Y94:Y97"/>
    <mergeCell ref="Z94:Z97"/>
    <mergeCell ref="AA94:AA97"/>
    <mergeCell ref="AB94:AB97"/>
    <mergeCell ref="C98:D98"/>
    <mergeCell ref="C99:D99"/>
    <mergeCell ref="AB90:AB93"/>
    <mergeCell ref="A94:A97"/>
    <mergeCell ref="H94:H97"/>
    <mergeCell ref="I94:I97"/>
    <mergeCell ref="M94:M97"/>
    <mergeCell ref="N94:N97"/>
    <mergeCell ref="O94:O97"/>
    <mergeCell ref="P94:P97"/>
    <mergeCell ref="W94:W97"/>
    <mergeCell ref="X94:X97"/>
    <mergeCell ref="P90:P93"/>
    <mergeCell ref="W90:W93"/>
    <mergeCell ref="X90:X93"/>
    <mergeCell ref="Y90:Y93"/>
    <mergeCell ref="Z90:Z93"/>
    <mergeCell ref="AA90:AA93"/>
    <mergeCell ref="C112:D112"/>
    <mergeCell ref="C113:D113"/>
    <mergeCell ref="C106:D106"/>
    <mergeCell ref="C107:D107"/>
    <mergeCell ref="C108:D108"/>
    <mergeCell ref="C109:D109"/>
    <mergeCell ref="C110:D110"/>
    <mergeCell ref="C111:D111"/>
    <mergeCell ref="C100:D100"/>
    <mergeCell ref="C101:D101"/>
    <mergeCell ref="C102:D102"/>
    <mergeCell ref="C103:D103"/>
    <mergeCell ref="C104:D104"/>
    <mergeCell ref="C105:D10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64B8-AA36-4D75-AE00-947214431BB3}">
  <dimension ref="A1:AN113"/>
  <sheetViews>
    <sheetView topLeftCell="P1" workbookViewId="0">
      <selection activeCell="AM6" sqref="AM6:AN8"/>
    </sheetView>
  </sheetViews>
  <sheetFormatPr defaultRowHeight="15" x14ac:dyDescent="0.25"/>
  <cols>
    <col min="5" max="5" width="49.42578125" customWidth="1"/>
    <col min="8" max="8" width="14" customWidth="1"/>
    <col min="9" max="9" width="18.28515625" customWidth="1"/>
    <col min="13" max="13" width="17.28515625" customWidth="1"/>
    <col min="17" max="17" width="36.28515625" customWidth="1"/>
    <col min="30" max="30" width="16.42578125" customWidth="1"/>
  </cols>
  <sheetData>
    <row r="1" spans="1:40" ht="15.75" thickBot="1" x14ac:dyDescent="0.3">
      <c r="A1" s="1"/>
      <c r="B1" s="4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6" t="s">
        <v>428</v>
      </c>
      <c r="I1" s="6" t="s">
        <v>429</v>
      </c>
      <c r="J1" s="7" t="s">
        <v>430</v>
      </c>
      <c r="K1" s="7" t="s">
        <v>431</v>
      </c>
      <c r="L1" s="8" t="s">
        <v>432</v>
      </c>
      <c r="M1" s="8" t="s">
        <v>433</v>
      </c>
      <c r="N1" s="4" t="s">
        <v>434</v>
      </c>
      <c r="O1" s="5"/>
      <c r="P1" s="5" t="s">
        <v>435</v>
      </c>
      <c r="Q1" s="5" t="s">
        <v>63</v>
      </c>
      <c r="R1" s="5" t="s">
        <v>64</v>
      </c>
      <c r="S1" s="5" t="s">
        <v>65</v>
      </c>
      <c r="T1" s="5" t="s">
        <v>66</v>
      </c>
      <c r="U1" s="5" t="s">
        <v>67</v>
      </c>
      <c r="V1" s="7" t="s">
        <v>68</v>
      </c>
      <c r="W1" s="5" t="s">
        <v>436</v>
      </c>
      <c r="X1" s="8" t="s">
        <v>437</v>
      </c>
      <c r="Y1" s="9" t="s">
        <v>438</v>
      </c>
      <c r="Z1" s="9" t="s">
        <v>439</v>
      </c>
      <c r="AA1" s="10" t="s">
        <v>440</v>
      </c>
      <c r="AB1" s="1"/>
      <c r="AC1" s="9" t="s">
        <v>441</v>
      </c>
      <c r="AD1" s="1"/>
      <c r="AE1" s="1"/>
    </row>
    <row r="2" spans="1:40" x14ac:dyDescent="0.25">
      <c r="A2" s="100"/>
      <c r="B2" s="9">
        <v>337</v>
      </c>
      <c r="C2" s="9" t="s">
        <v>386</v>
      </c>
      <c r="D2" s="9" t="s">
        <v>103</v>
      </c>
      <c r="E2" s="9" t="s">
        <v>104</v>
      </c>
      <c r="F2" s="9" t="s">
        <v>332</v>
      </c>
      <c r="G2" s="9" t="s">
        <v>106</v>
      </c>
      <c r="H2" s="9"/>
      <c r="I2" s="9"/>
      <c r="J2" s="9">
        <v>23.096</v>
      </c>
      <c r="K2" s="9">
        <v>18.398</v>
      </c>
      <c r="L2" s="11"/>
      <c r="M2" s="104">
        <f>AVERAGE(J2:J5)</f>
        <v>23.071750000000002</v>
      </c>
      <c r="N2" s="104">
        <f>AVERAGE(K2:K5)</f>
        <v>18.297750000000001</v>
      </c>
      <c r="O2" s="104"/>
      <c r="P2" s="89">
        <f>GEOMEAN(M2,N2)</f>
        <v>20.546559652713153</v>
      </c>
      <c r="Q2" s="1" t="s">
        <v>104</v>
      </c>
      <c r="R2" s="1" t="s">
        <v>311</v>
      </c>
      <c r="S2" s="1" t="s">
        <v>106</v>
      </c>
      <c r="T2" s="1" t="s">
        <v>107</v>
      </c>
      <c r="U2" s="1" t="s">
        <v>108</v>
      </c>
      <c r="V2" s="1" t="s">
        <v>235</v>
      </c>
      <c r="W2" s="96">
        <f>_xlfn.STDEV.S(V2:V5)</f>
        <v>5.3033008588993076E-2</v>
      </c>
      <c r="X2" s="128">
        <f>AVERAGE(V2:V5)</f>
        <v>33.601500000000001</v>
      </c>
      <c r="Y2" s="96">
        <f>X2-P2</f>
        <v>13.054940347286848</v>
      </c>
      <c r="Z2" s="96">
        <f>Y2-$AE$2</f>
        <v>0.50491753804272754</v>
      </c>
      <c r="AA2" s="84">
        <f>2^-Z2</f>
        <v>0.70470065589248354</v>
      </c>
      <c r="AB2" s="150"/>
      <c r="AC2" s="1">
        <f>LOG(AA2,2)</f>
        <v>-0.50491753804272754</v>
      </c>
      <c r="AD2" s="153" t="s">
        <v>442</v>
      </c>
      <c r="AE2" s="155">
        <f>AVERAGE(Y2,Y6)</f>
        <v>12.550022809244121</v>
      </c>
      <c r="AG2">
        <f>AC2</f>
        <v>-0.50491753804272754</v>
      </c>
      <c r="AH2">
        <f>AC6</f>
        <v>0.50491753804272765</v>
      </c>
      <c r="AJ2">
        <f>AC26</f>
        <v>0.28578564168428311</v>
      </c>
      <c r="AK2">
        <f>AC30</f>
        <v>-0.28578564168428311</v>
      </c>
      <c r="AM2">
        <f>AC50</f>
        <v>0.14014083527702512</v>
      </c>
      <c r="AN2">
        <f>AC54</f>
        <v>-0.14014083527702509</v>
      </c>
    </row>
    <row r="3" spans="1:40" x14ac:dyDescent="0.25">
      <c r="A3" s="101"/>
      <c r="B3" s="1">
        <v>361</v>
      </c>
      <c r="C3" s="1" t="s">
        <v>398</v>
      </c>
      <c r="D3" s="1" t="s">
        <v>103</v>
      </c>
      <c r="E3" s="1" t="s">
        <v>104</v>
      </c>
      <c r="F3" s="1" t="s">
        <v>332</v>
      </c>
      <c r="G3" s="1" t="s">
        <v>106</v>
      </c>
      <c r="H3" s="1"/>
      <c r="I3" s="1"/>
      <c r="J3" s="1">
        <v>23.042999999999999</v>
      </c>
      <c r="K3" s="1">
        <v>18.263999999999999</v>
      </c>
      <c r="L3" s="14"/>
      <c r="M3" s="105"/>
      <c r="N3" s="105"/>
      <c r="O3" s="105"/>
      <c r="P3" s="90"/>
      <c r="Q3" s="1" t="s">
        <v>104</v>
      </c>
      <c r="R3" s="1" t="s">
        <v>311</v>
      </c>
      <c r="S3" s="1" t="s">
        <v>106</v>
      </c>
      <c r="T3" s="1" t="s">
        <v>107</v>
      </c>
      <c r="U3" s="1" t="s">
        <v>108</v>
      </c>
      <c r="V3" s="1">
        <v>33.639000000000003</v>
      </c>
      <c r="W3" s="97"/>
      <c r="X3" s="129"/>
      <c r="Y3" s="97"/>
      <c r="Z3" s="97"/>
      <c r="AA3" s="85"/>
      <c r="AB3" s="151"/>
      <c r="AC3" s="1"/>
      <c r="AD3" s="154"/>
      <c r="AE3" s="156"/>
      <c r="AG3">
        <f>AC10</f>
        <v>0.91812603109844737</v>
      </c>
      <c r="AH3">
        <f>AC14</f>
        <v>-1.4878267252929707</v>
      </c>
      <c r="AJ3">
        <f>AC34</f>
        <v>-4.4551355706774383E-2</v>
      </c>
      <c r="AK3">
        <f>AC38</f>
        <v>0.48683776305764853</v>
      </c>
      <c r="AM3">
        <f>AC58</f>
        <v>-0.55419342512637293</v>
      </c>
      <c r="AN3">
        <f>AC62</f>
        <v>0.24883443377301095</v>
      </c>
    </row>
    <row r="4" spans="1:40" x14ac:dyDescent="0.25">
      <c r="A4" s="101"/>
      <c r="B4" s="1">
        <v>338</v>
      </c>
      <c r="C4" s="1" t="s">
        <v>387</v>
      </c>
      <c r="D4" s="1" t="s">
        <v>103</v>
      </c>
      <c r="E4" s="1" t="s">
        <v>104</v>
      </c>
      <c r="F4" s="1" t="s">
        <v>332</v>
      </c>
      <c r="G4" s="1" t="s">
        <v>106</v>
      </c>
      <c r="H4" s="1"/>
      <c r="I4" s="1"/>
      <c r="J4" s="1">
        <v>23.064</v>
      </c>
      <c r="K4" s="1">
        <v>18.318999999999999</v>
      </c>
      <c r="L4" s="14"/>
      <c r="M4" s="105"/>
      <c r="N4" s="105"/>
      <c r="O4" s="105"/>
      <c r="P4" s="90"/>
      <c r="Q4" s="1" t="s">
        <v>104</v>
      </c>
      <c r="R4" s="1" t="s">
        <v>311</v>
      </c>
      <c r="S4" s="1" t="s">
        <v>106</v>
      </c>
      <c r="T4" s="1" t="s">
        <v>107</v>
      </c>
      <c r="U4" s="1" t="s">
        <v>108</v>
      </c>
      <c r="V4" s="1">
        <v>33.564</v>
      </c>
      <c r="W4" s="97"/>
      <c r="X4" s="129"/>
      <c r="Y4" s="97"/>
      <c r="Z4" s="97"/>
      <c r="AA4" s="85"/>
      <c r="AB4" s="151"/>
      <c r="AC4" s="1"/>
      <c r="AD4" s="153" t="s">
        <v>443</v>
      </c>
      <c r="AE4" s="155">
        <f>AVERAGE(Y26,Y30)</f>
        <v>11.848377638802676</v>
      </c>
      <c r="AG4">
        <f>AC18</f>
        <v>0.67759802181061879</v>
      </c>
      <c r="AH4">
        <f>AC22</f>
        <v>0.63765831580334442</v>
      </c>
      <c r="AJ4">
        <f>AC42</f>
        <v>0.91152423843617769</v>
      </c>
      <c r="AK4">
        <f>AC46</f>
        <v>1.4253416437897126</v>
      </c>
      <c r="AM4">
        <f>AC66</f>
        <v>0.99107618597201785</v>
      </c>
      <c r="AN4">
        <f>AC70</f>
        <v>0.66925806233837359</v>
      </c>
    </row>
    <row r="5" spans="1:40" ht="15.75" thickBot="1" x14ac:dyDescent="0.3">
      <c r="A5" s="107"/>
      <c r="B5" s="83">
        <v>362</v>
      </c>
      <c r="C5" s="83" t="s">
        <v>399</v>
      </c>
      <c r="D5" s="83" t="s">
        <v>103</v>
      </c>
      <c r="E5" s="83" t="s">
        <v>104</v>
      </c>
      <c r="F5" s="83" t="s">
        <v>332</v>
      </c>
      <c r="G5" s="83" t="s">
        <v>106</v>
      </c>
      <c r="H5" s="83">
        <f>_xlfn.STDEV.S(K2:K5)</f>
        <v>8.0292693731538217E-2</v>
      </c>
      <c r="I5" s="83">
        <f>_xlfn.STDEV.S(J2:J5)</f>
        <v>2.3271943050234237E-2</v>
      </c>
      <c r="J5" s="83">
        <v>23.084</v>
      </c>
      <c r="K5" s="83">
        <v>18.21</v>
      </c>
      <c r="L5" s="17"/>
      <c r="M5" s="108"/>
      <c r="N5" s="108"/>
      <c r="O5" s="108"/>
      <c r="P5" s="109"/>
      <c r="Q5" s="1" t="s">
        <v>104</v>
      </c>
      <c r="R5" s="1" t="s">
        <v>311</v>
      </c>
      <c r="S5" s="1" t="s">
        <v>106</v>
      </c>
      <c r="T5" s="1" t="s">
        <v>107</v>
      </c>
      <c r="U5" s="1" t="s">
        <v>108</v>
      </c>
      <c r="V5" s="1" t="s">
        <v>235</v>
      </c>
      <c r="W5" s="98"/>
      <c r="X5" s="130"/>
      <c r="Y5" s="98"/>
      <c r="Z5" s="98"/>
      <c r="AA5" s="86"/>
      <c r="AB5" s="152"/>
      <c r="AC5" s="1"/>
      <c r="AD5" s="154"/>
      <c r="AE5" s="156"/>
      <c r="AF5">
        <v>75</v>
      </c>
      <c r="AI5">
        <v>100</v>
      </c>
      <c r="AL5">
        <v>150</v>
      </c>
    </row>
    <row r="6" spans="1:40" x14ac:dyDescent="0.25">
      <c r="A6" s="101"/>
      <c r="B6" s="9">
        <v>339</v>
      </c>
      <c r="C6" s="9" t="s">
        <v>388</v>
      </c>
      <c r="D6" s="9" t="s">
        <v>103</v>
      </c>
      <c r="E6" s="9" t="s">
        <v>114</v>
      </c>
      <c r="F6" s="9" t="s">
        <v>332</v>
      </c>
      <c r="G6" s="9" t="s">
        <v>106</v>
      </c>
      <c r="H6" s="9"/>
      <c r="I6" s="9"/>
      <c r="J6" s="9">
        <v>22.887</v>
      </c>
      <c r="K6" s="9">
        <v>18.141999999999999</v>
      </c>
      <c r="L6" s="11"/>
      <c r="M6" s="104">
        <f t="shared" ref="M6:N6" si="0">AVERAGE(J6:J9)</f>
        <v>22.817999999999998</v>
      </c>
      <c r="N6" s="104">
        <f t="shared" si="0"/>
        <v>18.093499999999999</v>
      </c>
      <c r="O6" s="104"/>
      <c r="P6" s="89">
        <f t="shared" ref="P6" si="1">GEOMEAN(M6,N6)</f>
        <v>20.318894728798611</v>
      </c>
      <c r="Q6" s="1" t="s">
        <v>114</v>
      </c>
      <c r="R6" s="1" t="s">
        <v>311</v>
      </c>
      <c r="S6" s="1" t="s">
        <v>106</v>
      </c>
      <c r="T6" s="1" t="s">
        <v>107</v>
      </c>
      <c r="U6" s="1" t="s">
        <v>108</v>
      </c>
      <c r="V6" s="1">
        <v>32.262999999999998</v>
      </c>
      <c r="W6" s="96">
        <f t="shared" ref="W6" si="2">_xlfn.STDEV.S(V6:V9)</f>
        <v>0.14283556979968634</v>
      </c>
      <c r="X6" s="128">
        <f t="shared" ref="X6" si="3">AVERAGE(V6:V9)</f>
        <v>32.364000000000004</v>
      </c>
      <c r="Y6" s="96">
        <f t="shared" ref="Y6" si="4">X6-P6</f>
        <v>12.045105271201393</v>
      </c>
      <c r="Z6" s="96">
        <f t="shared" ref="Z6" si="5">Y6-$AE$2</f>
        <v>-0.50491753804272754</v>
      </c>
      <c r="AA6" s="84">
        <f t="shared" ref="AA6" si="6">2^-Z6</f>
        <v>1.4190422438780452</v>
      </c>
      <c r="AB6" s="157"/>
      <c r="AC6" s="1">
        <f t="shared" ref="AC6" si="7">LOG(AA6,2)</f>
        <v>0.50491753804272765</v>
      </c>
      <c r="AD6" s="153" t="s">
        <v>444</v>
      </c>
      <c r="AE6" s="159">
        <f>AVERAGE(Y50,Y54)</f>
        <v>12.725655521420935</v>
      </c>
      <c r="AG6">
        <f>AM2</f>
        <v>0.14014083527702512</v>
      </c>
      <c r="AH6">
        <f>AN2</f>
        <v>-0.14014083527702509</v>
      </c>
      <c r="AJ6">
        <f>AG2</f>
        <v>-0.50491753804272754</v>
      </c>
      <c r="AK6">
        <f>AH2</f>
        <v>0.50491753804272765</v>
      </c>
      <c r="AM6">
        <f>AJ2</f>
        <v>0.28578564168428311</v>
      </c>
      <c r="AN6">
        <f>AK2</f>
        <v>-0.28578564168428311</v>
      </c>
    </row>
    <row r="7" spans="1:40" x14ac:dyDescent="0.25">
      <c r="A7" s="101"/>
      <c r="B7" s="1">
        <v>363</v>
      </c>
      <c r="C7" s="1" t="s">
        <v>400</v>
      </c>
      <c r="D7" s="1" t="s">
        <v>103</v>
      </c>
      <c r="E7" s="1" t="s">
        <v>114</v>
      </c>
      <c r="F7" s="1" t="s">
        <v>332</v>
      </c>
      <c r="G7" s="1" t="s">
        <v>106</v>
      </c>
      <c r="H7" s="1"/>
      <c r="I7" s="1"/>
      <c r="J7" s="1">
        <v>22.777999999999999</v>
      </c>
      <c r="K7" s="1">
        <v>18.074000000000002</v>
      </c>
      <c r="L7" s="14"/>
      <c r="M7" s="105"/>
      <c r="N7" s="105"/>
      <c r="O7" s="105"/>
      <c r="P7" s="90"/>
      <c r="Q7" s="1" t="s">
        <v>114</v>
      </c>
      <c r="R7" s="1" t="s">
        <v>311</v>
      </c>
      <c r="S7" s="1" t="s">
        <v>106</v>
      </c>
      <c r="T7" s="1" t="s">
        <v>107</v>
      </c>
      <c r="U7" s="1" t="s">
        <v>108</v>
      </c>
      <c r="V7" s="1" t="s">
        <v>235</v>
      </c>
      <c r="W7" s="97"/>
      <c r="X7" s="129"/>
      <c r="Y7" s="97"/>
      <c r="Z7" s="97"/>
      <c r="AA7" s="85"/>
      <c r="AB7" s="157"/>
      <c r="AC7" s="1"/>
      <c r="AD7" s="154"/>
      <c r="AE7" s="142"/>
      <c r="AG7">
        <f t="shared" ref="AG7:AH8" si="8">AM3</f>
        <v>-0.55419342512637293</v>
      </c>
      <c r="AH7">
        <f t="shared" si="8"/>
        <v>0.24883443377301095</v>
      </c>
      <c r="AJ7">
        <f t="shared" ref="AJ7:AK8" si="9">AG3</f>
        <v>0.91812603109844737</v>
      </c>
      <c r="AK7">
        <f t="shared" si="9"/>
        <v>-1.4878267252929707</v>
      </c>
      <c r="AM7">
        <f t="shared" ref="AM7:AN8" si="10">AJ3</f>
        <v>-4.4551355706774383E-2</v>
      </c>
      <c r="AN7">
        <f t="shared" si="10"/>
        <v>0.48683776305764853</v>
      </c>
    </row>
    <row r="8" spans="1:40" x14ac:dyDescent="0.25">
      <c r="A8" s="101"/>
      <c r="B8" s="1">
        <v>340</v>
      </c>
      <c r="C8" s="1" t="s">
        <v>389</v>
      </c>
      <c r="D8" s="1" t="s">
        <v>103</v>
      </c>
      <c r="E8" s="1" t="s">
        <v>114</v>
      </c>
      <c r="F8" s="1" t="s">
        <v>332</v>
      </c>
      <c r="G8" s="1" t="s">
        <v>106</v>
      </c>
      <c r="H8" s="1"/>
      <c r="I8" s="1"/>
      <c r="J8" s="1">
        <v>22.84</v>
      </c>
      <c r="K8" s="1">
        <v>18.117000000000001</v>
      </c>
      <c r="L8" s="14"/>
      <c r="M8" s="105"/>
      <c r="N8" s="105"/>
      <c r="O8" s="105"/>
      <c r="P8" s="90"/>
      <c r="Q8" s="1" t="s">
        <v>114</v>
      </c>
      <c r="R8" s="1" t="s">
        <v>311</v>
      </c>
      <c r="S8" s="1" t="s">
        <v>106</v>
      </c>
      <c r="T8" s="1" t="s">
        <v>107</v>
      </c>
      <c r="U8" s="1" t="s">
        <v>108</v>
      </c>
      <c r="V8" s="1">
        <v>32.465000000000003</v>
      </c>
      <c r="W8" s="97"/>
      <c r="X8" s="129"/>
      <c r="Y8" s="97"/>
      <c r="Z8" s="97"/>
      <c r="AA8" s="85"/>
      <c r="AB8" s="157"/>
      <c r="AC8" s="1"/>
      <c r="AD8" s="143"/>
      <c r="AE8" s="142"/>
      <c r="AG8">
        <f t="shared" si="8"/>
        <v>0.99107618597201785</v>
      </c>
      <c r="AH8">
        <f t="shared" si="8"/>
        <v>0.66925806233837359</v>
      </c>
      <c r="AJ8">
        <f t="shared" si="9"/>
        <v>0.67759802181061879</v>
      </c>
      <c r="AK8">
        <f t="shared" si="9"/>
        <v>0.63765831580334442</v>
      </c>
      <c r="AM8">
        <f t="shared" si="10"/>
        <v>0.91152423843617769</v>
      </c>
      <c r="AN8">
        <f t="shared" si="10"/>
        <v>1.4253416437897126</v>
      </c>
    </row>
    <row r="9" spans="1:40" ht="15.75" thickBot="1" x14ac:dyDescent="0.3">
      <c r="A9" s="107"/>
      <c r="B9" s="83">
        <v>364</v>
      </c>
      <c r="C9" s="83" t="s">
        <v>401</v>
      </c>
      <c r="D9" s="83" t="s">
        <v>103</v>
      </c>
      <c r="E9" s="83" t="s">
        <v>114</v>
      </c>
      <c r="F9" s="83" t="s">
        <v>332</v>
      </c>
      <c r="G9" s="83" t="s">
        <v>106</v>
      </c>
      <c r="H9" s="83">
        <f t="shared" ref="H9" si="11">_xlfn.STDEV.S(K6:K9)</f>
        <v>4.4873897386639251E-2</v>
      </c>
      <c r="I9" s="83">
        <f t="shared" ref="I9" si="12">_xlfn.STDEV.S(J6:J9)</f>
        <v>5.6112981266964762E-2</v>
      </c>
      <c r="J9" s="83">
        <v>22.766999999999999</v>
      </c>
      <c r="K9" s="83">
        <v>18.041</v>
      </c>
      <c r="L9" s="17"/>
      <c r="M9" s="108"/>
      <c r="N9" s="108"/>
      <c r="O9" s="108"/>
      <c r="P9" s="109"/>
      <c r="Q9" s="1" t="s">
        <v>114</v>
      </c>
      <c r="R9" s="1" t="s">
        <v>311</v>
      </c>
      <c r="S9" s="1" t="s">
        <v>106</v>
      </c>
      <c r="T9" s="1" t="s">
        <v>107</v>
      </c>
      <c r="U9" s="1" t="s">
        <v>108</v>
      </c>
      <c r="V9" s="1" t="s">
        <v>235</v>
      </c>
      <c r="W9" s="98"/>
      <c r="X9" s="130"/>
      <c r="Y9" s="98"/>
      <c r="Z9" s="98"/>
      <c r="AA9" s="86"/>
      <c r="AB9" s="158"/>
      <c r="AC9" s="1"/>
      <c r="AD9" s="143"/>
      <c r="AE9" s="142"/>
    </row>
    <row r="10" spans="1:40" x14ac:dyDescent="0.25">
      <c r="A10" s="100"/>
      <c r="B10" s="9">
        <v>341</v>
      </c>
      <c r="C10" s="9" t="s">
        <v>390</v>
      </c>
      <c r="D10" s="9" t="s">
        <v>103</v>
      </c>
      <c r="E10" s="9" t="s">
        <v>117</v>
      </c>
      <c r="F10" s="9" t="s">
        <v>332</v>
      </c>
      <c r="G10" s="9" t="s">
        <v>106</v>
      </c>
      <c r="H10" s="9"/>
      <c r="I10" s="9"/>
      <c r="J10" s="9">
        <v>22.46</v>
      </c>
      <c r="K10" s="9">
        <v>17.544</v>
      </c>
      <c r="L10" s="11"/>
      <c r="M10" s="104">
        <f t="shared" ref="M10:N10" si="13">AVERAGE(J10:J13)</f>
        <v>22.5335</v>
      </c>
      <c r="N10" s="104">
        <f t="shared" si="13"/>
        <v>17.604499999999998</v>
      </c>
      <c r="O10" s="104"/>
      <c r="P10" s="89">
        <f t="shared" ref="P10" si="14">GEOMEAN(M10,N10)</f>
        <v>19.917103221854326</v>
      </c>
      <c r="Q10" s="1" t="s">
        <v>117</v>
      </c>
      <c r="R10" s="1" t="s">
        <v>311</v>
      </c>
      <c r="S10" s="1" t="s">
        <v>106</v>
      </c>
      <c r="T10" s="1" t="s">
        <v>107</v>
      </c>
      <c r="U10" s="1" t="s">
        <v>108</v>
      </c>
      <c r="V10" s="1">
        <v>31.548999999999999</v>
      </c>
      <c r="W10" s="96" t="e">
        <f t="shared" ref="W10" si="15">_xlfn.STDEV.S(V10:V13)</f>
        <v>#DIV/0!</v>
      </c>
      <c r="X10" s="128">
        <f t="shared" ref="X10" si="16">AVERAGE(V10:V13)</f>
        <v>31.548999999999999</v>
      </c>
      <c r="Y10" s="96">
        <f t="shared" ref="Y10" si="17">X10-P10</f>
        <v>11.631896778145673</v>
      </c>
      <c r="Z10" s="96">
        <f t="shared" ref="Z10" si="18">Y10-$AE$2</f>
        <v>-0.91812603109844737</v>
      </c>
      <c r="AA10" s="84">
        <f t="shared" ref="AA10" si="19">2^-Z10</f>
        <v>1.8896591518184069</v>
      </c>
      <c r="AB10" s="147"/>
      <c r="AC10" s="1">
        <f t="shared" ref="AC10" si="20">LOG(AA10,2)</f>
        <v>0.91812603109844737</v>
      </c>
      <c r="AD10" s="143"/>
      <c r="AE10" s="142"/>
    </row>
    <row r="11" spans="1:40" x14ac:dyDescent="0.25">
      <c r="A11" s="101"/>
      <c r="B11" s="1">
        <v>365</v>
      </c>
      <c r="C11" s="1" t="s">
        <v>402</v>
      </c>
      <c r="D11" s="1" t="s">
        <v>103</v>
      </c>
      <c r="E11" s="1" t="s">
        <v>117</v>
      </c>
      <c r="F11" s="1" t="s">
        <v>332</v>
      </c>
      <c r="G11" s="1" t="s">
        <v>106</v>
      </c>
      <c r="H11" s="1"/>
      <c r="I11" s="1"/>
      <c r="J11" s="1">
        <v>22.52</v>
      </c>
      <c r="K11" s="1">
        <v>17.760999999999999</v>
      </c>
      <c r="L11" s="14"/>
      <c r="M11" s="105"/>
      <c r="N11" s="105"/>
      <c r="O11" s="105"/>
      <c r="P11" s="90"/>
      <c r="Q11" s="1" t="s">
        <v>117</v>
      </c>
      <c r="R11" s="1" t="s">
        <v>311</v>
      </c>
      <c r="S11" s="1" t="s">
        <v>106</v>
      </c>
      <c r="T11" s="1" t="s">
        <v>107</v>
      </c>
      <c r="U11" s="1" t="s">
        <v>108</v>
      </c>
      <c r="V11" s="1" t="s">
        <v>235</v>
      </c>
      <c r="W11" s="97"/>
      <c r="X11" s="129"/>
      <c r="Y11" s="97"/>
      <c r="Z11" s="97"/>
      <c r="AA11" s="85"/>
      <c r="AB11" s="148"/>
      <c r="AC11" s="1"/>
      <c r="AD11" s="143"/>
      <c r="AE11" s="142"/>
    </row>
    <row r="12" spans="1:40" x14ac:dyDescent="0.25">
      <c r="A12" s="101"/>
      <c r="B12" s="1">
        <v>342</v>
      </c>
      <c r="C12" s="1" t="s">
        <v>391</v>
      </c>
      <c r="D12" s="1" t="s">
        <v>103</v>
      </c>
      <c r="E12" s="1" t="s">
        <v>117</v>
      </c>
      <c r="F12" s="1" t="s">
        <v>332</v>
      </c>
      <c r="G12" s="1" t="s">
        <v>106</v>
      </c>
      <c r="H12" s="1"/>
      <c r="I12" s="1"/>
      <c r="J12" s="1">
        <v>22.559000000000001</v>
      </c>
      <c r="K12" s="1">
        <v>17.477</v>
      </c>
      <c r="L12" s="14"/>
      <c r="M12" s="105"/>
      <c r="N12" s="105"/>
      <c r="O12" s="105"/>
      <c r="P12" s="90"/>
      <c r="Q12" s="1" t="s">
        <v>117</v>
      </c>
      <c r="R12" s="1" t="s">
        <v>311</v>
      </c>
      <c r="S12" s="1" t="s">
        <v>106</v>
      </c>
      <c r="T12" s="1" t="s">
        <v>107</v>
      </c>
      <c r="U12" s="1" t="s">
        <v>108</v>
      </c>
      <c r="V12" s="1" t="s">
        <v>235</v>
      </c>
      <c r="W12" s="97"/>
      <c r="X12" s="129"/>
      <c r="Y12" s="97"/>
      <c r="Z12" s="97"/>
      <c r="AA12" s="85"/>
      <c r="AB12" s="148"/>
      <c r="AC12" s="1"/>
      <c r="AD12" s="143"/>
      <c r="AE12" s="142"/>
    </row>
    <row r="13" spans="1:40" ht="15.75" thickBot="1" x14ac:dyDescent="0.3">
      <c r="A13" s="107"/>
      <c r="B13" s="83">
        <v>366</v>
      </c>
      <c r="C13" s="83" t="s">
        <v>403</v>
      </c>
      <c r="D13" s="83" t="s">
        <v>103</v>
      </c>
      <c r="E13" s="83" t="s">
        <v>117</v>
      </c>
      <c r="F13" s="83" t="s">
        <v>332</v>
      </c>
      <c r="G13" s="83" t="s">
        <v>106</v>
      </c>
      <c r="H13" s="83">
        <f t="shared" ref="H13" si="21">_xlfn.STDEV.S(K10:K13)</f>
        <v>0.12301896872704846</v>
      </c>
      <c r="I13" s="83">
        <f t="shared" ref="I13" si="22">_xlfn.STDEV.S(J10:J13)</f>
        <v>5.7784080852774096E-2</v>
      </c>
      <c r="J13" s="83">
        <v>22.594999999999999</v>
      </c>
      <c r="K13" s="83">
        <v>17.635999999999999</v>
      </c>
      <c r="L13" s="17"/>
      <c r="M13" s="108"/>
      <c r="N13" s="108"/>
      <c r="O13" s="108"/>
      <c r="P13" s="109"/>
      <c r="Q13" s="1" t="s">
        <v>117</v>
      </c>
      <c r="R13" s="1" t="s">
        <v>311</v>
      </c>
      <c r="S13" s="1" t="s">
        <v>106</v>
      </c>
      <c r="T13" s="1" t="s">
        <v>107</v>
      </c>
      <c r="U13" s="1" t="s">
        <v>108</v>
      </c>
      <c r="V13" s="1" t="s">
        <v>235</v>
      </c>
      <c r="W13" s="98"/>
      <c r="X13" s="130"/>
      <c r="Y13" s="98"/>
      <c r="Z13" s="98"/>
      <c r="AA13" s="86"/>
      <c r="AB13" s="149"/>
      <c r="AC13" s="1"/>
      <c r="AD13" s="143"/>
      <c r="AE13" s="142"/>
    </row>
    <row r="14" spans="1:40" x14ac:dyDescent="0.25">
      <c r="A14" s="100"/>
      <c r="B14" s="9">
        <v>343</v>
      </c>
      <c r="C14" s="9" t="s">
        <v>392</v>
      </c>
      <c r="D14" s="9" t="s">
        <v>103</v>
      </c>
      <c r="E14" s="9" t="s">
        <v>120</v>
      </c>
      <c r="F14" s="9" t="s">
        <v>332</v>
      </c>
      <c r="G14" s="9" t="s">
        <v>106</v>
      </c>
      <c r="H14" s="9"/>
      <c r="I14" s="9"/>
      <c r="J14" s="9">
        <v>22.733000000000001</v>
      </c>
      <c r="K14" s="9">
        <v>17.564</v>
      </c>
      <c r="L14" s="11"/>
      <c r="M14" s="104">
        <f t="shared" ref="M14:N14" si="23">AVERAGE(J14:J17)</f>
        <v>22.652999999999999</v>
      </c>
      <c r="N14" s="104">
        <f t="shared" si="23"/>
        <v>17.67475</v>
      </c>
      <c r="O14" s="104"/>
      <c r="P14" s="89">
        <f t="shared" ref="P14" si="24">GEOMEAN(M14,N14)</f>
        <v>20.009650465462908</v>
      </c>
      <c r="Q14" s="1" t="s">
        <v>120</v>
      </c>
      <c r="R14" s="1" t="s">
        <v>311</v>
      </c>
      <c r="S14" s="1" t="s">
        <v>106</v>
      </c>
      <c r="T14" s="1" t="s">
        <v>107</v>
      </c>
      <c r="U14" s="1" t="s">
        <v>108</v>
      </c>
      <c r="V14" s="1">
        <v>33.695999999999998</v>
      </c>
      <c r="W14" s="96">
        <f t="shared" ref="W14" si="25">_xlfn.STDEV.S(V14:V17)</f>
        <v>1.7978925626039681</v>
      </c>
      <c r="X14" s="128">
        <f t="shared" ref="X14" si="26">AVERAGE(V14:V17)</f>
        <v>34.047499999999999</v>
      </c>
      <c r="Y14" s="96">
        <f t="shared" ref="Y14" si="27">X14-P14</f>
        <v>14.037849534537092</v>
      </c>
      <c r="Z14" s="96">
        <f t="shared" ref="Z14" si="28">Y14-$AE$2</f>
        <v>1.4878267252929707</v>
      </c>
      <c r="AA14" s="84">
        <f t="shared" ref="AA14" si="29">2^-Z14</f>
        <v>0.35654925007247734</v>
      </c>
      <c r="AB14" s="147"/>
      <c r="AC14" s="1">
        <f t="shared" ref="AC14" si="30">LOG(AA14,2)</f>
        <v>-1.4878267252929707</v>
      </c>
      <c r="AD14" s="143"/>
      <c r="AE14" s="142"/>
    </row>
    <row r="15" spans="1:40" x14ac:dyDescent="0.25">
      <c r="A15" s="101"/>
      <c r="B15" s="1">
        <v>367</v>
      </c>
      <c r="C15" s="1" t="s">
        <v>404</v>
      </c>
      <c r="D15" s="1" t="s">
        <v>103</v>
      </c>
      <c r="E15" s="1" t="s">
        <v>120</v>
      </c>
      <c r="F15" s="1" t="s">
        <v>332</v>
      </c>
      <c r="G15" s="1" t="s">
        <v>106</v>
      </c>
      <c r="H15" s="1"/>
      <c r="I15" s="1"/>
      <c r="J15" s="1">
        <v>22.678000000000001</v>
      </c>
      <c r="K15" s="1">
        <v>17.535</v>
      </c>
      <c r="L15" s="14"/>
      <c r="M15" s="105"/>
      <c r="N15" s="105"/>
      <c r="O15" s="105"/>
      <c r="P15" s="90"/>
      <c r="Q15" s="1" t="s">
        <v>120</v>
      </c>
      <c r="R15" s="1" t="s">
        <v>311</v>
      </c>
      <c r="S15" s="1" t="s">
        <v>106</v>
      </c>
      <c r="T15" s="1" t="s">
        <v>107</v>
      </c>
      <c r="U15" s="1" t="s">
        <v>108</v>
      </c>
      <c r="V15" s="1">
        <v>36.433</v>
      </c>
      <c r="W15" s="97"/>
      <c r="X15" s="129"/>
      <c r="Y15" s="97"/>
      <c r="Z15" s="97"/>
      <c r="AA15" s="85"/>
      <c r="AB15" s="148"/>
      <c r="AC15" s="1"/>
      <c r="AD15" s="143"/>
      <c r="AE15" s="142"/>
    </row>
    <row r="16" spans="1:40" x14ac:dyDescent="0.25">
      <c r="A16" s="101"/>
      <c r="B16" s="1">
        <v>344</v>
      </c>
      <c r="C16" s="1" t="s">
        <v>393</v>
      </c>
      <c r="D16" s="1" t="s">
        <v>103</v>
      </c>
      <c r="E16" s="1" t="s">
        <v>120</v>
      </c>
      <c r="F16" s="1" t="s">
        <v>332</v>
      </c>
      <c r="G16" s="1" t="s">
        <v>106</v>
      </c>
      <c r="H16" s="1"/>
      <c r="I16" s="1"/>
      <c r="J16" s="1">
        <v>22.619</v>
      </c>
      <c r="K16" s="1">
        <v>17.882999999999999</v>
      </c>
      <c r="L16" s="14"/>
      <c r="M16" s="105"/>
      <c r="N16" s="105"/>
      <c r="O16" s="105"/>
      <c r="P16" s="90"/>
      <c r="Q16" s="1" t="s">
        <v>120</v>
      </c>
      <c r="R16" s="1" t="s">
        <v>311</v>
      </c>
      <c r="S16" s="1" t="s">
        <v>106</v>
      </c>
      <c r="T16" s="1" t="s">
        <v>107</v>
      </c>
      <c r="U16" s="1" t="s">
        <v>108</v>
      </c>
      <c r="V16" s="1">
        <v>33.982999999999997</v>
      </c>
      <c r="W16" s="97"/>
      <c r="X16" s="129"/>
      <c r="Y16" s="97"/>
      <c r="Z16" s="97"/>
      <c r="AA16" s="85"/>
      <c r="AB16" s="148"/>
      <c r="AC16" s="1"/>
      <c r="AD16" s="143"/>
      <c r="AE16" s="142"/>
    </row>
    <row r="17" spans="1:31" ht="15.75" thickBot="1" x14ac:dyDescent="0.3">
      <c r="A17" s="107"/>
      <c r="B17" s="83">
        <v>368</v>
      </c>
      <c r="C17" s="83" t="s">
        <v>405</v>
      </c>
      <c r="D17" s="83" t="s">
        <v>103</v>
      </c>
      <c r="E17" s="83" t="s">
        <v>120</v>
      </c>
      <c r="F17" s="83" t="s">
        <v>332</v>
      </c>
      <c r="G17" s="83" t="s">
        <v>106</v>
      </c>
      <c r="H17" s="83">
        <f t="shared" ref="H17" si="31">_xlfn.STDEV.S(K14:K17)</f>
        <v>0.16015487296155917</v>
      </c>
      <c r="I17" s="83">
        <f t="shared" ref="I17" si="32">_xlfn.STDEV.S(J14:J17)</f>
        <v>6.6387749874004212E-2</v>
      </c>
      <c r="J17" s="83">
        <v>22.582000000000001</v>
      </c>
      <c r="K17" s="83">
        <v>17.716999999999999</v>
      </c>
      <c r="L17" s="17"/>
      <c r="M17" s="108"/>
      <c r="N17" s="108"/>
      <c r="O17" s="108"/>
      <c r="P17" s="109"/>
      <c r="Q17" s="1" t="s">
        <v>120</v>
      </c>
      <c r="R17" s="1" t="s">
        <v>311</v>
      </c>
      <c r="S17" s="1" t="s">
        <v>106</v>
      </c>
      <c r="T17" s="1" t="s">
        <v>107</v>
      </c>
      <c r="U17" s="1" t="s">
        <v>108</v>
      </c>
      <c r="V17" s="1">
        <v>32.078000000000003</v>
      </c>
      <c r="W17" s="98"/>
      <c r="X17" s="130"/>
      <c r="Y17" s="98"/>
      <c r="Z17" s="98"/>
      <c r="AA17" s="86"/>
      <c r="AB17" s="149"/>
      <c r="AC17" s="1"/>
      <c r="AD17" s="143"/>
      <c r="AE17" s="142"/>
    </row>
    <row r="18" spans="1:31" x14ac:dyDescent="0.25">
      <c r="A18" s="100"/>
      <c r="B18" s="9">
        <v>345</v>
      </c>
      <c r="C18" s="9" t="s">
        <v>394</v>
      </c>
      <c r="D18" s="9" t="s">
        <v>103</v>
      </c>
      <c r="E18" s="9" t="s">
        <v>123</v>
      </c>
      <c r="F18" s="9" t="s">
        <v>332</v>
      </c>
      <c r="G18" s="9" t="s">
        <v>106</v>
      </c>
      <c r="H18" s="9"/>
      <c r="I18" s="9"/>
      <c r="J18" s="9">
        <v>23.177</v>
      </c>
      <c r="K18" s="9">
        <v>18.623999999999999</v>
      </c>
      <c r="L18" s="11"/>
      <c r="M18" s="104">
        <f t="shared" ref="M18:N18" si="33">AVERAGE(J18:J21)</f>
        <v>23.083500000000001</v>
      </c>
      <c r="N18" s="104">
        <f t="shared" si="33"/>
        <v>18.561250000000001</v>
      </c>
      <c r="O18" s="104"/>
      <c r="P18" s="89">
        <f t="shared" ref="P18" si="34">GEOMEAN(M18,N18)</f>
        <v>20.699241879233163</v>
      </c>
      <c r="Q18" s="1" t="s">
        <v>123</v>
      </c>
      <c r="R18" s="1" t="s">
        <v>311</v>
      </c>
      <c r="S18" s="1" t="s">
        <v>106</v>
      </c>
      <c r="T18" s="1" t="s">
        <v>107</v>
      </c>
      <c r="U18" s="1" t="s">
        <v>108</v>
      </c>
      <c r="V18" s="1">
        <v>33.643999999999998</v>
      </c>
      <c r="W18" s="96">
        <f t="shared" ref="W18" si="35">_xlfn.STDEV.S(V18:V21)</f>
        <v>0.97156283035804336</v>
      </c>
      <c r="X18" s="128">
        <f t="shared" ref="X18" si="36">AVERAGE(V18:V21)</f>
        <v>32.571666666666665</v>
      </c>
      <c r="Y18" s="96">
        <f t="shared" ref="Y18" si="37">X18-P18</f>
        <v>11.872424787433502</v>
      </c>
      <c r="Z18" s="96">
        <f t="shared" ref="Z18" si="38">Y18-$AE$2</f>
        <v>-0.67759802181061879</v>
      </c>
      <c r="AA18" s="84">
        <f t="shared" ref="AA18" si="39">2^-Z18</f>
        <v>1.5994745329055085</v>
      </c>
      <c r="AB18" s="144"/>
      <c r="AC18" s="1">
        <f t="shared" ref="AC18" si="40">LOG(AA18,2)</f>
        <v>0.67759802181061879</v>
      </c>
      <c r="AD18" s="143"/>
      <c r="AE18" s="142"/>
    </row>
    <row r="19" spans="1:31" x14ac:dyDescent="0.25">
      <c r="A19" s="101"/>
      <c r="B19" s="1">
        <v>369</v>
      </c>
      <c r="C19" s="1" t="s">
        <v>406</v>
      </c>
      <c r="D19" s="1" t="s">
        <v>103</v>
      </c>
      <c r="E19" s="1" t="s">
        <v>123</v>
      </c>
      <c r="F19" s="1" t="s">
        <v>332</v>
      </c>
      <c r="G19" s="1" t="s">
        <v>106</v>
      </c>
      <c r="H19" s="1"/>
      <c r="I19" s="1"/>
      <c r="J19" s="1">
        <v>23.096</v>
      </c>
      <c r="K19" s="1">
        <v>18.565999999999999</v>
      </c>
      <c r="L19" s="14"/>
      <c r="M19" s="105"/>
      <c r="N19" s="105"/>
      <c r="O19" s="105"/>
      <c r="P19" s="90"/>
      <c r="Q19" s="1" t="s">
        <v>123</v>
      </c>
      <c r="R19" s="1" t="s">
        <v>311</v>
      </c>
      <c r="S19" s="1" t="s">
        <v>106</v>
      </c>
      <c r="T19" s="1" t="s">
        <v>107</v>
      </c>
      <c r="U19" s="1" t="s">
        <v>108</v>
      </c>
      <c r="V19" s="1" t="s">
        <v>235</v>
      </c>
      <c r="W19" s="97"/>
      <c r="X19" s="129"/>
      <c r="Y19" s="97"/>
      <c r="Z19" s="97"/>
      <c r="AA19" s="85"/>
      <c r="AB19" s="145"/>
      <c r="AC19" s="1"/>
      <c r="AD19" s="143"/>
      <c r="AE19" s="142"/>
    </row>
    <row r="20" spans="1:31" x14ac:dyDescent="0.25">
      <c r="A20" s="101"/>
      <c r="B20" s="1">
        <v>346</v>
      </c>
      <c r="C20" s="1" t="s">
        <v>395</v>
      </c>
      <c r="D20" s="1" t="s">
        <v>103</v>
      </c>
      <c r="E20" s="1" t="s">
        <v>123</v>
      </c>
      <c r="F20" s="1" t="s">
        <v>332</v>
      </c>
      <c r="G20" s="1" t="s">
        <v>106</v>
      </c>
      <c r="H20" s="1"/>
      <c r="I20" s="1"/>
      <c r="J20" s="1">
        <v>22.966999999999999</v>
      </c>
      <c r="K20" s="1">
        <v>18.457000000000001</v>
      </c>
      <c r="L20" s="14"/>
      <c r="M20" s="105"/>
      <c r="N20" s="105"/>
      <c r="O20" s="105"/>
      <c r="P20" s="90"/>
      <c r="Q20" s="1" t="s">
        <v>123</v>
      </c>
      <c r="R20" s="1" t="s">
        <v>311</v>
      </c>
      <c r="S20" s="1" t="s">
        <v>106</v>
      </c>
      <c r="T20" s="1" t="s">
        <v>107</v>
      </c>
      <c r="U20" s="1" t="s">
        <v>108</v>
      </c>
      <c r="V20" s="1">
        <v>31.75</v>
      </c>
      <c r="W20" s="97"/>
      <c r="X20" s="129"/>
      <c r="Y20" s="97"/>
      <c r="Z20" s="97"/>
      <c r="AA20" s="85"/>
      <c r="AB20" s="145"/>
      <c r="AC20" s="1"/>
      <c r="AD20" s="143"/>
      <c r="AE20" s="142"/>
    </row>
    <row r="21" spans="1:31" ht="15.75" thickBot="1" x14ac:dyDescent="0.3">
      <c r="A21" s="107"/>
      <c r="B21" s="83">
        <v>370</v>
      </c>
      <c r="C21" s="83" t="s">
        <v>407</v>
      </c>
      <c r="D21" s="83" t="s">
        <v>103</v>
      </c>
      <c r="E21" s="83" t="s">
        <v>123</v>
      </c>
      <c r="F21" s="83" t="s">
        <v>332</v>
      </c>
      <c r="G21" s="83" t="s">
        <v>106</v>
      </c>
      <c r="H21" s="83">
        <f t="shared" ref="H21" si="41">_xlfn.STDEV.S(K18:K21)</f>
        <v>7.3436480489376232E-2</v>
      </c>
      <c r="I21" s="83">
        <f t="shared" ref="I21" si="42">_xlfn.STDEV.S(J18:J21)</f>
        <v>8.675828490697636E-2</v>
      </c>
      <c r="J21" s="83">
        <v>23.094000000000001</v>
      </c>
      <c r="K21" s="83">
        <v>18.597999999999999</v>
      </c>
      <c r="L21" s="17"/>
      <c r="M21" s="108"/>
      <c r="N21" s="108"/>
      <c r="O21" s="108"/>
      <c r="P21" s="109"/>
      <c r="Q21" s="1" t="s">
        <v>123</v>
      </c>
      <c r="R21" s="1" t="s">
        <v>311</v>
      </c>
      <c r="S21" s="1" t="s">
        <v>106</v>
      </c>
      <c r="T21" s="1" t="s">
        <v>107</v>
      </c>
      <c r="U21" s="1" t="s">
        <v>108</v>
      </c>
      <c r="V21" s="1">
        <v>32.320999999999998</v>
      </c>
      <c r="W21" s="98"/>
      <c r="X21" s="130"/>
      <c r="Y21" s="98"/>
      <c r="Z21" s="98"/>
      <c r="AA21" s="86"/>
      <c r="AB21" s="146"/>
      <c r="AC21" s="1"/>
      <c r="AD21" s="143"/>
      <c r="AE21" s="142"/>
    </row>
    <row r="22" spans="1:31" x14ac:dyDescent="0.25">
      <c r="A22" s="100"/>
      <c r="B22" s="9">
        <v>347</v>
      </c>
      <c r="C22" s="9" t="s">
        <v>396</v>
      </c>
      <c r="D22" s="9" t="s">
        <v>103</v>
      </c>
      <c r="E22" s="9" t="s">
        <v>126</v>
      </c>
      <c r="F22" s="9" t="s">
        <v>332</v>
      </c>
      <c r="G22" s="9" t="s">
        <v>106</v>
      </c>
      <c r="H22" s="9"/>
      <c r="I22" s="9"/>
      <c r="J22" s="9">
        <v>22.98</v>
      </c>
      <c r="K22" s="9">
        <v>18.567</v>
      </c>
      <c r="L22" s="11"/>
      <c r="M22" s="104">
        <f t="shared" ref="M22:N22" si="43">AVERAGE(J22:J25)</f>
        <v>22.962500000000002</v>
      </c>
      <c r="N22" s="104">
        <f t="shared" si="43"/>
        <v>18.500999999999998</v>
      </c>
      <c r="O22" s="104"/>
      <c r="P22" s="89">
        <f t="shared" ref="P22" si="44">GEOMEAN(M22,N22)</f>
        <v>20.61138550655923</v>
      </c>
      <c r="Q22" s="1" t="s">
        <v>126</v>
      </c>
      <c r="R22" s="1" t="s">
        <v>311</v>
      </c>
      <c r="S22" s="1" t="s">
        <v>106</v>
      </c>
      <c r="T22" s="1" t="s">
        <v>107</v>
      </c>
      <c r="U22" s="1" t="s">
        <v>108</v>
      </c>
      <c r="V22" s="1">
        <v>32.127000000000002</v>
      </c>
      <c r="W22" s="96">
        <f t="shared" ref="W22" si="45">_xlfn.STDEV.S(V22:V25)</f>
        <v>0.87129343507224999</v>
      </c>
      <c r="X22" s="128">
        <f t="shared" ref="X22" si="46">AVERAGE(V22:V25)</f>
        <v>32.523750000000007</v>
      </c>
      <c r="Y22" s="96">
        <f t="shared" ref="Y22" si="47">X22-P22</f>
        <v>11.912364493440776</v>
      </c>
      <c r="Z22" s="96">
        <f t="shared" ref="Z22" si="48">Y22-$AE$2</f>
        <v>-0.63765831580334442</v>
      </c>
      <c r="AA22" s="84">
        <f t="shared" ref="AA22" si="49">2^-Z22</f>
        <v>1.5558018373528959</v>
      </c>
      <c r="AB22" s="144"/>
      <c r="AC22" s="1">
        <f t="shared" ref="AC22" si="50">LOG(AA22,2)</f>
        <v>0.63765831580334442</v>
      </c>
      <c r="AD22" s="143"/>
      <c r="AE22" s="142"/>
    </row>
    <row r="23" spans="1:31" x14ac:dyDescent="0.25">
      <c r="A23" s="101"/>
      <c r="B23" s="1">
        <v>371</v>
      </c>
      <c r="C23" s="1" t="s">
        <v>408</v>
      </c>
      <c r="D23" s="1" t="s">
        <v>103</v>
      </c>
      <c r="E23" s="1" t="s">
        <v>126</v>
      </c>
      <c r="F23" s="1" t="s">
        <v>332</v>
      </c>
      <c r="G23" s="1" t="s">
        <v>106</v>
      </c>
      <c r="H23" s="1"/>
      <c r="I23" s="1"/>
      <c r="J23" s="1">
        <v>22.972000000000001</v>
      </c>
      <c r="K23" s="1">
        <v>18.613</v>
      </c>
      <c r="L23" s="14"/>
      <c r="M23" s="105"/>
      <c r="N23" s="105"/>
      <c r="O23" s="105"/>
      <c r="P23" s="90"/>
      <c r="Q23" s="1" t="s">
        <v>126</v>
      </c>
      <c r="R23" s="1" t="s">
        <v>311</v>
      </c>
      <c r="S23" s="1" t="s">
        <v>106</v>
      </c>
      <c r="T23" s="1" t="s">
        <v>107</v>
      </c>
      <c r="U23" s="1" t="s">
        <v>108</v>
      </c>
      <c r="V23" s="1">
        <v>32.834000000000003</v>
      </c>
      <c r="W23" s="97"/>
      <c r="X23" s="129"/>
      <c r="Y23" s="97"/>
      <c r="Z23" s="97"/>
      <c r="AA23" s="85"/>
      <c r="AB23" s="145"/>
      <c r="AC23" s="1"/>
      <c r="AD23" s="143"/>
      <c r="AE23" s="142"/>
    </row>
    <row r="24" spans="1:31" x14ac:dyDescent="0.25">
      <c r="A24" s="101"/>
      <c r="B24" s="1">
        <v>348</v>
      </c>
      <c r="C24" s="1" t="s">
        <v>397</v>
      </c>
      <c r="D24" s="1" t="s">
        <v>103</v>
      </c>
      <c r="E24" s="1" t="s">
        <v>126</v>
      </c>
      <c r="F24" s="1" t="s">
        <v>332</v>
      </c>
      <c r="G24" s="1" t="s">
        <v>106</v>
      </c>
      <c r="H24" s="1"/>
      <c r="I24" s="1"/>
      <c r="J24" s="1">
        <v>22.96</v>
      </c>
      <c r="K24" s="1">
        <v>18.332999999999998</v>
      </c>
      <c r="L24" s="14"/>
      <c r="M24" s="105"/>
      <c r="N24" s="105"/>
      <c r="O24" s="105"/>
      <c r="P24" s="90"/>
      <c r="Q24" s="1" t="s">
        <v>126</v>
      </c>
      <c r="R24" s="1" t="s">
        <v>311</v>
      </c>
      <c r="S24" s="1" t="s">
        <v>106</v>
      </c>
      <c r="T24" s="1" t="s">
        <v>107</v>
      </c>
      <c r="U24" s="1" t="s">
        <v>108</v>
      </c>
      <c r="V24" s="1">
        <v>31.562000000000001</v>
      </c>
      <c r="W24" s="97"/>
      <c r="X24" s="129"/>
      <c r="Y24" s="97"/>
      <c r="Z24" s="97"/>
      <c r="AA24" s="85"/>
      <c r="AB24" s="145"/>
      <c r="AC24" s="1"/>
      <c r="AD24" s="143"/>
      <c r="AE24" s="142"/>
    </row>
    <row r="25" spans="1:31" ht="15.75" thickBot="1" x14ac:dyDescent="0.3">
      <c r="A25" s="107"/>
      <c r="B25" s="83">
        <v>372</v>
      </c>
      <c r="C25" s="83" t="s">
        <v>409</v>
      </c>
      <c r="D25" s="83" t="s">
        <v>103</v>
      </c>
      <c r="E25" s="83" t="s">
        <v>126</v>
      </c>
      <c r="F25" s="83" t="s">
        <v>332</v>
      </c>
      <c r="G25" s="83" t="s">
        <v>106</v>
      </c>
      <c r="H25" s="83">
        <f t="shared" ref="H25" si="51">_xlfn.STDEV.S(K22:K25)</f>
        <v>0.12277893413231286</v>
      </c>
      <c r="I25" s="83">
        <f t="shared" ref="I25" si="52">_xlfn.STDEV.S(J22:J25)</f>
        <v>1.8284784202537482E-2</v>
      </c>
      <c r="J25" s="83">
        <v>22.937999999999999</v>
      </c>
      <c r="K25" s="83">
        <v>18.491</v>
      </c>
      <c r="L25" s="17"/>
      <c r="M25" s="108"/>
      <c r="N25" s="108"/>
      <c r="O25" s="108"/>
      <c r="P25" s="109"/>
      <c r="Q25" s="1" t="s">
        <v>126</v>
      </c>
      <c r="R25" s="1" t="s">
        <v>311</v>
      </c>
      <c r="S25" s="1" t="s">
        <v>106</v>
      </c>
      <c r="T25" s="1" t="s">
        <v>107</v>
      </c>
      <c r="U25" s="1" t="s">
        <v>108</v>
      </c>
      <c r="V25" s="1">
        <v>33.572000000000003</v>
      </c>
      <c r="W25" s="98"/>
      <c r="X25" s="130"/>
      <c r="Y25" s="98"/>
      <c r="Z25" s="98"/>
      <c r="AA25" s="86"/>
      <c r="AB25" s="146"/>
      <c r="AC25" s="1"/>
      <c r="AD25" s="143"/>
      <c r="AE25" s="142"/>
    </row>
    <row r="26" spans="1:31" x14ac:dyDescent="0.25">
      <c r="A26" s="100"/>
      <c r="B26" s="9">
        <v>337</v>
      </c>
      <c r="C26" s="9" t="s">
        <v>386</v>
      </c>
      <c r="D26" s="9" t="s">
        <v>103</v>
      </c>
      <c r="E26" s="9" t="s">
        <v>416</v>
      </c>
      <c r="F26" s="9" t="s">
        <v>332</v>
      </c>
      <c r="G26" s="9" t="s">
        <v>106</v>
      </c>
      <c r="H26" s="9"/>
      <c r="I26" s="9"/>
      <c r="J26" s="9">
        <v>22.983000000000001</v>
      </c>
      <c r="K26" s="9">
        <v>18.667000000000002</v>
      </c>
      <c r="L26" s="11"/>
      <c r="M26" s="104">
        <f t="shared" ref="M26:N26" si="53">AVERAGE(J26:J29)</f>
        <v>23.02</v>
      </c>
      <c r="N26" s="104">
        <f t="shared" si="53"/>
        <v>18.7575</v>
      </c>
      <c r="O26" s="104"/>
      <c r="P26" s="89">
        <f t="shared" ref="P26" si="54">GEOMEAN(M26,N26)</f>
        <v>20.779741336214943</v>
      </c>
      <c r="Q26" s="1" t="s">
        <v>416</v>
      </c>
      <c r="R26" s="1" t="s">
        <v>311</v>
      </c>
      <c r="S26" s="1" t="s">
        <v>106</v>
      </c>
      <c r="T26" s="1" t="s">
        <v>107</v>
      </c>
      <c r="U26" s="1" t="s">
        <v>108</v>
      </c>
      <c r="V26" s="1" t="s">
        <v>235</v>
      </c>
      <c r="W26" s="96">
        <f t="shared" ref="W26" si="55">_xlfn.STDEV.S(V26:V29)</f>
        <v>0.64184915154055844</v>
      </c>
      <c r="X26" s="128">
        <f t="shared" ref="X26" si="56">AVERAGE(V26:V29)</f>
        <v>32.342333333333336</v>
      </c>
      <c r="Y26" s="96">
        <f t="shared" ref="Y26" si="57">X26-P26</f>
        <v>11.562591997118393</v>
      </c>
      <c r="Z26" s="96">
        <f>Y26-$AE$4</f>
        <v>-0.28578564168428322</v>
      </c>
      <c r="AA26" s="84">
        <f t="shared" ref="AA26" si="58">2^-Z26</f>
        <v>1.2190739483417852</v>
      </c>
      <c r="AB26" s="139"/>
      <c r="AC26" s="1">
        <f t="shared" ref="AC26" si="59">LOG(AA26,2)</f>
        <v>0.28578564168428311</v>
      </c>
      <c r="AD26" s="143"/>
      <c r="AE26" s="142"/>
    </row>
    <row r="27" spans="1:31" x14ac:dyDescent="0.25">
      <c r="A27" s="101"/>
      <c r="B27" s="1">
        <v>361</v>
      </c>
      <c r="C27" s="1" t="s">
        <v>398</v>
      </c>
      <c r="D27" s="1" t="s">
        <v>103</v>
      </c>
      <c r="E27" s="1" t="s">
        <v>416</v>
      </c>
      <c r="F27" s="1" t="s">
        <v>332</v>
      </c>
      <c r="G27" s="1" t="s">
        <v>106</v>
      </c>
      <c r="H27" s="1"/>
      <c r="I27" s="1"/>
      <c r="J27" s="1">
        <v>22.923999999999999</v>
      </c>
      <c r="K27" s="1">
        <v>18.940000000000001</v>
      </c>
      <c r="L27" s="14"/>
      <c r="M27" s="105"/>
      <c r="N27" s="105"/>
      <c r="O27" s="105"/>
      <c r="P27" s="90"/>
      <c r="Q27" s="1" t="s">
        <v>416</v>
      </c>
      <c r="R27" s="1" t="s">
        <v>311</v>
      </c>
      <c r="S27" s="1" t="s">
        <v>106</v>
      </c>
      <c r="T27" s="1" t="s">
        <v>107</v>
      </c>
      <c r="U27" s="1" t="s">
        <v>108</v>
      </c>
      <c r="V27" s="1">
        <v>31.605</v>
      </c>
      <c r="W27" s="97"/>
      <c r="X27" s="129"/>
      <c r="Y27" s="97"/>
      <c r="Z27" s="97"/>
      <c r="AA27" s="85"/>
      <c r="AB27" s="140"/>
      <c r="AC27" s="1"/>
      <c r="AD27" s="143"/>
      <c r="AE27" s="142"/>
    </row>
    <row r="28" spans="1:31" x14ac:dyDescent="0.25">
      <c r="A28" s="101"/>
      <c r="B28" s="1">
        <v>338</v>
      </c>
      <c r="C28" s="1" t="s">
        <v>387</v>
      </c>
      <c r="D28" s="1" t="s">
        <v>103</v>
      </c>
      <c r="E28" s="1" t="s">
        <v>416</v>
      </c>
      <c r="F28" s="1" t="s">
        <v>332</v>
      </c>
      <c r="G28" s="1" t="s">
        <v>106</v>
      </c>
      <c r="H28" s="1"/>
      <c r="I28" s="1"/>
      <c r="J28" s="1">
        <v>23.096</v>
      </c>
      <c r="K28" s="1">
        <v>18.649000000000001</v>
      </c>
      <c r="L28" s="14"/>
      <c r="M28" s="105"/>
      <c r="N28" s="105"/>
      <c r="O28" s="105"/>
      <c r="P28" s="90"/>
      <c r="Q28" s="1" t="s">
        <v>416</v>
      </c>
      <c r="R28" s="1" t="s">
        <v>311</v>
      </c>
      <c r="S28" s="1" t="s">
        <v>106</v>
      </c>
      <c r="T28" s="1" t="s">
        <v>107</v>
      </c>
      <c r="U28" s="1" t="s">
        <v>108</v>
      </c>
      <c r="V28" s="1">
        <v>32.776000000000003</v>
      </c>
      <c r="W28" s="97"/>
      <c r="X28" s="129"/>
      <c r="Y28" s="97"/>
      <c r="Z28" s="97"/>
      <c r="AA28" s="85"/>
      <c r="AB28" s="140"/>
      <c r="AC28" s="1"/>
      <c r="AD28" s="143"/>
      <c r="AE28" s="142"/>
    </row>
    <row r="29" spans="1:31" ht="15.75" thickBot="1" x14ac:dyDescent="0.3">
      <c r="A29" s="107"/>
      <c r="B29" s="83">
        <v>362</v>
      </c>
      <c r="C29" s="83" t="s">
        <v>399</v>
      </c>
      <c r="D29" s="83" t="s">
        <v>103</v>
      </c>
      <c r="E29" s="83" t="s">
        <v>416</v>
      </c>
      <c r="F29" s="83" t="s">
        <v>332</v>
      </c>
      <c r="G29" s="83" t="s">
        <v>106</v>
      </c>
      <c r="H29" s="83">
        <f t="shared" ref="H29" si="60">_xlfn.STDEV.S(K26:K29)</f>
        <v>0.13359266446927393</v>
      </c>
      <c r="I29" s="83">
        <f t="shared" ref="I29" si="61">_xlfn.STDEV.S(J26:J29)</f>
        <v>8.0849654709632221E-2</v>
      </c>
      <c r="J29" s="83">
        <v>23.077000000000002</v>
      </c>
      <c r="K29" s="83">
        <v>18.774000000000001</v>
      </c>
      <c r="L29" s="17"/>
      <c r="M29" s="108"/>
      <c r="N29" s="108"/>
      <c r="O29" s="108"/>
      <c r="P29" s="109"/>
      <c r="Q29" s="1" t="s">
        <v>416</v>
      </c>
      <c r="R29" s="1" t="s">
        <v>311</v>
      </c>
      <c r="S29" s="1" t="s">
        <v>106</v>
      </c>
      <c r="T29" s="1" t="s">
        <v>107</v>
      </c>
      <c r="U29" s="1" t="s">
        <v>108</v>
      </c>
      <c r="V29" s="1">
        <v>32.646000000000001</v>
      </c>
      <c r="W29" s="98"/>
      <c r="X29" s="130"/>
      <c r="Y29" s="98"/>
      <c r="Z29" s="98"/>
      <c r="AA29" s="86"/>
      <c r="AB29" s="141"/>
      <c r="AC29" s="1"/>
      <c r="AD29" s="143"/>
      <c r="AE29" s="142"/>
    </row>
    <row r="30" spans="1:31" x14ac:dyDescent="0.25">
      <c r="A30" s="100"/>
      <c r="B30" s="9">
        <v>339</v>
      </c>
      <c r="C30" s="9" t="s">
        <v>388</v>
      </c>
      <c r="D30" s="9" t="s">
        <v>103</v>
      </c>
      <c r="E30" s="9" t="s">
        <v>417</v>
      </c>
      <c r="F30" s="9" t="s">
        <v>332</v>
      </c>
      <c r="G30" s="9" t="s">
        <v>106</v>
      </c>
      <c r="H30" s="9"/>
      <c r="I30" s="9"/>
      <c r="J30" s="9">
        <v>22.806000000000001</v>
      </c>
      <c r="K30" s="9">
        <v>18.515000000000001</v>
      </c>
      <c r="L30" s="11"/>
      <c r="M30" s="104">
        <f t="shared" ref="M30:N30" si="62">AVERAGE(J30:J33)</f>
        <v>22.781750000000002</v>
      </c>
      <c r="N30" s="104">
        <f t="shared" si="62"/>
        <v>18.29025</v>
      </c>
      <c r="O30" s="104"/>
      <c r="P30" s="89">
        <f t="shared" ref="P30" si="63">GEOMEAN(M30,N30)</f>
        <v>20.412836719513045</v>
      </c>
      <c r="Q30" s="1" t="s">
        <v>417</v>
      </c>
      <c r="R30" s="1" t="s">
        <v>311</v>
      </c>
      <c r="S30" s="1" t="s">
        <v>106</v>
      </c>
      <c r="T30" s="1" t="s">
        <v>107</v>
      </c>
      <c r="U30" s="1" t="s">
        <v>108</v>
      </c>
      <c r="V30" s="1" t="s">
        <v>235</v>
      </c>
      <c r="W30" s="96">
        <f t="shared" ref="W30" si="64">_xlfn.STDEV.S(V30:V33)</f>
        <v>0.84264286622507012</v>
      </c>
      <c r="X30" s="128">
        <f t="shared" ref="X30" si="65">AVERAGE(V30:V33)</f>
        <v>32.547000000000004</v>
      </c>
      <c r="Y30" s="96">
        <f t="shared" ref="Y30" si="66">X30-P30</f>
        <v>12.134163280486959</v>
      </c>
      <c r="Z30" s="96">
        <f t="shared" ref="Z30" si="67">Y30-$AE$4</f>
        <v>0.28578564168428322</v>
      </c>
      <c r="AA30" s="84">
        <f t="shared" ref="AA30" si="68">2^-Z30</f>
        <v>0.82029478306892289</v>
      </c>
      <c r="AB30" s="139"/>
      <c r="AC30" s="1">
        <f t="shared" ref="AC30" si="69">LOG(AA30,2)</f>
        <v>-0.28578564168428311</v>
      </c>
      <c r="AD30" s="1"/>
      <c r="AE30" s="1"/>
    </row>
    <row r="31" spans="1:31" x14ac:dyDescent="0.25">
      <c r="A31" s="101"/>
      <c r="B31" s="1">
        <v>363</v>
      </c>
      <c r="C31" s="1" t="s">
        <v>400</v>
      </c>
      <c r="D31" s="1" t="s">
        <v>103</v>
      </c>
      <c r="E31" s="1" t="s">
        <v>417</v>
      </c>
      <c r="F31" s="1" t="s">
        <v>332</v>
      </c>
      <c r="G31" s="1" t="s">
        <v>106</v>
      </c>
      <c r="H31" s="1"/>
      <c r="I31" s="1"/>
      <c r="J31" s="1">
        <v>22.748999999999999</v>
      </c>
      <c r="K31" s="1">
        <v>18.596</v>
      </c>
      <c r="L31" s="14"/>
      <c r="M31" s="105"/>
      <c r="N31" s="105"/>
      <c r="O31" s="105"/>
      <c r="P31" s="90"/>
      <c r="Q31" s="1" t="s">
        <v>417</v>
      </c>
      <c r="R31" s="1" t="s">
        <v>311</v>
      </c>
      <c r="S31" s="1" t="s">
        <v>106</v>
      </c>
      <c r="T31" s="1" t="s">
        <v>107</v>
      </c>
      <c r="U31" s="1" t="s">
        <v>108</v>
      </c>
      <c r="V31" s="1">
        <v>32.649000000000001</v>
      </c>
      <c r="W31" s="97"/>
      <c r="X31" s="129"/>
      <c r="Y31" s="97"/>
      <c r="Z31" s="97"/>
      <c r="AA31" s="85"/>
      <c r="AB31" s="140"/>
      <c r="AC31" s="1"/>
      <c r="AD31" s="1"/>
      <c r="AE31" s="1"/>
    </row>
    <row r="32" spans="1:31" x14ac:dyDescent="0.25">
      <c r="A32" s="101"/>
      <c r="B32" s="1">
        <v>340</v>
      </c>
      <c r="C32" s="1" t="s">
        <v>389</v>
      </c>
      <c r="D32" s="1" t="s">
        <v>103</v>
      </c>
      <c r="E32" s="1" t="s">
        <v>417</v>
      </c>
      <c r="F32" s="1" t="s">
        <v>332</v>
      </c>
      <c r="G32" s="1" t="s">
        <v>106</v>
      </c>
      <c r="H32" s="1"/>
      <c r="I32" s="1"/>
      <c r="J32" s="1">
        <v>22.742999999999999</v>
      </c>
      <c r="K32" s="1">
        <v>18.411999999999999</v>
      </c>
      <c r="L32" s="14"/>
      <c r="M32" s="105"/>
      <c r="N32" s="105"/>
      <c r="O32" s="105"/>
      <c r="P32" s="90"/>
      <c r="Q32" s="1" t="s">
        <v>417</v>
      </c>
      <c r="R32" s="1" t="s">
        <v>311</v>
      </c>
      <c r="S32" s="1" t="s">
        <v>106</v>
      </c>
      <c r="T32" s="1" t="s">
        <v>107</v>
      </c>
      <c r="U32" s="1" t="s">
        <v>108</v>
      </c>
      <c r="V32" s="1">
        <v>31.658000000000001</v>
      </c>
      <c r="W32" s="97"/>
      <c r="X32" s="129"/>
      <c r="Y32" s="97"/>
      <c r="Z32" s="97"/>
      <c r="AA32" s="85"/>
      <c r="AB32" s="140"/>
      <c r="AC32" s="1"/>
      <c r="AD32" s="1"/>
      <c r="AE32" s="1"/>
    </row>
    <row r="33" spans="1:31" ht="15.75" thickBot="1" x14ac:dyDescent="0.3">
      <c r="A33" s="107"/>
      <c r="B33" s="83">
        <v>364</v>
      </c>
      <c r="C33" s="83" t="s">
        <v>401</v>
      </c>
      <c r="D33" s="83" t="s">
        <v>103</v>
      </c>
      <c r="E33" s="83" t="s">
        <v>417</v>
      </c>
      <c r="F33" s="83" t="s">
        <v>332</v>
      </c>
      <c r="G33" s="83" t="s">
        <v>106</v>
      </c>
      <c r="H33" s="83">
        <f t="shared" ref="H33" si="70">_xlfn.STDEV.S(K30:K33)</f>
        <v>0.44130441118725816</v>
      </c>
      <c r="I33" s="83">
        <f t="shared" ref="I33" si="71">_xlfn.STDEV.S(J30:J33)</f>
        <v>4.2405777908206085E-2</v>
      </c>
      <c r="J33" s="83">
        <v>22.829000000000001</v>
      </c>
      <c r="K33" s="83">
        <v>17.638000000000002</v>
      </c>
      <c r="L33" s="17"/>
      <c r="M33" s="108"/>
      <c r="N33" s="108"/>
      <c r="O33" s="108"/>
      <c r="P33" s="109"/>
      <c r="Q33" s="1" t="s">
        <v>417</v>
      </c>
      <c r="R33" s="1" t="s">
        <v>311</v>
      </c>
      <c r="S33" s="1" t="s">
        <v>106</v>
      </c>
      <c r="T33" s="1" t="s">
        <v>107</v>
      </c>
      <c r="U33" s="1" t="s">
        <v>108</v>
      </c>
      <c r="V33" s="1">
        <v>33.334000000000003</v>
      </c>
      <c r="W33" s="98"/>
      <c r="X33" s="130"/>
      <c r="Y33" s="98"/>
      <c r="Z33" s="98"/>
      <c r="AA33" s="86"/>
      <c r="AB33" s="141"/>
      <c r="AC33" s="1"/>
      <c r="AD33" s="1"/>
      <c r="AE33" s="1"/>
    </row>
    <row r="34" spans="1:31" x14ac:dyDescent="0.25">
      <c r="A34" s="100"/>
      <c r="B34" s="9">
        <v>341</v>
      </c>
      <c r="C34" s="9" t="s">
        <v>390</v>
      </c>
      <c r="D34" s="9" t="s">
        <v>103</v>
      </c>
      <c r="E34" s="9" t="s">
        <v>418</v>
      </c>
      <c r="F34" s="9" t="s">
        <v>332</v>
      </c>
      <c r="G34" s="9" t="s">
        <v>106</v>
      </c>
      <c r="H34" s="9"/>
      <c r="I34" s="9"/>
      <c r="J34" s="9">
        <v>22.611000000000001</v>
      </c>
      <c r="K34" s="9">
        <v>18.010000000000002</v>
      </c>
      <c r="L34" s="11"/>
      <c r="M34" s="104">
        <f t="shared" ref="M34:N34" si="72">AVERAGE(J34:J37)</f>
        <v>22.61225</v>
      </c>
      <c r="N34" s="104">
        <f t="shared" si="72"/>
        <v>18.068000000000001</v>
      </c>
      <c r="O34" s="104"/>
      <c r="P34" s="89">
        <f t="shared" ref="P34" si="73">GEOMEAN(M34,N34)</f>
        <v>20.21282100549055</v>
      </c>
      <c r="Q34" s="1" t="s">
        <v>418</v>
      </c>
      <c r="R34" s="1" t="s">
        <v>311</v>
      </c>
      <c r="S34" s="1" t="s">
        <v>106</v>
      </c>
      <c r="T34" s="1" t="s">
        <v>107</v>
      </c>
      <c r="U34" s="1" t="s">
        <v>108</v>
      </c>
      <c r="V34" s="1">
        <v>33.579000000000001</v>
      </c>
      <c r="W34" s="96">
        <f t="shared" ref="W34" si="74">_xlfn.STDEV.S(V34:V37)</f>
        <v>1.0541961787700307</v>
      </c>
      <c r="X34" s="128">
        <f t="shared" ref="X34" si="75">AVERAGE(V34:V37)</f>
        <v>32.10575</v>
      </c>
      <c r="Y34" s="96">
        <f t="shared" ref="Y34" si="76">X34-P34</f>
        <v>11.89292899450945</v>
      </c>
      <c r="Z34" s="96">
        <f t="shared" ref="Z34" si="77">Y34-$AE$4</f>
        <v>4.4551355706774487E-2</v>
      </c>
      <c r="AA34" s="84">
        <f t="shared" ref="AA34" si="78">2^-Z34</f>
        <v>0.96959129018904111</v>
      </c>
      <c r="AB34" s="136"/>
      <c r="AC34" s="1">
        <f t="shared" ref="AC34" si="79">LOG(AA34,2)</f>
        <v>-4.4551355706774383E-2</v>
      </c>
      <c r="AD34" s="1"/>
      <c r="AE34" s="1"/>
    </row>
    <row r="35" spans="1:31" x14ac:dyDescent="0.25">
      <c r="A35" s="101"/>
      <c r="B35" s="1">
        <v>365</v>
      </c>
      <c r="C35" s="1" t="s">
        <v>402</v>
      </c>
      <c r="D35" s="1" t="s">
        <v>103</v>
      </c>
      <c r="E35" s="1" t="s">
        <v>418</v>
      </c>
      <c r="F35" s="1" t="s">
        <v>332</v>
      </c>
      <c r="G35" s="1" t="s">
        <v>106</v>
      </c>
      <c r="H35" s="1"/>
      <c r="I35" s="1"/>
      <c r="J35" s="1">
        <v>22.594000000000001</v>
      </c>
      <c r="K35" s="1">
        <v>18.193000000000001</v>
      </c>
      <c r="L35" s="14"/>
      <c r="M35" s="105"/>
      <c r="N35" s="105"/>
      <c r="O35" s="105"/>
      <c r="P35" s="90"/>
      <c r="Q35" s="1" t="s">
        <v>418</v>
      </c>
      <c r="R35" s="1" t="s">
        <v>311</v>
      </c>
      <c r="S35" s="1" t="s">
        <v>106</v>
      </c>
      <c r="T35" s="1" t="s">
        <v>107</v>
      </c>
      <c r="U35" s="1" t="s">
        <v>108</v>
      </c>
      <c r="V35" s="1">
        <v>31.606000000000002</v>
      </c>
      <c r="W35" s="97"/>
      <c r="X35" s="129"/>
      <c r="Y35" s="97"/>
      <c r="Z35" s="97"/>
      <c r="AA35" s="85"/>
      <c r="AB35" s="137"/>
      <c r="AC35" s="1"/>
      <c r="AD35" s="1"/>
      <c r="AE35" s="1"/>
    </row>
    <row r="36" spans="1:31" x14ac:dyDescent="0.25">
      <c r="A36" s="101"/>
      <c r="B36" s="1">
        <v>342</v>
      </c>
      <c r="C36" s="1" t="s">
        <v>391</v>
      </c>
      <c r="D36" s="1" t="s">
        <v>103</v>
      </c>
      <c r="E36" s="1" t="s">
        <v>418</v>
      </c>
      <c r="F36" s="1" t="s">
        <v>332</v>
      </c>
      <c r="G36" s="1" t="s">
        <v>106</v>
      </c>
      <c r="H36" s="1"/>
      <c r="I36" s="1"/>
      <c r="J36" s="1">
        <v>22.55</v>
      </c>
      <c r="K36" s="1">
        <v>17.946000000000002</v>
      </c>
      <c r="L36" s="14"/>
      <c r="M36" s="105"/>
      <c r="N36" s="105"/>
      <c r="O36" s="105"/>
      <c r="P36" s="90"/>
      <c r="Q36" s="1" t="s">
        <v>418</v>
      </c>
      <c r="R36" s="1" t="s">
        <v>311</v>
      </c>
      <c r="S36" s="1" t="s">
        <v>106</v>
      </c>
      <c r="T36" s="1" t="s">
        <v>107</v>
      </c>
      <c r="U36" s="1" t="s">
        <v>108</v>
      </c>
      <c r="V36" s="1">
        <v>31.15</v>
      </c>
      <c r="W36" s="97"/>
      <c r="X36" s="129"/>
      <c r="Y36" s="97"/>
      <c r="Z36" s="97"/>
      <c r="AA36" s="85"/>
      <c r="AB36" s="137"/>
      <c r="AC36" s="1"/>
      <c r="AD36" s="1"/>
      <c r="AE36" s="1"/>
    </row>
    <row r="37" spans="1:31" ht="15.75" thickBot="1" x14ac:dyDescent="0.3">
      <c r="A37" s="107"/>
      <c r="B37" s="83">
        <v>366</v>
      </c>
      <c r="C37" s="83" t="s">
        <v>403</v>
      </c>
      <c r="D37" s="83" t="s">
        <v>103</v>
      </c>
      <c r="E37" s="83" t="s">
        <v>418</v>
      </c>
      <c r="F37" s="83" t="s">
        <v>332</v>
      </c>
      <c r="G37" s="83" t="s">
        <v>106</v>
      </c>
      <c r="H37" s="83">
        <f t="shared" ref="H37" si="80">_xlfn.STDEV.S(K34:K37)</f>
        <v>0.11090235945791824</v>
      </c>
      <c r="I37" s="83">
        <f t="shared" ref="I37" si="81">_xlfn.STDEV.S(J34:J37)</f>
        <v>6.0257088103115065E-2</v>
      </c>
      <c r="J37" s="83">
        <v>22.693999999999999</v>
      </c>
      <c r="K37" s="83">
        <v>18.123000000000001</v>
      </c>
      <c r="L37" s="17"/>
      <c r="M37" s="108"/>
      <c r="N37" s="108"/>
      <c r="O37" s="108"/>
      <c r="P37" s="109"/>
      <c r="Q37" s="1" t="s">
        <v>418</v>
      </c>
      <c r="R37" s="1" t="s">
        <v>311</v>
      </c>
      <c r="S37" s="1" t="s">
        <v>106</v>
      </c>
      <c r="T37" s="1" t="s">
        <v>107</v>
      </c>
      <c r="U37" s="1" t="s">
        <v>108</v>
      </c>
      <c r="V37" s="1">
        <v>32.088000000000001</v>
      </c>
      <c r="W37" s="98"/>
      <c r="X37" s="130"/>
      <c r="Y37" s="98"/>
      <c r="Z37" s="98"/>
      <c r="AA37" s="86"/>
      <c r="AB37" s="138"/>
      <c r="AC37" s="1"/>
      <c r="AD37" s="1"/>
      <c r="AE37" s="1"/>
    </row>
    <row r="38" spans="1:31" x14ac:dyDescent="0.25">
      <c r="A38" s="100"/>
      <c r="B38" s="9">
        <v>343</v>
      </c>
      <c r="C38" s="9" t="s">
        <v>392</v>
      </c>
      <c r="D38" s="9" t="s">
        <v>103</v>
      </c>
      <c r="E38" s="9" t="s">
        <v>419</v>
      </c>
      <c r="F38" s="9" t="s">
        <v>332</v>
      </c>
      <c r="G38" s="9" t="s">
        <v>106</v>
      </c>
      <c r="H38" s="9"/>
      <c r="I38" s="9"/>
      <c r="J38" s="9">
        <v>22.65</v>
      </c>
      <c r="K38" s="9">
        <v>17.954999999999998</v>
      </c>
      <c r="L38" s="11"/>
      <c r="M38" s="104">
        <f t="shared" ref="M38:N38" si="82">AVERAGE(J38:J41)</f>
        <v>22.660999999999998</v>
      </c>
      <c r="N38" s="104">
        <f t="shared" si="82"/>
        <v>17.9955</v>
      </c>
      <c r="O38" s="104"/>
      <c r="P38" s="89">
        <f t="shared" ref="P38" si="83">GEOMEAN(M38,N38)</f>
        <v>20.193960124254975</v>
      </c>
      <c r="Q38" s="1" t="s">
        <v>419</v>
      </c>
      <c r="R38" s="1" t="s">
        <v>311</v>
      </c>
      <c r="S38" s="1" t="s">
        <v>106</v>
      </c>
      <c r="T38" s="1" t="s">
        <v>107</v>
      </c>
      <c r="U38" s="1" t="s">
        <v>108</v>
      </c>
      <c r="V38" s="1" t="s">
        <v>235</v>
      </c>
      <c r="W38" s="96">
        <f t="shared" ref="W38" si="84">_xlfn.STDEV.S(V38:V41)</f>
        <v>1.5718983745776969</v>
      </c>
      <c r="X38" s="128">
        <f t="shared" ref="X38" si="85">AVERAGE(V38:V41)</f>
        <v>31.555500000000002</v>
      </c>
      <c r="Y38" s="96">
        <f t="shared" ref="Y38" si="86">X38-P38</f>
        <v>11.361539875745027</v>
      </c>
      <c r="Z38" s="96">
        <f t="shared" ref="Z38" si="87">Y38-$AE$4</f>
        <v>-0.48683776305764859</v>
      </c>
      <c r="AA38" s="84">
        <f t="shared" ref="AA38" si="88">2^-Z38</f>
        <v>1.4013698504634928</v>
      </c>
      <c r="AB38" s="136"/>
      <c r="AC38" s="1">
        <f t="shared" ref="AC38" si="89">LOG(AA38,2)</f>
        <v>0.48683776305764853</v>
      </c>
      <c r="AD38" s="1"/>
      <c r="AE38" s="1"/>
    </row>
    <row r="39" spans="1:31" x14ac:dyDescent="0.25">
      <c r="A39" s="101"/>
      <c r="B39" s="1">
        <v>367</v>
      </c>
      <c r="C39" s="1" t="s">
        <v>404</v>
      </c>
      <c r="D39" s="1" t="s">
        <v>103</v>
      </c>
      <c r="E39" s="1" t="s">
        <v>419</v>
      </c>
      <c r="F39" s="1" t="s">
        <v>332</v>
      </c>
      <c r="G39" s="1" t="s">
        <v>106</v>
      </c>
      <c r="H39" s="1"/>
      <c r="I39" s="1"/>
      <c r="J39" s="1">
        <v>22.596</v>
      </c>
      <c r="K39" s="1">
        <v>18.097000000000001</v>
      </c>
      <c r="L39" s="14"/>
      <c r="M39" s="105"/>
      <c r="N39" s="105"/>
      <c r="O39" s="105"/>
      <c r="P39" s="90"/>
      <c r="Q39" s="1" t="s">
        <v>419</v>
      </c>
      <c r="R39" s="1" t="s">
        <v>311</v>
      </c>
      <c r="S39" s="1" t="s">
        <v>106</v>
      </c>
      <c r="T39" s="1" t="s">
        <v>107</v>
      </c>
      <c r="U39" s="1" t="s">
        <v>108</v>
      </c>
      <c r="V39" s="1">
        <v>32.667000000000002</v>
      </c>
      <c r="W39" s="97"/>
      <c r="X39" s="129"/>
      <c r="Y39" s="97"/>
      <c r="Z39" s="97"/>
      <c r="AA39" s="85"/>
      <c r="AB39" s="137"/>
      <c r="AC39" s="1"/>
      <c r="AD39" s="1"/>
      <c r="AE39" s="1"/>
    </row>
    <row r="40" spans="1:31" x14ac:dyDescent="0.25">
      <c r="A40" s="101"/>
      <c r="B40" s="1">
        <v>344</v>
      </c>
      <c r="C40" s="1" t="s">
        <v>393</v>
      </c>
      <c r="D40" s="1" t="s">
        <v>103</v>
      </c>
      <c r="E40" s="1" t="s">
        <v>419</v>
      </c>
      <c r="F40" s="1" t="s">
        <v>332</v>
      </c>
      <c r="G40" s="1" t="s">
        <v>106</v>
      </c>
      <c r="H40" s="1"/>
      <c r="I40" s="1"/>
      <c r="J40" s="1">
        <v>22.698</v>
      </c>
      <c r="K40" s="1">
        <v>17.888999999999999</v>
      </c>
      <c r="L40" s="14"/>
      <c r="M40" s="105"/>
      <c r="N40" s="105"/>
      <c r="O40" s="105"/>
      <c r="P40" s="90"/>
      <c r="Q40" s="1" t="s">
        <v>419</v>
      </c>
      <c r="R40" s="1" t="s">
        <v>311</v>
      </c>
      <c r="S40" s="1" t="s">
        <v>106</v>
      </c>
      <c r="T40" s="1" t="s">
        <v>107</v>
      </c>
      <c r="U40" s="1" t="s">
        <v>108</v>
      </c>
      <c r="V40" s="1">
        <v>30.443999999999999</v>
      </c>
      <c r="W40" s="97"/>
      <c r="X40" s="129"/>
      <c r="Y40" s="97"/>
      <c r="Z40" s="97"/>
      <c r="AA40" s="85"/>
      <c r="AB40" s="137"/>
      <c r="AC40" s="1"/>
      <c r="AD40" s="1"/>
      <c r="AE40" s="1"/>
    </row>
    <row r="41" spans="1:31" ht="15.75" thickBot="1" x14ac:dyDescent="0.3">
      <c r="A41" s="107"/>
      <c r="B41" s="83">
        <v>368</v>
      </c>
      <c r="C41" s="83" t="s">
        <v>405</v>
      </c>
      <c r="D41" s="83" t="s">
        <v>103</v>
      </c>
      <c r="E41" s="83" t="s">
        <v>419</v>
      </c>
      <c r="F41" s="83" t="s">
        <v>332</v>
      </c>
      <c r="G41" s="83" t="s">
        <v>106</v>
      </c>
      <c r="H41" s="83">
        <f t="shared" ref="H41" si="90">_xlfn.STDEV.S(K38:K41)</f>
        <v>9.1932946578834621E-2</v>
      </c>
      <c r="I41" s="83">
        <f t="shared" ref="I41" si="91">_xlfn.STDEV.S(J38:J41)</f>
        <v>4.911211663123468E-2</v>
      </c>
      <c r="J41" s="83">
        <v>22.7</v>
      </c>
      <c r="K41" s="83">
        <v>18.041</v>
      </c>
      <c r="L41" s="17"/>
      <c r="M41" s="108"/>
      <c r="N41" s="108"/>
      <c r="O41" s="108"/>
      <c r="P41" s="109"/>
      <c r="Q41" s="1" t="s">
        <v>419</v>
      </c>
      <c r="R41" s="1" t="s">
        <v>311</v>
      </c>
      <c r="S41" s="1" t="s">
        <v>106</v>
      </c>
      <c r="T41" s="1" t="s">
        <v>107</v>
      </c>
      <c r="U41" s="1" t="s">
        <v>108</v>
      </c>
      <c r="V41" s="1" t="s">
        <v>235</v>
      </c>
      <c r="W41" s="98"/>
      <c r="X41" s="130"/>
      <c r="Y41" s="98"/>
      <c r="Z41" s="98"/>
      <c r="AA41" s="86"/>
      <c r="AB41" s="138"/>
      <c r="AC41" s="1"/>
      <c r="AD41" s="1"/>
      <c r="AE41" s="1"/>
    </row>
    <row r="42" spans="1:31" x14ac:dyDescent="0.25">
      <c r="A42" s="100"/>
      <c r="B42" s="9">
        <v>345</v>
      </c>
      <c r="C42" s="9" t="s">
        <v>394</v>
      </c>
      <c r="D42" s="9" t="s">
        <v>103</v>
      </c>
      <c r="E42" s="9" t="s">
        <v>420</v>
      </c>
      <c r="F42" s="9" t="s">
        <v>332</v>
      </c>
      <c r="G42" s="9" t="s">
        <v>106</v>
      </c>
      <c r="H42" s="9"/>
      <c r="I42" s="9"/>
      <c r="J42" s="9">
        <v>24.039000000000001</v>
      </c>
      <c r="K42" s="9">
        <v>20.016999999999999</v>
      </c>
      <c r="L42" s="11"/>
      <c r="M42" s="104">
        <f t="shared" ref="M42:N42" si="92">AVERAGE(J42:J45)</f>
        <v>24.10125</v>
      </c>
      <c r="N42" s="104">
        <f t="shared" si="92"/>
        <v>19.996499999999997</v>
      </c>
      <c r="O42" s="104"/>
      <c r="P42" s="89">
        <f t="shared" ref="P42" si="93">GEOMEAN(M42,N42)</f>
        <v>21.953146599633502</v>
      </c>
      <c r="Q42" s="1" t="s">
        <v>420</v>
      </c>
      <c r="R42" s="1" t="s">
        <v>311</v>
      </c>
      <c r="S42" s="1" t="s">
        <v>106</v>
      </c>
      <c r="T42" s="1" t="s">
        <v>107</v>
      </c>
      <c r="U42" s="1" t="s">
        <v>108</v>
      </c>
      <c r="V42" s="1" t="s">
        <v>235</v>
      </c>
      <c r="W42" s="96" t="e">
        <f t="shared" ref="W42" si="94">_xlfn.STDEV.S(V42:V45)</f>
        <v>#DIV/0!</v>
      </c>
      <c r="X42" s="128">
        <f t="shared" ref="X42" si="95">AVERAGE(V42:V45)</f>
        <v>32.89</v>
      </c>
      <c r="Y42" s="96">
        <f t="shared" ref="Y42" si="96">X42-P42</f>
        <v>10.936853400366498</v>
      </c>
      <c r="Z42" s="96">
        <f t="shared" ref="Z42" si="97">Y42-$AE$4</f>
        <v>-0.91152423843617747</v>
      </c>
      <c r="AA42" s="84">
        <f t="shared" ref="AA42" si="98">2^-Z42</f>
        <v>1.8810317996369255</v>
      </c>
      <c r="AB42" s="132"/>
      <c r="AC42" s="1">
        <f t="shared" ref="AC42" si="99">LOG(AA42,2)</f>
        <v>0.91152423843617769</v>
      </c>
      <c r="AD42" s="1"/>
      <c r="AE42" s="1"/>
    </row>
    <row r="43" spans="1:31" x14ac:dyDescent="0.25">
      <c r="A43" s="101"/>
      <c r="B43" s="1">
        <v>369</v>
      </c>
      <c r="C43" s="1" t="s">
        <v>406</v>
      </c>
      <c r="D43" s="1" t="s">
        <v>103</v>
      </c>
      <c r="E43" s="1" t="s">
        <v>420</v>
      </c>
      <c r="F43" s="1" t="s">
        <v>332</v>
      </c>
      <c r="G43" s="1" t="s">
        <v>106</v>
      </c>
      <c r="H43" s="1"/>
      <c r="I43" s="1"/>
      <c r="J43" s="1">
        <v>24.114999999999998</v>
      </c>
      <c r="K43" s="1">
        <v>20.026</v>
      </c>
      <c r="L43" s="14"/>
      <c r="M43" s="105"/>
      <c r="N43" s="105"/>
      <c r="O43" s="105"/>
      <c r="P43" s="90"/>
      <c r="Q43" s="1" t="s">
        <v>420</v>
      </c>
      <c r="R43" s="1" t="s">
        <v>311</v>
      </c>
      <c r="S43" s="1" t="s">
        <v>106</v>
      </c>
      <c r="T43" s="1" t="s">
        <v>107</v>
      </c>
      <c r="U43" s="1" t="s">
        <v>108</v>
      </c>
      <c r="V43" s="1">
        <v>32.89</v>
      </c>
      <c r="W43" s="97"/>
      <c r="X43" s="129"/>
      <c r="Y43" s="97"/>
      <c r="Z43" s="97"/>
      <c r="AA43" s="85"/>
      <c r="AB43" s="133"/>
      <c r="AC43" s="1"/>
      <c r="AD43" s="1"/>
      <c r="AE43" s="1"/>
    </row>
    <row r="44" spans="1:31" x14ac:dyDescent="0.25">
      <c r="A44" s="101"/>
      <c r="B44" s="1">
        <v>346</v>
      </c>
      <c r="C44" s="1" t="s">
        <v>395</v>
      </c>
      <c r="D44" s="1" t="s">
        <v>103</v>
      </c>
      <c r="E44" s="1" t="s">
        <v>420</v>
      </c>
      <c r="F44" s="1" t="s">
        <v>332</v>
      </c>
      <c r="G44" s="1" t="s">
        <v>106</v>
      </c>
      <c r="H44" s="1"/>
      <c r="I44" s="1"/>
      <c r="J44" s="1">
        <v>24.184000000000001</v>
      </c>
      <c r="K44" s="1">
        <v>19.843</v>
      </c>
      <c r="L44" s="14"/>
      <c r="M44" s="105"/>
      <c r="N44" s="105"/>
      <c r="O44" s="105"/>
      <c r="P44" s="90"/>
      <c r="Q44" s="1" t="s">
        <v>420</v>
      </c>
      <c r="R44" s="1" t="s">
        <v>311</v>
      </c>
      <c r="S44" s="1" t="s">
        <v>106</v>
      </c>
      <c r="T44" s="1" t="s">
        <v>107</v>
      </c>
      <c r="U44" s="1" t="s">
        <v>108</v>
      </c>
      <c r="V44" s="1" t="s">
        <v>235</v>
      </c>
      <c r="W44" s="97"/>
      <c r="X44" s="129"/>
      <c r="Y44" s="97"/>
      <c r="Z44" s="97"/>
      <c r="AA44" s="85"/>
      <c r="AB44" s="133"/>
      <c r="AC44" s="1"/>
      <c r="AD44" s="1"/>
      <c r="AE44" s="1"/>
    </row>
    <row r="45" spans="1:31" ht="15.75" thickBot="1" x14ac:dyDescent="0.3">
      <c r="A45" s="107"/>
      <c r="B45" s="83">
        <v>370</v>
      </c>
      <c r="C45" s="83" t="s">
        <v>407</v>
      </c>
      <c r="D45" s="83" t="s">
        <v>103</v>
      </c>
      <c r="E45" s="83" t="s">
        <v>420</v>
      </c>
      <c r="F45" s="83" t="s">
        <v>332</v>
      </c>
      <c r="G45" s="83" t="s">
        <v>106</v>
      </c>
      <c r="H45" s="83">
        <f t="shared" ref="H45" si="100">_xlfn.STDEV.S(K42:K45)</f>
        <v>0.1088806686239577</v>
      </c>
      <c r="I45" s="83">
        <f t="shared" ref="I45" si="101">_xlfn.STDEV.S(J42:J45)</f>
        <v>6.3468496122091766E-2</v>
      </c>
      <c r="J45" s="83">
        <v>24.067</v>
      </c>
      <c r="K45" s="83">
        <v>20.100000000000001</v>
      </c>
      <c r="L45" s="17"/>
      <c r="M45" s="108"/>
      <c r="N45" s="108"/>
      <c r="O45" s="108"/>
      <c r="P45" s="109"/>
      <c r="Q45" s="1" t="s">
        <v>420</v>
      </c>
      <c r="R45" s="1" t="s">
        <v>311</v>
      </c>
      <c r="S45" s="1" t="s">
        <v>106</v>
      </c>
      <c r="T45" s="1" t="s">
        <v>107</v>
      </c>
      <c r="U45" s="1" t="s">
        <v>108</v>
      </c>
      <c r="V45" s="1" t="s">
        <v>235</v>
      </c>
      <c r="W45" s="98"/>
      <c r="X45" s="130"/>
      <c r="Y45" s="98"/>
      <c r="Z45" s="98"/>
      <c r="AA45" s="86"/>
      <c r="AB45" s="135"/>
      <c r="AC45" s="1"/>
      <c r="AD45" s="1"/>
      <c r="AE45" s="1"/>
    </row>
    <row r="46" spans="1:31" x14ac:dyDescent="0.25">
      <c r="A46" s="100"/>
      <c r="B46" s="9">
        <v>347</v>
      </c>
      <c r="C46" s="9" t="s">
        <v>396</v>
      </c>
      <c r="D46" s="9" t="s">
        <v>103</v>
      </c>
      <c r="E46" s="9" t="s">
        <v>421</v>
      </c>
      <c r="F46" s="9" t="s">
        <v>332</v>
      </c>
      <c r="G46" s="9" t="s">
        <v>106</v>
      </c>
      <c r="H46" s="9"/>
      <c r="I46" s="9"/>
      <c r="J46" s="9">
        <v>23.227</v>
      </c>
      <c r="K46" s="9">
        <v>18.948</v>
      </c>
      <c r="L46" s="11"/>
      <c r="M46" s="104">
        <f t="shared" ref="M46:N46" si="102">AVERAGE(J46:J49)</f>
        <v>23.23875</v>
      </c>
      <c r="N46" s="104">
        <f t="shared" si="102"/>
        <v>18.911249999999999</v>
      </c>
      <c r="O46" s="104"/>
      <c r="P46" s="89">
        <f t="shared" ref="P46" si="103">GEOMEAN(M46,N46)</f>
        <v>20.963630671653704</v>
      </c>
      <c r="Q46" s="1" t="s">
        <v>421</v>
      </c>
      <c r="R46" s="1" t="s">
        <v>311</v>
      </c>
      <c r="S46" s="1" t="s">
        <v>106</v>
      </c>
      <c r="T46" s="1" t="s">
        <v>107</v>
      </c>
      <c r="U46" s="1" t="s">
        <v>108</v>
      </c>
      <c r="V46" s="1" t="s">
        <v>235</v>
      </c>
      <c r="W46" s="96">
        <f t="shared" ref="W46" si="104">_xlfn.STDEV.S(V46:V49)</f>
        <v>0.52478217703475161</v>
      </c>
      <c r="X46" s="128">
        <f t="shared" ref="X46" si="105">AVERAGE(V46:V49)</f>
        <v>31.386666666666667</v>
      </c>
      <c r="Y46" s="96">
        <f t="shared" ref="Y46" si="106">X46-P46</f>
        <v>10.423035995012963</v>
      </c>
      <c r="Z46" s="96">
        <f t="shared" ref="Z46" si="107">Y46-$AE$4</f>
        <v>-1.4253416437897126</v>
      </c>
      <c r="AA46" s="84">
        <f t="shared" ref="AA46" si="108">2^-Z46</f>
        <v>2.6857809485133459</v>
      </c>
      <c r="AB46" s="132"/>
      <c r="AC46" s="1">
        <f t="shared" ref="AC46" si="109">LOG(AA46,2)</f>
        <v>1.4253416437897126</v>
      </c>
      <c r="AD46" s="1"/>
      <c r="AE46" s="1"/>
    </row>
    <row r="47" spans="1:31" x14ac:dyDescent="0.25">
      <c r="A47" s="101"/>
      <c r="B47" s="1">
        <v>371</v>
      </c>
      <c r="C47" s="1" t="s">
        <v>408</v>
      </c>
      <c r="D47" s="1" t="s">
        <v>103</v>
      </c>
      <c r="E47" s="1" t="s">
        <v>421</v>
      </c>
      <c r="F47" s="1" t="s">
        <v>332</v>
      </c>
      <c r="G47" s="1" t="s">
        <v>106</v>
      </c>
      <c r="H47" s="1"/>
      <c r="I47" s="1"/>
      <c r="J47" s="1">
        <v>23.309000000000001</v>
      </c>
      <c r="K47" s="1">
        <v>18.928999999999998</v>
      </c>
      <c r="L47" s="14"/>
      <c r="M47" s="105"/>
      <c r="N47" s="105"/>
      <c r="O47" s="105"/>
      <c r="P47" s="90"/>
      <c r="Q47" s="1" t="s">
        <v>421</v>
      </c>
      <c r="R47" s="1" t="s">
        <v>311</v>
      </c>
      <c r="S47" s="1" t="s">
        <v>106</v>
      </c>
      <c r="T47" s="1" t="s">
        <v>107</v>
      </c>
      <c r="U47" s="1" t="s">
        <v>108</v>
      </c>
      <c r="V47" s="1">
        <v>30.780999999999999</v>
      </c>
      <c r="W47" s="97"/>
      <c r="X47" s="129"/>
      <c r="Y47" s="97"/>
      <c r="Z47" s="97"/>
      <c r="AA47" s="85"/>
      <c r="AB47" s="133"/>
      <c r="AC47" s="1"/>
      <c r="AD47" s="1"/>
      <c r="AE47" s="1"/>
    </row>
    <row r="48" spans="1:31" x14ac:dyDescent="0.25">
      <c r="A48" s="101"/>
      <c r="B48" s="1">
        <v>348</v>
      </c>
      <c r="C48" s="1" t="s">
        <v>397</v>
      </c>
      <c r="D48" s="1" t="s">
        <v>103</v>
      </c>
      <c r="E48" s="1" t="s">
        <v>421</v>
      </c>
      <c r="F48" s="1" t="s">
        <v>332</v>
      </c>
      <c r="G48" s="1" t="s">
        <v>106</v>
      </c>
      <c r="H48" s="1"/>
      <c r="I48" s="1"/>
      <c r="J48" s="1">
        <v>23.308</v>
      </c>
      <c r="K48" s="1">
        <v>18.931000000000001</v>
      </c>
      <c r="L48" s="14"/>
      <c r="M48" s="105"/>
      <c r="N48" s="105"/>
      <c r="O48" s="105"/>
      <c r="P48" s="90"/>
      <c r="Q48" s="1" t="s">
        <v>421</v>
      </c>
      <c r="R48" s="1" t="s">
        <v>311</v>
      </c>
      <c r="S48" s="1" t="s">
        <v>106</v>
      </c>
      <c r="T48" s="1" t="s">
        <v>107</v>
      </c>
      <c r="U48" s="1" t="s">
        <v>108</v>
      </c>
      <c r="V48" s="1">
        <v>31.706</v>
      </c>
      <c r="W48" s="97"/>
      <c r="X48" s="129"/>
      <c r="Y48" s="97"/>
      <c r="Z48" s="97"/>
      <c r="AA48" s="85"/>
      <c r="AB48" s="133"/>
      <c r="AC48" s="1"/>
      <c r="AD48" s="1"/>
      <c r="AE48" s="1"/>
    </row>
    <row r="49" spans="1:31" ht="15.75" thickBot="1" x14ac:dyDescent="0.3">
      <c r="A49" s="107"/>
      <c r="B49" s="83">
        <v>372</v>
      </c>
      <c r="C49" s="83" t="s">
        <v>409</v>
      </c>
      <c r="D49" s="83" t="s">
        <v>103</v>
      </c>
      <c r="E49" s="83" t="s">
        <v>421</v>
      </c>
      <c r="F49" s="83" t="s">
        <v>332</v>
      </c>
      <c r="G49" s="83" t="s">
        <v>106</v>
      </c>
      <c r="H49" s="83">
        <f t="shared" ref="H49" si="110">_xlfn.STDEV.S(K46:K49)</f>
        <v>5.0228643886398958E-2</v>
      </c>
      <c r="I49" s="83">
        <f t="shared" ref="I49" si="111">_xlfn.STDEV.S(J46:J49)</f>
        <v>9.3432239261045852E-2</v>
      </c>
      <c r="J49" s="83">
        <v>23.111000000000001</v>
      </c>
      <c r="K49" s="83">
        <v>18.837</v>
      </c>
      <c r="L49" s="17"/>
      <c r="M49" s="108"/>
      <c r="N49" s="108"/>
      <c r="O49" s="108"/>
      <c r="P49" s="109"/>
      <c r="Q49" s="1" t="s">
        <v>421</v>
      </c>
      <c r="R49" s="1" t="s">
        <v>311</v>
      </c>
      <c r="S49" s="1" t="s">
        <v>106</v>
      </c>
      <c r="T49" s="1" t="s">
        <v>107</v>
      </c>
      <c r="U49" s="1" t="s">
        <v>108</v>
      </c>
      <c r="V49" s="1">
        <v>31.672999999999998</v>
      </c>
      <c r="W49" s="98"/>
      <c r="X49" s="130"/>
      <c r="Y49" s="98"/>
      <c r="Z49" s="98"/>
      <c r="AA49" s="86"/>
      <c r="AB49" s="134"/>
      <c r="AC49" s="1"/>
      <c r="AD49" s="1"/>
      <c r="AE49" s="1"/>
    </row>
    <row r="50" spans="1:31" x14ac:dyDescent="0.25">
      <c r="A50" s="100"/>
      <c r="B50" s="9">
        <v>337</v>
      </c>
      <c r="C50" s="9" t="s">
        <v>386</v>
      </c>
      <c r="D50" s="9" t="b">
        <v>0</v>
      </c>
      <c r="E50" s="9" t="s">
        <v>422</v>
      </c>
      <c r="F50" s="9" t="s">
        <v>332</v>
      </c>
      <c r="G50" s="9" t="s">
        <v>106</v>
      </c>
      <c r="H50" s="9"/>
      <c r="I50" s="9"/>
      <c r="J50" s="9">
        <v>22.439899444580078</v>
      </c>
      <c r="K50" s="9">
        <v>17.946588516235352</v>
      </c>
      <c r="L50" s="11"/>
      <c r="M50" s="104">
        <f t="shared" ref="M50:N50" si="112">AVERAGE(J50:J53)</f>
        <v>22.516579151153564</v>
      </c>
      <c r="N50" s="104">
        <f t="shared" si="112"/>
        <v>17.914458751678467</v>
      </c>
      <c r="O50" s="104"/>
      <c r="P50" s="89">
        <f t="shared" ref="P50" si="113">GEOMEAN(M50,N50)</f>
        <v>20.084131259087208</v>
      </c>
      <c r="Q50" t="s">
        <v>422</v>
      </c>
      <c r="R50" t="s">
        <v>311</v>
      </c>
      <c r="S50" t="s">
        <v>106</v>
      </c>
      <c r="T50" t="s">
        <v>107</v>
      </c>
      <c r="U50" t="s">
        <v>108</v>
      </c>
      <c r="V50" s="3">
        <v>32.322860717773438</v>
      </c>
      <c r="W50" s="96">
        <f t="shared" ref="W50" si="114">_xlfn.STDEV.S(V50:V53)</f>
        <v>0.37713935969158002</v>
      </c>
      <c r="X50" s="128">
        <f t="shared" ref="X50" si="115">AVERAGE(V50:V53)</f>
        <v>32.669645945231117</v>
      </c>
      <c r="Y50" s="96">
        <f t="shared" ref="Y50" si="116">X50-P50</f>
        <v>12.58551468614391</v>
      </c>
      <c r="Z50" s="96">
        <f>Y50-$AE$6</f>
        <v>-0.14014083527702503</v>
      </c>
      <c r="AA50" s="84">
        <f t="shared" ref="AA50" si="117">2^-Z50</f>
        <v>1.1020126886364441</v>
      </c>
      <c r="AB50" s="131"/>
      <c r="AC50" s="1">
        <f t="shared" ref="AC50" si="118">LOG(AA50,2)</f>
        <v>0.14014083527702512</v>
      </c>
      <c r="AD50" s="1"/>
      <c r="AE50" s="1"/>
    </row>
    <row r="51" spans="1:31" x14ac:dyDescent="0.25">
      <c r="A51" s="101"/>
      <c r="B51" s="1">
        <v>361</v>
      </c>
      <c r="C51" s="1" t="s">
        <v>398</v>
      </c>
      <c r="D51" s="1" t="b">
        <v>0</v>
      </c>
      <c r="E51" s="1" t="s">
        <v>422</v>
      </c>
      <c r="F51" s="1" t="s">
        <v>332</v>
      </c>
      <c r="G51" s="1" t="s">
        <v>106</v>
      </c>
      <c r="H51" s="1"/>
      <c r="I51" s="1"/>
      <c r="J51" s="1">
        <v>22.503049850463867</v>
      </c>
      <c r="K51" s="1">
        <v>17.91816520690918</v>
      </c>
      <c r="L51" s="14"/>
      <c r="M51" s="105"/>
      <c r="N51" s="105"/>
      <c r="O51" s="105"/>
      <c r="P51" s="90"/>
      <c r="Q51" t="s">
        <v>422</v>
      </c>
      <c r="R51" t="s">
        <v>311</v>
      </c>
      <c r="S51" t="s">
        <v>106</v>
      </c>
      <c r="T51" t="s">
        <v>107</v>
      </c>
      <c r="U51" t="s">
        <v>108</v>
      </c>
      <c r="V51" s="3">
        <v>33.071159362792969</v>
      </c>
      <c r="W51" s="97"/>
      <c r="X51" s="129"/>
      <c r="Y51" s="97"/>
      <c r="Z51" s="97"/>
      <c r="AA51" s="85"/>
      <c r="AB51" s="127"/>
      <c r="AC51" s="1"/>
      <c r="AD51" s="1"/>
      <c r="AE51" s="1"/>
    </row>
    <row r="52" spans="1:31" x14ac:dyDescent="0.25">
      <c r="A52" s="101"/>
      <c r="B52" s="1">
        <v>338</v>
      </c>
      <c r="C52" s="1" t="s">
        <v>387</v>
      </c>
      <c r="D52" s="1" t="b">
        <v>0</v>
      </c>
      <c r="E52" s="1" t="s">
        <v>422</v>
      </c>
      <c r="F52" s="1" t="s">
        <v>332</v>
      </c>
      <c r="G52" s="1" t="s">
        <v>106</v>
      </c>
      <c r="H52" s="1"/>
      <c r="I52" s="1"/>
      <c r="J52" s="1">
        <v>22.497282028198242</v>
      </c>
      <c r="K52" s="1">
        <v>17.994478225708008</v>
      </c>
      <c r="L52" s="14"/>
      <c r="M52" s="105"/>
      <c r="N52" s="105"/>
      <c r="O52" s="105"/>
      <c r="P52" s="90"/>
      <c r="Q52" t="s">
        <v>422</v>
      </c>
      <c r="R52" t="s">
        <v>311</v>
      </c>
      <c r="S52" t="s">
        <v>106</v>
      </c>
      <c r="T52" t="s">
        <v>107</v>
      </c>
      <c r="U52" t="s">
        <v>108</v>
      </c>
      <c r="V52" s="3">
        <v>32.614917755126953</v>
      </c>
      <c r="W52" s="97"/>
      <c r="X52" s="129"/>
      <c r="Y52" s="97"/>
      <c r="Z52" s="97"/>
      <c r="AA52" s="85"/>
      <c r="AB52" s="127"/>
      <c r="AC52" s="1"/>
      <c r="AD52" s="1"/>
      <c r="AE52" s="1"/>
    </row>
    <row r="53" spans="1:31" ht="15.75" thickBot="1" x14ac:dyDescent="0.3">
      <c r="A53" s="107"/>
      <c r="B53" s="83">
        <v>362</v>
      </c>
      <c r="C53" s="83" t="s">
        <v>399</v>
      </c>
      <c r="D53" s="83" t="b">
        <v>0</v>
      </c>
      <c r="E53" s="83" t="s">
        <v>422</v>
      </c>
      <c r="F53" s="83" t="s">
        <v>332</v>
      </c>
      <c r="G53" s="83" t="s">
        <v>106</v>
      </c>
      <c r="H53" s="83">
        <f t="shared" ref="H53" si="119">_xlfn.STDEV.S(K50:K53)</f>
        <v>8.341006652811378E-2</v>
      </c>
      <c r="I53" s="83">
        <f t="shared" ref="I53" si="120">_xlfn.STDEV.S(J50:J53)</f>
        <v>7.8372594885230545E-2</v>
      </c>
      <c r="J53" s="83">
        <v>22.62608528137207</v>
      </c>
      <c r="K53" s="83">
        <v>17.798603057861328</v>
      </c>
      <c r="L53" s="17"/>
      <c r="M53" s="108"/>
      <c r="N53" s="108"/>
      <c r="O53" s="108"/>
      <c r="P53" s="109"/>
      <c r="Q53" t="s">
        <v>422</v>
      </c>
      <c r="R53" t="s">
        <v>311</v>
      </c>
      <c r="S53" t="s">
        <v>106</v>
      </c>
      <c r="T53" t="s">
        <v>107</v>
      </c>
      <c r="U53" t="s">
        <v>108</v>
      </c>
      <c r="V53" t="s">
        <v>235</v>
      </c>
      <c r="W53" s="98"/>
      <c r="X53" s="130"/>
      <c r="Y53" s="98"/>
      <c r="Z53" s="98"/>
      <c r="AA53" s="86"/>
      <c r="AB53" s="127"/>
      <c r="AC53" s="1"/>
      <c r="AD53" s="1"/>
      <c r="AE53" s="1"/>
    </row>
    <row r="54" spans="1:31" x14ac:dyDescent="0.25">
      <c r="A54" s="100"/>
      <c r="B54" s="9">
        <v>339</v>
      </c>
      <c r="C54" s="9" t="s">
        <v>388</v>
      </c>
      <c r="D54" s="9" t="b">
        <v>0</v>
      </c>
      <c r="E54" s="9" t="s">
        <v>424</v>
      </c>
      <c r="F54" s="9" t="s">
        <v>332</v>
      </c>
      <c r="G54" s="9" t="s">
        <v>106</v>
      </c>
      <c r="H54" s="9"/>
      <c r="I54" s="9"/>
      <c r="J54" s="9">
        <v>22.781806945800781</v>
      </c>
      <c r="K54" s="9">
        <v>18.156644821166992</v>
      </c>
      <c r="L54" s="11"/>
      <c r="M54" s="104">
        <f t="shared" ref="M54:N54" si="121">AVERAGE(J54:J57)</f>
        <v>22.707976341247559</v>
      </c>
      <c r="N54" s="104">
        <f t="shared" si="121"/>
        <v>18.165340423583984</v>
      </c>
      <c r="O54" s="104"/>
      <c r="P54" s="89">
        <f t="shared" ref="P54" si="122">GEOMEAN(M54,N54)</f>
        <v>20.310049743155556</v>
      </c>
      <c r="Q54" t="s">
        <v>424</v>
      </c>
      <c r="R54" t="s">
        <v>311</v>
      </c>
      <c r="S54" t="s">
        <v>106</v>
      </c>
      <c r="T54" t="s">
        <v>107</v>
      </c>
      <c r="U54" t="s">
        <v>108</v>
      </c>
      <c r="V54" s="3">
        <v>33.175846099853516</v>
      </c>
      <c r="W54" s="96" t="e">
        <f t="shared" ref="W54" si="123">_xlfn.STDEV.S(V54:V57)</f>
        <v>#DIV/0!</v>
      </c>
      <c r="X54" s="128">
        <f t="shared" ref="X54" si="124">AVERAGE(V54:V57)</f>
        <v>33.175846099853516</v>
      </c>
      <c r="Y54" s="96">
        <f t="shared" ref="Y54" si="125">X54-P54</f>
        <v>12.86579635669796</v>
      </c>
      <c r="Z54" s="96">
        <f t="shared" ref="Z54" si="126">Y54-$AE$6</f>
        <v>0.14014083527702503</v>
      </c>
      <c r="AA54" s="84">
        <f t="shared" ref="AA54" si="127">2^-Z54</f>
        <v>0.90743056800673716</v>
      </c>
      <c r="AB54" s="127"/>
      <c r="AC54" s="1">
        <f t="shared" ref="AC54" si="128">LOG(AA54,2)</f>
        <v>-0.14014083527702509</v>
      </c>
      <c r="AD54" s="1"/>
      <c r="AE54" s="1"/>
    </row>
    <row r="55" spans="1:31" x14ac:dyDescent="0.25">
      <c r="A55" s="101"/>
      <c r="B55" s="1">
        <v>363</v>
      </c>
      <c r="C55" s="1" t="s">
        <v>400</v>
      </c>
      <c r="D55" s="1" t="b">
        <v>0</v>
      </c>
      <c r="E55" s="1" t="s">
        <v>424</v>
      </c>
      <c r="F55" s="1" t="s">
        <v>332</v>
      </c>
      <c r="G55" s="1" t="s">
        <v>106</v>
      </c>
      <c r="H55" s="1"/>
      <c r="I55" s="1"/>
      <c r="J55" s="1">
        <v>22.68287467956543</v>
      </c>
      <c r="K55" s="1">
        <v>19.030796051025391</v>
      </c>
      <c r="L55" s="14"/>
      <c r="M55" s="105"/>
      <c r="N55" s="105"/>
      <c r="O55" s="105"/>
      <c r="P55" s="90"/>
      <c r="Q55" t="s">
        <v>424</v>
      </c>
      <c r="R55" t="s">
        <v>311</v>
      </c>
      <c r="S55" t="s">
        <v>106</v>
      </c>
      <c r="T55" t="s">
        <v>107</v>
      </c>
      <c r="U55" t="s">
        <v>108</v>
      </c>
      <c r="V55" t="s">
        <v>235</v>
      </c>
      <c r="W55" s="97"/>
      <c r="X55" s="129"/>
      <c r="Y55" s="97"/>
      <c r="Z55" s="97"/>
      <c r="AA55" s="85"/>
      <c r="AB55" s="127"/>
      <c r="AC55" s="1"/>
      <c r="AD55" s="1"/>
      <c r="AE55" s="1"/>
    </row>
    <row r="56" spans="1:31" x14ac:dyDescent="0.25">
      <c r="A56" s="101"/>
      <c r="B56" s="1">
        <v>340</v>
      </c>
      <c r="C56" s="1" t="s">
        <v>389</v>
      </c>
      <c r="D56" s="1" t="b">
        <v>0</v>
      </c>
      <c r="E56" s="1" t="s">
        <v>424</v>
      </c>
      <c r="F56" s="1" t="s">
        <v>332</v>
      </c>
      <c r="G56" s="1" t="s">
        <v>106</v>
      </c>
      <c r="H56" s="1"/>
      <c r="I56" s="1"/>
      <c r="J56" s="1">
        <v>22.742557525634766</v>
      </c>
      <c r="K56" s="1">
        <v>18.100671768188477</v>
      </c>
      <c r="L56" s="14"/>
      <c r="M56" s="105"/>
      <c r="N56" s="105"/>
      <c r="O56" s="105"/>
      <c r="P56" s="90"/>
      <c r="Q56" t="s">
        <v>424</v>
      </c>
      <c r="R56" t="s">
        <v>311</v>
      </c>
      <c r="S56" t="s">
        <v>106</v>
      </c>
      <c r="T56" t="s">
        <v>107</v>
      </c>
      <c r="U56" t="s">
        <v>108</v>
      </c>
      <c r="V56" t="s">
        <v>235</v>
      </c>
      <c r="W56" s="97"/>
      <c r="X56" s="129"/>
      <c r="Y56" s="97"/>
      <c r="Z56" s="97"/>
      <c r="AA56" s="85"/>
      <c r="AB56" s="127"/>
      <c r="AC56" s="1"/>
      <c r="AD56" s="1"/>
      <c r="AE56" s="1"/>
    </row>
    <row r="57" spans="1:31" ht="15.75" thickBot="1" x14ac:dyDescent="0.3">
      <c r="A57" s="107"/>
      <c r="B57" s="83">
        <v>364</v>
      </c>
      <c r="C57" s="83" t="s">
        <v>401</v>
      </c>
      <c r="D57" s="83" t="b">
        <v>0</v>
      </c>
      <c r="E57" s="83" t="s">
        <v>424</v>
      </c>
      <c r="F57" s="83" t="s">
        <v>332</v>
      </c>
      <c r="G57" s="83" t="s">
        <v>106</v>
      </c>
      <c r="H57" s="83">
        <f t="shared" ref="H57" si="129">_xlfn.STDEV.S(K54:K57)</f>
        <v>0.67840003670465998</v>
      </c>
      <c r="I57" s="83">
        <f t="shared" ref="I57" si="130">_xlfn.STDEV.S(J54:J57)</f>
        <v>6.8841574660749597E-2</v>
      </c>
      <c r="J57" s="83">
        <v>22.624666213989258</v>
      </c>
      <c r="K57" s="83">
        <v>17.373249053955078</v>
      </c>
      <c r="L57" s="17"/>
      <c r="M57" s="108"/>
      <c r="N57" s="108"/>
      <c r="O57" s="108"/>
      <c r="P57" s="109"/>
      <c r="Q57" t="s">
        <v>424</v>
      </c>
      <c r="R57" t="s">
        <v>311</v>
      </c>
      <c r="S57" t="s">
        <v>106</v>
      </c>
      <c r="T57" t="s">
        <v>107</v>
      </c>
      <c r="U57" t="s">
        <v>108</v>
      </c>
      <c r="V57" t="s">
        <v>235</v>
      </c>
      <c r="W57" s="98"/>
      <c r="X57" s="130"/>
      <c r="Y57" s="98"/>
      <c r="Z57" s="98"/>
      <c r="AA57" s="86"/>
      <c r="AB57" s="127"/>
      <c r="AC57" s="1"/>
      <c r="AD57" s="1"/>
      <c r="AE57" s="1"/>
    </row>
    <row r="58" spans="1:31" x14ac:dyDescent="0.25">
      <c r="A58" s="100"/>
      <c r="B58" s="9">
        <v>341</v>
      </c>
      <c r="C58" s="9" t="s">
        <v>390</v>
      </c>
      <c r="D58" s="9" t="b">
        <v>0</v>
      </c>
      <c r="E58" s="9" t="s">
        <v>423</v>
      </c>
      <c r="F58" s="9" t="s">
        <v>332</v>
      </c>
      <c r="G58" s="9" t="s">
        <v>106</v>
      </c>
      <c r="H58" s="9"/>
      <c r="I58" s="9"/>
      <c r="J58" s="9">
        <v>22.543874740600586</v>
      </c>
      <c r="K58" s="9">
        <v>17.632972717285156</v>
      </c>
      <c r="L58" s="11"/>
      <c r="M58" s="104">
        <f t="shared" ref="M58:N58" si="131">AVERAGE(J58:J61)</f>
        <v>22.527778625488281</v>
      </c>
      <c r="N58" s="104">
        <f t="shared" si="131"/>
        <v>17.682387351989746</v>
      </c>
      <c r="O58" s="104"/>
      <c r="P58" s="89">
        <f t="shared" ref="P58" si="132">GEOMEAN(M58,N58)</f>
        <v>19.958579805080294</v>
      </c>
      <c r="Q58" t="s">
        <v>423</v>
      </c>
      <c r="R58" t="s">
        <v>311</v>
      </c>
      <c r="S58" t="s">
        <v>106</v>
      </c>
      <c r="T58" t="s">
        <v>107</v>
      </c>
      <c r="U58" t="s">
        <v>108</v>
      </c>
      <c r="V58" t="s">
        <v>235</v>
      </c>
      <c r="W58" s="96">
        <f t="shared" ref="W58" si="133">_xlfn.STDEV.S(V58:V61)</f>
        <v>8.8915005261067798E-2</v>
      </c>
      <c r="X58" s="128">
        <f t="shared" ref="X58" si="134">AVERAGE(V58:V61)</f>
        <v>33.238428751627602</v>
      </c>
      <c r="Y58" s="96">
        <f t="shared" ref="Y58" si="135">X58-P58</f>
        <v>13.279848946547308</v>
      </c>
      <c r="Z58" s="96">
        <f t="shared" ref="Z58" si="136">Y58-$AE$6</f>
        <v>0.55419342512637293</v>
      </c>
      <c r="AA58" s="84">
        <f t="shared" ref="AA58" si="137">2^-Z58</f>
        <v>0.68103770305694944</v>
      </c>
      <c r="AB58" s="127"/>
      <c r="AC58" s="1">
        <f t="shared" ref="AC58" si="138">LOG(AA58,2)</f>
        <v>-0.55419342512637293</v>
      </c>
      <c r="AD58" s="1"/>
      <c r="AE58" s="1"/>
    </row>
    <row r="59" spans="1:31" x14ac:dyDescent="0.25">
      <c r="A59" s="101"/>
      <c r="B59" s="1">
        <v>365</v>
      </c>
      <c r="C59" s="1" t="s">
        <v>402</v>
      </c>
      <c r="D59" s="1" t="b">
        <v>0</v>
      </c>
      <c r="E59" s="1" t="s">
        <v>423</v>
      </c>
      <c r="F59" s="1" t="s">
        <v>332</v>
      </c>
      <c r="G59" s="1" t="s">
        <v>106</v>
      </c>
      <c r="H59" s="1"/>
      <c r="I59" s="1"/>
      <c r="J59" s="1">
        <v>22.497089385986328</v>
      </c>
      <c r="K59" s="1">
        <v>17.797683715820313</v>
      </c>
      <c r="L59" s="14"/>
      <c r="M59" s="105"/>
      <c r="N59" s="105"/>
      <c r="O59" s="105"/>
      <c r="P59" s="90"/>
      <c r="Q59" t="s">
        <v>423</v>
      </c>
      <c r="R59" t="s">
        <v>311</v>
      </c>
      <c r="S59" t="s">
        <v>106</v>
      </c>
      <c r="T59" t="s">
        <v>107</v>
      </c>
      <c r="U59" t="s">
        <v>108</v>
      </c>
      <c r="V59" s="3">
        <v>33.262706756591797</v>
      </c>
      <c r="W59" s="97"/>
      <c r="X59" s="129"/>
      <c r="Y59" s="97"/>
      <c r="Z59" s="97"/>
      <c r="AA59" s="85"/>
      <c r="AB59" s="127"/>
      <c r="AC59" s="1"/>
      <c r="AD59" s="1"/>
      <c r="AE59" s="1"/>
    </row>
    <row r="60" spans="1:31" x14ac:dyDescent="0.25">
      <c r="A60" s="101"/>
      <c r="B60" s="1">
        <v>342</v>
      </c>
      <c r="C60" s="1" t="s">
        <v>391</v>
      </c>
      <c r="D60" s="1" t="b">
        <v>0</v>
      </c>
      <c r="E60" s="1" t="s">
        <v>423</v>
      </c>
      <c r="F60" s="1" t="s">
        <v>332</v>
      </c>
      <c r="G60" s="1" t="s">
        <v>106</v>
      </c>
      <c r="H60" s="1"/>
      <c r="I60" s="1"/>
      <c r="J60" s="1">
        <v>22.538244247436523</v>
      </c>
      <c r="K60" s="1">
        <v>17.612838745117188</v>
      </c>
      <c r="L60" s="14"/>
      <c r="M60" s="105"/>
      <c r="N60" s="105"/>
      <c r="O60" s="105"/>
      <c r="P60" s="90"/>
      <c r="Q60" t="s">
        <v>423</v>
      </c>
      <c r="R60" t="s">
        <v>311</v>
      </c>
      <c r="S60" t="s">
        <v>106</v>
      </c>
      <c r="T60" t="s">
        <v>107</v>
      </c>
      <c r="U60" t="s">
        <v>108</v>
      </c>
      <c r="V60" s="3">
        <v>33.31268310546875</v>
      </c>
      <c r="W60" s="97"/>
      <c r="X60" s="129"/>
      <c r="Y60" s="97"/>
      <c r="Z60" s="97"/>
      <c r="AA60" s="85"/>
      <c r="AB60" s="127"/>
      <c r="AC60" s="1"/>
      <c r="AD60" s="1"/>
      <c r="AE60" s="1"/>
    </row>
    <row r="61" spans="1:31" ht="15.75" thickBot="1" x14ac:dyDescent="0.3">
      <c r="A61" s="107"/>
      <c r="B61" s="83">
        <v>366</v>
      </c>
      <c r="C61" s="83" t="s">
        <v>403</v>
      </c>
      <c r="D61" s="83" t="b">
        <v>0</v>
      </c>
      <c r="E61" s="83" t="s">
        <v>423</v>
      </c>
      <c r="F61" s="83" t="s">
        <v>332</v>
      </c>
      <c r="G61" s="83" t="s">
        <v>106</v>
      </c>
      <c r="H61" s="83">
        <f t="shared" ref="H61" si="139">_xlfn.STDEV.S(K58:K61)</f>
        <v>8.2836208560146937E-2</v>
      </c>
      <c r="I61" s="83">
        <f t="shared" ref="I61" si="140">_xlfn.STDEV.S(J58:J61)</f>
        <v>2.1035524413747859E-2</v>
      </c>
      <c r="J61" s="83">
        <v>22.531906127929688</v>
      </c>
      <c r="K61" s="83">
        <v>17.686054229736328</v>
      </c>
      <c r="L61" s="17"/>
      <c r="M61" s="108"/>
      <c r="N61" s="108"/>
      <c r="O61" s="108"/>
      <c r="P61" s="109"/>
      <c r="Q61" t="s">
        <v>423</v>
      </c>
      <c r="R61" t="s">
        <v>311</v>
      </c>
      <c r="S61" t="s">
        <v>106</v>
      </c>
      <c r="T61" t="s">
        <v>107</v>
      </c>
      <c r="U61" t="s">
        <v>108</v>
      </c>
      <c r="V61" s="3">
        <v>33.139896392822266</v>
      </c>
      <c r="W61" s="98"/>
      <c r="X61" s="130"/>
      <c r="Y61" s="98"/>
      <c r="Z61" s="98"/>
      <c r="AA61" s="86"/>
      <c r="AB61" s="127"/>
      <c r="AC61" s="1"/>
      <c r="AD61" s="1"/>
      <c r="AE61" s="1"/>
    </row>
    <row r="62" spans="1:31" x14ac:dyDescent="0.25">
      <c r="A62" s="100"/>
      <c r="B62" s="9">
        <v>343</v>
      </c>
      <c r="C62" s="9" t="s">
        <v>392</v>
      </c>
      <c r="D62" s="9" t="b">
        <v>0</v>
      </c>
      <c r="E62" s="9" t="s">
        <v>425</v>
      </c>
      <c r="F62" s="9" t="s">
        <v>332</v>
      </c>
      <c r="G62" s="9" t="s">
        <v>106</v>
      </c>
      <c r="H62" s="9"/>
      <c r="I62" s="9"/>
      <c r="J62" s="9">
        <v>22.504655838012695</v>
      </c>
      <c r="K62" s="9">
        <v>17.712419509887695</v>
      </c>
      <c r="L62" s="11"/>
      <c r="M62" s="104">
        <f t="shared" ref="M62:N62" si="141">AVERAGE(J62:J65)</f>
        <v>22.514381408691406</v>
      </c>
      <c r="N62" s="104">
        <f t="shared" si="141"/>
        <v>17.726653575897217</v>
      </c>
      <c r="O62" s="104"/>
      <c r="P62" s="89">
        <f t="shared" ref="P62" si="142">GEOMEAN(M62,N62)</f>
        <v>19.977603452553897</v>
      </c>
      <c r="Q62" t="s">
        <v>425</v>
      </c>
      <c r="R62" t="s">
        <v>311</v>
      </c>
      <c r="S62" t="s">
        <v>106</v>
      </c>
      <c r="T62" t="s">
        <v>107</v>
      </c>
      <c r="U62" t="s">
        <v>108</v>
      </c>
      <c r="V62" s="3">
        <v>31.63286018371582</v>
      </c>
      <c r="W62" s="96">
        <f t="shared" ref="W62" si="143">_xlfn.STDEV.S(V62:V65)</f>
        <v>1.1606082319087152</v>
      </c>
      <c r="X62" s="128">
        <f t="shared" ref="X62" si="144">AVERAGE(V62:V65)</f>
        <v>32.454424540201821</v>
      </c>
      <c r="Y62" s="96">
        <f t="shared" ref="Y62" si="145">X62-P62</f>
        <v>12.476821087647924</v>
      </c>
      <c r="Z62" s="96">
        <f t="shared" ref="Z62" si="146">Y62-$AE$6</f>
        <v>-0.24883443377301084</v>
      </c>
      <c r="AA62" s="84">
        <f t="shared" ref="AA62" si="147">2^-Z62</f>
        <v>1.1882467319415204</v>
      </c>
      <c r="AB62" s="127"/>
      <c r="AC62" s="1">
        <f t="shared" ref="AC62" si="148">LOG(AA62,2)</f>
        <v>0.24883443377301095</v>
      </c>
      <c r="AD62" s="1"/>
      <c r="AE62" s="1"/>
    </row>
    <row r="63" spans="1:31" x14ac:dyDescent="0.25">
      <c r="A63" s="101"/>
      <c r="B63" s="1">
        <v>367</v>
      </c>
      <c r="C63" s="1" t="s">
        <v>404</v>
      </c>
      <c r="D63" s="1" t="b">
        <v>0</v>
      </c>
      <c r="E63" s="1" t="s">
        <v>425</v>
      </c>
      <c r="F63" s="1" t="s">
        <v>332</v>
      </c>
      <c r="G63" s="1" t="s">
        <v>106</v>
      </c>
      <c r="H63" s="1"/>
      <c r="I63" s="1"/>
      <c r="J63" s="1">
        <v>22.53801155090332</v>
      </c>
      <c r="K63" s="1">
        <v>17.806955337524414</v>
      </c>
      <c r="L63" s="14"/>
      <c r="M63" s="105"/>
      <c r="N63" s="105"/>
      <c r="O63" s="105"/>
      <c r="P63" s="90"/>
      <c r="Q63" t="s">
        <v>425</v>
      </c>
      <c r="R63" t="s">
        <v>311</v>
      </c>
      <c r="S63" t="s">
        <v>106</v>
      </c>
      <c r="T63" t="s">
        <v>107</v>
      </c>
      <c r="U63" t="s">
        <v>108</v>
      </c>
      <c r="V63" s="3">
        <v>31.948263168334961</v>
      </c>
      <c r="W63" s="97"/>
      <c r="X63" s="129"/>
      <c r="Y63" s="97"/>
      <c r="Z63" s="97"/>
      <c r="AA63" s="85"/>
      <c r="AB63" s="127"/>
      <c r="AC63" s="1"/>
      <c r="AD63" s="1"/>
      <c r="AE63" s="1"/>
    </row>
    <row r="64" spans="1:31" x14ac:dyDescent="0.25">
      <c r="A64" s="101"/>
      <c r="B64" s="1">
        <v>344</v>
      </c>
      <c r="C64" s="1" t="s">
        <v>393</v>
      </c>
      <c r="D64" s="1" t="b">
        <v>0</v>
      </c>
      <c r="E64" s="1" t="s">
        <v>425</v>
      </c>
      <c r="F64" s="1" t="s">
        <v>332</v>
      </c>
      <c r="G64" s="1" t="s">
        <v>106</v>
      </c>
      <c r="H64" s="1"/>
      <c r="I64" s="1"/>
      <c r="J64" s="1">
        <v>22.499790191650391</v>
      </c>
      <c r="K64" s="1">
        <v>17.708463668823242</v>
      </c>
      <c r="L64" s="14"/>
      <c r="M64" s="105"/>
      <c r="N64" s="105"/>
      <c r="O64" s="105"/>
      <c r="P64" s="90"/>
      <c r="Q64" t="s">
        <v>425</v>
      </c>
      <c r="R64" t="s">
        <v>311</v>
      </c>
      <c r="S64" t="s">
        <v>106</v>
      </c>
      <c r="T64" t="s">
        <v>107</v>
      </c>
      <c r="U64" t="s">
        <v>108</v>
      </c>
      <c r="V64" t="s">
        <v>235</v>
      </c>
      <c r="W64" s="97"/>
      <c r="X64" s="129"/>
      <c r="Y64" s="97"/>
      <c r="Z64" s="97"/>
      <c r="AA64" s="85"/>
      <c r="AB64" s="127"/>
      <c r="AC64" s="1"/>
      <c r="AD64" s="1"/>
      <c r="AE64" s="1"/>
    </row>
    <row r="65" spans="1:31" ht="15.75" thickBot="1" x14ac:dyDescent="0.3">
      <c r="A65" s="107"/>
      <c r="B65" s="83">
        <v>368</v>
      </c>
      <c r="C65" s="83" t="s">
        <v>405</v>
      </c>
      <c r="D65" s="83" t="b">
        <v>0</v>
      </c>
      <c r="E65" s="83" t="s">
        <v>425</v>
      </c>
      <c r="F65" s="83" t="s">
        <v>332</v>
      </c>
      <c r="G65" s="83" t="s">
        <v>106</v>
      </c>
      <c r="H65" s="83">
        <f t="shared" ref="H65" si="149">_xlfn.STDEV.S(K62:K65)</f>
        <v>5.5600170595631028E-2</v>
      </c>
      <c r="I65" s="83">
        <f t="shared" ref="I65" si="150">_xlfn.STDEV.S(J62:J65)</f>
        <v>1.6993581560629578E-2</v>
      </c>
      <c r="J65" s="83">
        <v>22.515068054199219</v>
      </c>
      <c r="K65" s="83">
        <v>17.678775787353516</v>
      </c>
      <c r="L65" s="17"/>
      <c r="M65" s="108"/>
      <c r="N65" s="108"/>
      <c r="O65" s="108"/>
      <c r="P65" s="109"/>
      <c r="Q65" t="s">
        <v>425</v>
      </c>
      <c r="R65" t="s">
        <v>311</v>
      </c>
      <c r="S65" t="s">
        <v>106</v>
      </c>
      <c r="T65" t="s">
        <v>107</v>
      </c>
      <c r="U65" t="s">
        <v>108</v>
      </c>
      <c r="V65" s="3">
        <v>33.782150268554688</v>
      </c>
      <c r="W65" s="98"/>
      <c r="X65" s="130"/>
      <c r="Y65" s="98"/>
      <c r="Z65" s="98"/>
      <c r="AA65" s="86"/>
      <c r="AB65" s="127"/>
      <c r="AC65" s="1"/>
      <c r="AD65" s="1"/>
      <c r="AE65" s="1"/>
    </row>
    <row r="66" spans="1:31" x14ac:dyDescent="0.25">
      <c r="A66" s="100"/>
      <c r="B66" s="9">
        <v>345</v>
      </c>
      <c r="C66" s="9" t="s">
        <v>394</v>
      </c>
      <c r="D66" s="9" t="b">
        <v>0</v>
      </c>
      <c r="E66" s="9" t="s">
        <v>426</v>
      </c>
      <c r="F66" s="9" t="s">
        <v>332</v>
      </c>
      <c r="G66" s="9" t="s">
        <v>106</v>
      </c>
      <c r="H66" s="9"/>
      <c r="I66" s="9"/>
      <c r="J66" s="9">
        <v>22.853849411010742</v>
      </c>
      <c r="K66" s="9">
        <v>18.554037094116211</v>
      </c>
      <c r="L66" s="11"/>
      <c r="M66" s="104">
        <f t="shared" ref="M66:N66" si="151">AVERAGE(J66:J69)</f>
        <v>22.862873554229736</v>
      </c>
      <c r="N66" s="104">
        <f t="shared" si="151"/>
        <v>18.527228832244873</v>
      </c>
      <c r="O66" s="104"/>
      <c r="P66" s="89">
        <f t="shared" ref="P66" si="152">GEOMEAN(M66,N66)</f>
        <v>20.581197489502255</v>
      </c>
      <c r="Q66" t="s">
        <v>426</v>
      </c>
      <c r="R66" t="s">
        <v>311</v>
      </c>
      <c r="S66" t="s">
        <v>106</v>
      </c>
      <c r="T66" t="s">
        <v>107</v>
      </c>
      <c r="U66" t="s">
        <v>108</v>
      </c>
      <c r="V66" t="s">
        <v>235</v>
      </c>
      <c r="W66" s="96">
        <f t="shared" ref="W66" si="153">_xlfn.STDEV.S(V66:V69)</f>
        <v>0.89009556231168607</v>
      </c>
      <c r="X66" s="128">
        <f t="shared" ref="X66" si="154">AVERAGE(V66:V69)</f>
        <v>32.315776824951172</v>
      </c>
      <c r="Y66" s="96">
        <f t="shared" ref="Y66" si="155">X66-P66</f>
        <v>11.734579335448917</v>
      </c>
      <c r="Z66" s="96">
        <f t="shared" ref="Z66" si="156">Y66-$AE$6</f>
        <v>-0.99107618597201785</v>
      </c>
      <c r="AA66" s="84">
        <f t="shared" ref="AA66" si="157">2^-Z66</f>
        <v>1.9876671487827269</v>
      </c>
      <c r="AB66" s="119"/>
      <c r="AC66" s="1">
        <f t="shared" ref="AC66" si="158">LOG(AA66,2)</f>
        <v>0.99107618597201785</v>
      </c>
      <c r="AD66" s="1"/>
      <c r="AE66" s="1"/>
    </row>
    <row r="67" spans="1:31" x14ac:dyDescent="0.25">
      <c r="A67" s="101"/>
      <c r="B67" s="1">
        <v>369</v>
      </c>
      <c r="C67" s="1" t="s">
        <v>406</v>
      </c>
      <c r="D67" s="1" t="b">
        <v>0</v>
      </c>
      <c r="E67" s="1" t="s">
        <v>426</v>
      </c>
      <c r="F67" s="1" t="s">
        <v>332</v>
      </c>
      <c r="G67" s="1" t="s">
        <v>106</v>
      </c>
      <c r="H67" s="1"/>
      <c r="I67" s="1"/>
      <c r="J67" s="1">
        <v>22.905683517456055</v>
      </c>
      <c r="K67" s="1">
        <v>18.587224960327148</v>
      </c>
      <c r="L67" s="14"/>
      <c r="M67" s="105"/>
      <c r="N67" s="105"/>
      <c r="O67" s="105"/>
      <c r="P67" s="90"/>
      <c r="Q67" t="s">
        <v>426</v>
      </c>
      <c r="R67" t="s">
        <v>311</v>
      </c>
      <c r="S67" t="s">
        <v>106</v>
      </c>
      <c r="T67" t="s">
        <v>107</v>
      </c>
      <c r="U67" t="s">
        <v>108</v>
      </c>
      <c r="V67" s="3">
        <v>32.341167449951172</v>
      </c>
      <c r="W67" s="97"/>
      <c r="X67" s="129"/>
      <c r="Y67" s="97"/>
      <c r="Z67" s="97"/>
      <c r="AA67" s="85"/>
      <c r="AB67" s="119"/>
      <c r="AC67" s="1"/>
      <c r="AD67" s="1"/>
      <c r="AE67" s="1"/>
    </row>
    <row r="68" spans="1:31" x14ac:dyDescent="0.25">
      <c r="A68" s="101"/>
      <c r="B68" s="1">
        <v>346</v>
      </c>
      <c r="C68" s="1" t="s">
        <v>395</v>
      </c>
      <c r="D68" s="1" t="b">
        <v>0</v>
      </c>
      <c r="E68" s="1" t="s">
        <v>426</v>
      </c>
      <c r="F68" s="1" t="s">
        <v>332</v>
      </c>
      <c r="G68" s="1" t="s">
        <v>106</v>
      </c>
      <c r="H68" s="1"/>
      <c r="I68" s="1"/>
      <c r="J68" s="1">
        <v>22.859567642211914</v>
      </c>
      <c r="K68" s="1">
        <v>18.580108642578125</v>
      </c>
      <c r="L68" s="14"/>
      <c r="M68" s="105"/>
      <c r="N68" s="105"/>
      <c r="O68" s="105"/>
      <c r="P68" s="90"/>
      <c r="Q68" t="s">
        <v>426</v>
      </c>
      <c r="R68" t="s">
        <v>311</v>
      </c>
      <c r="S68" t="s">
        <v>106</v>
      </c>
      <c r="T68" t="s">
        <v>107</v>
      </c>
      <c r="U68" t="s">
        <v>108</v>
      </c>
      <c r="V68" s="3">
        <v>33.192905426025391</v>
      </c>
      <c r="W68" s="97"/>
      <c r="X68" s="129"/>
      <c r="Y68" s="97"/>
      <c r="Z68" s="97"/>
      <c r="AA68" s="85"/>
      <c r="AB68" s="119"/>
      <c r="AC68" s="1"/>
      <c r="AD68" s="1"/>
      <c r="AE68" s="1"/>
    </row>
    <row r="69" spans="1:31" ht="15.75" thickBot="1" x14ac:dyDescent="0.3">
      <c r="A69" s="107"/>
      <c r="B69" s="83">
        <v>370</v>
      </c>
      <c r="C69" s="83" t="s">
        <v>407</v>
      </c>
      <c r="D69" s="83" t="b">
        <v>0</v>
      </c>
      <c r="E69" s="83" t="s">
        <v>426</v>
      </c>
      <c r="F69" s="83" t="s">
        <v>332</v>
      </c>
      <c r="G69" s="83" t="s">
        <v>106</v>
      </c>
      <c r="H69" s="83">
        <f t="shared" ref="H69" si="159">_xlfn.STDEV.S(K66:K69)</f>
        <v>9.4209285529769315E-2</v>
      </c>
      <c r="I69" s="83">
        <f t="shared" ref="I69" si="160">_xlfn.STDEV.S(J66:J69)</f>
        <v>3.0844134815735145E-2</v>
      </c>
      <c r="J69" s="83">
        <v>22.832393646240234</v>
      </c>
      <c r="K69" s="83">
        <v>18.387544631958008</v>
      </c>
      <c r="L69" s="17"/>
      <c r="M69" s="108"/>
      <c r="N69" s="108"/>
      <c r="O69" s="108"/>
      <c r="P69" s="109"/>
      <c r="Q69" t="s">
        <v>426</v>
      </c>
      <c r="R69" t="s">
        <v>311</v>
      </c>
      <c r="S69" t="s">
        <v>106</v>
      </c>
      <c r="T69" t="s">
        <v>107</v>
      </c>
      <c r="U69" t="s">
        <v>108</v>
      </c>
      <c r="V69" s="3">
        <v>31.413257598876953</v>
      </c>
      <c r="W69" s="98"/>
      <c r="X69" s="130"/>
      <c r="Y69" s="98"/>
      <c r="Z69" s="98"/>
      <c r="AA69" s="86"/>
      <c r="AB69" s="119"/>
      <c r="AC69" s="1"/>
      <c r="AD69" s="1"/>
      <c r="AE69" s="1"/>
    </row>
    <row r="70" spans="1:31" x14ac:dyDescent="0.25">
      <c r="A70" s="100"/>
      <c r="B70" s="9">
        <v>347</v>
      </c>
      <c r="C70" s="9" t="s">
        <v>396</v>
      </c>
      <c r="D70" s="9" t="b">
        <v>0</v>
      </c>
      <c r="E70" s="9" t="s">
        <v>427</v>
      </c>
      <c r="F70" s="9" t="s">
        <v>332</v>
      </c>
      <c r="G70" s="9" t="s">
        <v>106</v>
      </c>
      <c r="H70" s="9"/>
      <c r="I70" s="9"/>
      <c r="J70" s="9">
        <v>22.899017333984375</v>
      </c>
      <c r="K70" s="9">
        <v>18.637588500976563</v>
      </c>
      <c r="L70" s="11"/>
      <c r="M70" s="104">
        <f t="shared" ref="M70:N70" si="161">AVERAGE(J70:J73)</f>
        <v>23.081553936004639</v>
      </c>
      <c r="N70" s="104">
        <f t="shared" si="161"/>
        <v>18.681993961334229</v>
      </c>
      <c r="O70" s="104"/>
      <c r="P70" s="89">
        <f t="shared" ref="P70" si="162">GEOMEAN(M70,N70)</f>
        <v>20.765583335188275</v>
      </c>
      <c r="Q70" t="s">
        <v>427</v>
      </c>
      <c r="R70" t="s">
        <v>311</v>
      </c>
      <c r="S70" t="s">
        <v>106</v>
      </c>
      <c r="T70" t="s">
        <v>107</v>
      </c>
      <c r="U70" t="s">
        <v>108</v>
      </c>
      <c r="V70" s="3">
        <v>33.438137054443359</v>
      </c>
      <c r="W70" s="96">
        <f t="shared" ref="W70" si="163">_xlfn.STDEV.S(V70:V73)</f>
        <v>1.0182825898717058</v>
      </c>
      <c r="X70" s="128">
        <f t="shared" ref="X70" si="164">AVERAGE(V70:V73)</f>
        <v>32.821980794270836</v>
      </c>
      <c r="Y70" s="96">
        <f t="shared" ref="Y70" si="165">X70-P70</f>
        <v>12.056397459082561</v>
      </c>
      <c r="Z70" s="96">
        <f t="shared" ref="Z70" si="166">Y70-$AE$6</f>
        <v>-0.6692580623383737</v>
      </c>
      <c r="AA70" s="84">
        <f t="shared" ref="AA70" si="167">2^-Z70</f>
        <v>1.590254933599379</v>
      </c>
      <c r="AB70" s="119"/>
      <c r="AC70" s="1">
        <f t="shared" ref="AC70" si="168">LOG(AA70,2)</f>
        <v>0.66925806233837359</v>
      </c>
      <c r="AD70" s="1"/>
      <c r="AE70" s="1"/>
    </row>
    <row r="71" spans="1:31" x14ac:dyDescent="0.25">
      <c r="A71" s="101"/>
      <c r="B71" s="1">
        <v>371</v>
      </c>
      <c r="C71" s="1" t="s">
        <v>408</v>
      </c>
      <c r="D71" s="1" t="b">
        <v>0</v>
      </c>
      <c r="E71" s="1" t="s">
        <v>427</v>
      </c>
      <c r="F71" s="1" t="s">
        <v>332</v>
      </c>
      <c r="G71" s="1" t="s">
        <v>106</v>
      </c>
      <c r="H71" s="1"/>
      <c r="I71" s="1"/>
      <c r="J71" s="1">
        <v>22.754722595214844</v>
      </c>
      <c r="K71" s="1">
        <v>18.74791145324707</v>
      </c>
      <c r="L71" s="14"/>
      <c r="M71" s="105"/>
      <c r="N71" s="105"/>
      <c r="O71" s="105"/>
      <c r="P71" s="90"/>
      <c r="Q71" t="s">
        <v>427</v>
      </c>
      <c r="R71" t="s">
        <v>311</v>
      </c>
      <c r="S71" t="s">
        <v>106</v>
      </c>
      <c r="T71" t="s">
        <v>107</v>
      </c>
      <c r="U71" t="s">
        <v>108</v>
      </c>
      <c r="V71" s="3">
        <v>33.381175994873047</v>
      </c>
      <c r="W71" s="97"/>
      <c r="X71" s="129"/>
      <c r="Y71" s="97"/>
      <c r="Z71" s="97"/>
      <c r="AA71" s="85"/>
      <c r="AB71" s="119"/>
      <c r="AC71" s="1"/>
      <c r="AD71" s="1"/>
      <c r="AE71" s="1"/>
    </row>
    <row r="72" spans="1:31" x14ac:dyDescent="0.25">
      <c r="A72" s="101"/>
      <c r="B72" s="1">
        <v>348</v>
      </c>
      <c r="C72" s="1" t="s">
        <v>397</v>
      </c>
      <c r="D72" s="1" t="b">
        <v>0</v>
      </c>
      <c r="E72" s="1" t="s">
        <v>427</v>
      </c>
      <c r="F72" s="1" t="s">
        <v>332</v>
      </c>
      <c r="G72" s="1" t="s">
        <v>106</v>
      </c>
      <c r="H72" s="1"/>
      <c r="I72" s="1"/>
      <c r="J72" s="1">
        <v>22.944528579711914</v>
      </c>
      <c r="K72" s="1">
        <v>18.6053466796875</v>
      </c>
      <c r="L72" s="14"/>
      <c r="M72" s="105"/>
      <c r="N72" s="105"/>
      <c r="O72" s="105"/>
      <c r="P72" s="90"/>
      <c r="Q72" t="s">
        <v>427</v>
      </c>
      <c r="R72" t="s">
        <v>311</v>
      </c>
      <c r="S72" t="s">
        <v>106</v>
      </c>
      <c r="T72" t="s">
        <v>107</v>
      </c>
      <c r="U72" t="s">
        <v>108</v>
      </c>
      <c r="V72" s="3">
        <v>31.646629333496094</v>
      </c>
      <c r="W72" s="97"/>
      <c r="X72" s="129"/>
      <c r="Y72" s="97"/>
      <c r="Z72" s="97"/>
      <c r="AA72" s="85"/>
      <c r="AB72" s="119"/>
      <c r="AC72" s="1"/>
      <c r="AD72" s="1"/>
      <c r="AE72" s="1"/>
    </row>
    <row r="73" spans="1:31" ht="15.75" thickBot="1" x14ac:dyDescent="0.3">
      <c r="A73" s="107"/>
      <c r="B73" s="83">
        <v>372</v>
      </c>
      <c r="C73" s="83" t="s">
        <v>409</v>
      </c>
      <c r="D73" s="83" t="b">
        <v>0</v>
      </c>
      <c r="E73" s="83" t="s">
        <v>427</v>
      </c>
      <c r="F73" s="83" t="s">
        <v>332</v>
      </c>
      <c r="G73" s="83" t="s">
        <v>106</v>
      </c>
      <c r="H73" s="83">
        <f t="shared" ref="H73" si="169">_xlfn.STDEV.S(K70:K73)</f>
        <v>7.1254619116112514E-2</v>
      </c>
      <c r="I73" s="83">
        <f t="shared" ref="I73" si="170">_xlfn.STDEV.S(J70:J73)</f>
        <v>0.43845888510846998</v>
      </c>
      <c r="J73" s="83">
        <v>23.727947235107422</v>
      </c>
      <c r="K73" s="83">
        <v>18.737129211425781</v>
      </c>
      <c r="L73" s="17"/>
      <c r="M73" s="108"/>
      <c r="N73" s="108"/>
      <c r="O73" s="108"/>
      <c r="P73" s="109"/>
      <c r="Q73" t="s">
        <v>427</v>
      </c>
      <c r="R73" t="s">
        <v>311</v>
      </c>
      <c r="S73" t="s">
        <v>106</v>
      </c>
      <c r="T73" t="s">
        <v>107</v>
      </c>
      <c r="U73" t="s">
        <v>108</v>
      </c>
      <c r="V73" t="s">
        <v>235</v>
      </c>
      <c r="W73" s="98"/>
      <c r="X73" s="130"/>
      <c r="Y73" s="98"/>
      <c r="Z73" s="98"/>
      <c r="AA73" s="86"/>
      <c r="AB73" s="119"/>
      <c r="AC73" s="1"/>
      <c r="AD73" s="1"/>
      <c r="AE73" s="1"/>
    </row>
    <row r="74" spans="1:31" x14ac:dyDescent="0.25">
      <c r="A74" s="100"/>
      <c r="B74" s="11"/>
      <c r="C74" s="11"/>
      <c r="D74" s="11"/>
      <c r="E74" s="11"/>
      <c r="F74" s="11"/>
      <c r="G74" s="11"/>
      <c r="H74" s="96"/>
      <c r="I74" s="96"/>
      <c r="J74" s="22"/>
      <c r="K74" s="27"/>
      <c r="L74" s="11"/>
      <c r="M74" s="104"/>
      <c r="N74" s="104"/>
      <c r="O74" s="104"/>
      <c r="P74" s="89"/>
      <c r="Q74" s="13"/>
      <c r="R74" s="11"/>
      <c r="S74" s="11"/>
      <c r="T74" s="11"/>
      <c r="U74" s="11"/>
      <c r="V74" s="29"/>
      <c r="W74" s="96"/>
      <c r="X74" s="124"/>
      <c r="Y74" s="96"/>
      <c r="Z74" s="96"/>
      <c r="AA74" s="96"/>
      <c r="AB74" s="119"/>
      <c r="AC74" s="1"/>
      <c r="AD74" s="1"/>
      <c r="AE74" s="1"/>
    </row>
    <row r="75" spans="1:31" x14ac:dyDescent="0.25">
      <c r="A75" s="101"/>
      <c r="B75" s="14"/>
      <c r="C75" s="14"/>
      <c r="D75" s="14"/>
      <c r="E75" s="14"/>
      <c r="F75" s="14"/>
      <c r="G75" s="14"/>
      <c r="H75" s="97"/>
      <c r="I75" s="97"/>
      <c r="J75" s="24"/>
      <c r="K75" s="30"/>
      <c r="L75" s="14"/>
      <c r="M75" s="105"/>
      <c r="N75" s="105"/>
      <c r="O75" s="105"/>
      <c r="P75" s="90"/>
      <c r="Q75" s="16"/>
      <c r="R75" s="14"/>
      <c r="S75" s="14"/>
      <c r="T75" s="14"/>
      <c r="U75" s="14"/>
      <c r="V75" s="26"/>
      <c r="W75" s="97"/>
      <c r="X75" s="125"/>
      <c r="Y75" s="97"/>
      <c r="Z75" s="97"/>
      <c r="AA75" s="97"/>
      <c r="AB75" s="119"/>
      <c r="AC75" s="1"/>
      <c r="AD75" s="1"/>
      <c r="AE75" s="1"/>
    </row>
    <row r="76" spans="1:31" x14ac:dyDescent="0.25">
      <c r="A76" s="101"/>
      <c r="B76" s="14"/>
      <c r="C76" s="14"/>
      <c r="D76" s="14"/>
      <c r="E76" s="14"/>
      <c r="F76" s="14"/>
      <c r="G76" s="14"/>
      <c r="H76" s="97"/>
      <c r="I76" s="97"/>
      <c r="J76" s="31"/>
      <c r="K76" s="32"/>
      <c r="L76" s="14"/>
      <c r="M76" s="105"/>
      <c r="N76" s="105"/>
      <c r="O76" s="105"/>
      <c r="P76" s="90"/>
      <c r="Q76" s="16"/>
      <c r="R76" s="14"/>
      <c r="S76" s="14"/>
      <c r="T76" s="14"/>
      <c r="U76" s="14"/>
      <c r="V76" s="26"/>
      <c r="W76" s="97"/>
      <c r="X76" s="125"/>
      <c r="Y76" s="97"/>
      <c r="Z76" s="97"/>
      <c r="AA76" s="97"/>
      <c r="AB76" s="119"/>
      <c r="AC76" s="1"/>
      <c r="AD76" s="1"/>
      <c r="AE76" s="1"/>
    </row>
    <row r="77" spans="1:31" ht="15.75" thickBot="1" x14ac:dyDescent="0.3">
      <c r="A77" s="107"/>
      <c r="B77" s="17"/>
      <c r="C77" s="17"/>
      <c r="D77" s="17"/>
      <c r="E77" s="17"/>
      <c r="F77" s="17"/>
      <c r="G77" s="17"/>
      <c r="H77" s="98"/>
      <c r="I77" s="98"/>
      <c r="J77" s="33"/>
      <c r="K77" s="20"/>
      <c r="L77" s="17"/>
      <c r="M77" s="108"/>
      <c r="N77" s="108"/>
      <c r="O77" s="108"/>
      <c r="P77" s="109"/>
      <c r="Q77" s="18"/>
      <c r="R77" s="17"/>
      <c r="S77" s="17"/>
      <c r="T77" s="17"/>
      <c r="U77" s="17"/>
      <c r="V77" s="34"/>
      <c r="W77" s="98"/>
      <c r="X77" s="126"/>
      <c r="Y77" s="98"/>
      <c r="Z77" s="98"/>
      <c r="AA77" s="98"/>
      <c r="AB77" s="119"/>
      <c r="AC77" s="1"/>
      <c r="AD77" s="1"/>
      <c r="AE77" s="1"/>
    </row>
    <row r="78" spans="1:31" x14ac:dyDescent="0.25">
      <c r="A78" s="100"/>
      <c r="B78" s="11"/>
      <c r="C78" s="11"/>
      <c r="D78" s="11"/>
      <c r="E78" s="11"/>
      <c r="F78" s="11"/>
      <c r="G78" s="11"/>
      <c r="H78" s="92"/>
      <c r="I78" s="96"/>
      <c r="J78" s="35"/>
      <c r="K78" s="36"/>
      <c r="L78" s="11"/>
      <c r="M78" s="104"/>
      <c r="N78" s="104"/>
      <c r="O78" s="104"/>
      <c r="P78" s="89"/>
      <c r="Q78" s="13"/>
      <c r="R78" s="11"/>
      <c r="S78" s="11"/>
      <c r="T78" s="11"/>
      <c r="U78" s="11"/>
      <c r="V78" s="37"/>
      <c r="W78" s="96"/>
      <c r="X78" s="121"/>
      <c r="Y78" s="96"/>
      <c r="Z78" s="96"/>
      <c r="AA78" s="96"/>
      <c r="AB78" s="119"/>
      <c r="AC78" s="1"/>
      <c r="AD78" s="1"/>
      <c r="AE78" s="1"/>
    </row>
    <row r="79" spans="1:31" x14ac:dyDescent="0.25">
      <c r="A79" s="101"/>
      <c r="B79" s="14"/>
      <c r="C79" s="14"/>
      <c r="D79" s="14"/>
      <c r="E79" s="14"/>
      <c r="F79" s="14"/>
      <c r="G79" s="14"/>
      <c r="H79" s="93"/>
      <c r="I79" s="97"/>
      <c r="J79" s="38"/>
      <c r="K79" s="39"/>
      <c r="L79" s="14"/>
      <c r="M79" s="105"/>
      <c r="N79" s="105"/>
      <c r="O79" s="105"/>
      <c r="P79" s="90"/>
      <c r="Q79" s="16"/>
      <c r="R79" s="14"/>
      <c r="S79" s="14"/>
      <c r="T79" s="14"/>
      <c r="U79" s="14"/>
      <c r="V79" s="40"/>
      <c r="W79" s="97"/>
      <c r="X79" s="122"/>
      <c r="Y79" s="97"/>
      <c r="Z79" s="97"/>
      <c r="AA79" s="97"/>
      <c r="AB79" s="119"/>
      <c r="AC79" s="1"/>
      <c r="AD79" s="1"/>
      <c r="AE79" s="1"/>
    </row>
    <row r="80" spans="1:31" x14ac:dyDescent="0.25">
      <c r="A80" s="101"/>
      <c r="B80" s="14"/>
      <c r="C80" s="14"/>
      <c r="D80" s="14"/>
      <c r="E80" s="14"/>
      <c r="F80" s="14"/>
      <c r="G80" s="14"/>
      <c r="H80" s="93"/>
      <c r="I80" s="97"/>
      <c r="J80" s="41"/>
      <c r="K80" s="42"/>
      <c r="L80" s="14"/>
      <c r="M80" s="105"/>
      <c r="N80" s="105"/>
      <c r="O80" s="105"/>
      <c r="P80" s="90"/>
      <c r="Q80" s="16"/>
      <c r="R80" s="14"/>
      <c r="S80" s="14"/>
      <c r="T80" s="14"/>
      <c r="U80" s="14"/>
      <c r="V80" s="15"/>
      <c r="W80" s="97"/>
      <c r="X80" s="122"/>
      <c r="Y80" s="97"/>
      <c r="Z80" s="97"/>
      <c r="AA80" s="97"/>
      <c r="AB80" s="119"/>
      <c r="AC80" s="1"/>
      <c r="AD80" s="1"/>
      <c r="AE80" s="1"/>
    </row>
    <row r="81" spans="1:31" ht="15.75" thickBot="1" x14ac:dyDescent="0.3">
      <c r="A81" s="107"/>
      <c r="B81" s="17"/>
      <c r="C81" s="17"/>
      <c r="D81" s="17"/>
      <c r="E81" s="17"/>
      <c r="F81" s="17"/>
      <c r="G81" s="17"/>
      <c r="H81" s="120"/>
      <c r="I81" s="98"/>
      <c r="J81" s="43"/>
      <c r="K81" s="44"/>
      <c r="L81" s="17"/>
      <c r="M81" s="108"/>
      <c r="N81" s="108"/>
      <c r="O81" s="108"/>
      <c r="P81" s="109"/>
      <c r="Q81" s="18"/>
      <c r="R81" s="17"/>
      <c r="S81" s="17"/>
      <c r="T81" s="17"/>
      <c r="U81" s="17"/>
      <c r="V81" s="45"/>
      <c r="W81" s="98"/>
      <c r="X81" s="123"/>
      <c r="Y81" s="98"/>
      <c r="Z81" s="98"/>
      <c r="AA81" s="98"/>
      <c r="AB81" s="119"/>
      <c r="AC81" s="1"/>
      <c r="AD81" s="1"/>
      <c r="AE81" s="1"/>
    </row>
    <row r="82" spans="1:31" x14ac:dyDescent="0.25">
      <c r="A82" s="100"/>
      <c r="B82" s="11"/>
      <c r="C82" s="11"/>
      <c r="D82" s="11"/>
      <c r="E82" s="11"/>
      <c r="F82" s="11"/>
      <c r="G82" s="11"/>
      <c r="H82" s="96"/>
      <c r="I82" s="96"/>
      <c r="J82" s="46"/>
      <c r="K82" s="47"/>
      <c r="L82" s="11"/>
      <c r="M82" s="104"/>
      <c r="N82" s="104"/>
      <c r="O82" s="104"/>
      <c r="P82" s="89"/>
      <c r="Q82" s="13"/>
      <c r="R82" s="11"/>
      <c r="S82" s="11"/>
      <c r="T82" s="11"/>
      <c r="U82" s="11"/>
      <c r="V82" s="29"/>
      <c r="W82" s="96"/>
      <c r="X82" s="116"/>
      <c r="Y82" s="96"/>
      <c r="Z82" s="96"/>
      <c r="AA82" s="96"/>
      <c r="AB82" s="99"/>
      <c r="AC82" s="1"/>
      <c r="AD82" s="1"/>
      <c r="AE82" s="1"/>
    </row>
    <row r="83" spans="1:31" x14ac:dyDescent="0.25">
      <c r="A83" s="101"/>
      <c r="B83" s="14"/>
      <c r="C83" s="14"/>
      <c r="D83" s="14"/>
      <c r="E83" s="14"/>
      <c r="F83" s="14"/>
      <c r="G83" s="14"/>
      <c r="H83" s="97"/>
      <c r="I83" s="97"/>
      <c r="J83" s="48"/>
      <c r="K83" s="49"/>
      <c r="L83" s="14"/>
      <c r="M83" s="105"/>
      <c r="N83" s="105"/>
      <c r="O83" s="105"/>
      <c r="P83" s="90"/>
      <c r="Q83" s="16"/>
      <c r="R83" s="14"/>
      <c r="S83" s="14"/>
      <c r="T83" s="14"/>
      <c r="U83" s="14"/>
      <c r="V83" s="50"/>
      <c r="W83" s="97"/>
      <c r="X83" s="117"/>
      <c r="Y83" s="97"/>
      <c r="Z83" s="97"/>
      <c r="AA83" s="97"/>
      <c r="AB83" s="99"/>
      <c r="AC83" s="1"/>
      <c r="AD83" s="1"/>
      <c r="AE83" s="1"/>
    </row>
    <row r="84" spans="1:31" x14ac:dyDescent="0.25">
      <c r="A84" s="101"/>
      <c r="B84" s="14"/>
      <c r="C84" s="14"/>
      <c r="D84" s="14"/>
      <c r="E84" s="14"/>
      <c r="F84" s="14"/>
      <c r="G84" s="14"/>
      <c r="H84" s="97"/>
      <c r="I84" s="97"/>
      <c r="J84" s="21"/>
      <c r="K84" s="12"/>
      <c r="L84" s="14"/>
      <c r="M84" s="105"/>
      <c r="N84" s="105"/>
      <c r="O84" s="105"/>
      <c r="P84" s="90"/>
      <c r="Q84" s="16"/>
      <c r="R84" s="14"/>
      <c r="S84" s="14"/>
      <c r="T84" s="14"/>
      <c r="U84" s="14"/>
      <c r="V84" s="51"/>
      <c r="W84" s="97"/>
      <c r="X84" s="117"/>
      <c r="Y84" s="97"/>
      <c r="Z84" s="97"/>
      <c r="AA84" s="97"/>
      <c r="AB84" s="99"/>
      <c r="AC84" s="1"/>
      <c r="AD84" s="1"/>
      <c r="AE84" s="1"/>
    </row>
    <row r="85" spans="1:31" ht="15.75" thickBot="1" x14ac:dyDescent="0.3">
      <c r="A85" s="107"/>
      <c r="B85" s="17"/>
      <c r="C85" s="17"/>
      <c r="D85" s="17"/>
      <c r="E85" s="17"/>
      <c r="F85" s="17"/>
      <c r="G85" s="17"/>
      <c r="H85" s="98"/>
      <c r="I85" s="98"/>
      <c r="J85" s="52"/>
      <c r="K85" s="49"/>
      <c r="L85" s="17"/>
      <c r="M85" s="108"/>
      <c r="N85" s="108"/>
      <c r="O85" s="108"/>
      <c r="P85" s="109"/>
      <c r="Q85" s="18"/>
      <c r="R85" s="17"/>
      <c r="S85" s="17"/>
      <c r="T85" s="17"/>
      <c r="U85" s="17"/>
      <c r="V85" s="53"/>
      <c r="W85" s="98"/>
      <c r="X85" s="118"/>
      <c r="Y85" s="98"/>
      <c r="Z85" s="98"/>
      <c r="AA85" s="98"/>
      <c r="AB85" s="99"/>
      <c r="AC85" s="1"/>
      <c r="AD85" s="1"/>
      <c r="AE85" s="1"/>
    </row>
    <row r="86" spans="1:31" x14ac:dyDescent="0.25">
      <c r="A86" s="100"/>
      <c r="B86" s="11"/>
      <c r="C86" s="11"/>
      <c r="D86" s="11"/>
      <c r="E86" s="11"/>
      <c r="F86" s="11"/>
      <c r="G86" s="11"/>
      <c r="H86" s="96"/>
      <c r="I86" s="96"/>
      <c r="J86" s="37"/>
      <c r="K86" s="54"/>
      <c r="L86" s="11"/>
      <c r="M86" s="104"/>
      <c r="N86" s="104"/>
      <c r="O86" s="104"/>
      <c r="P86" s="89"/>
      <c r="Q86" s="13"/>
      <c r="R86" s="11"/>
      <c r="S86" s="11"/>
      <c r="T86" s="11"/>
      <c r="U86" s="11"/>
      <c r="V86" s="55"/>
      <c r="W86" s="96"/>
      <c r="X86" s="113"/>
      <c r="Y86" s="96"/>
      <c r="Z86" s="96"/>
      <c r="AA86" s="96"/>
      <c r="AB86" s="99"/>
      <c r="AC86" s="1"/>
      <c r="AD86" s="1"/>
      <c r="AE86" s="1"/>
    </row>
    <row r="87" spans="1:31" x14ac:dyDescent="0.25">
      <c r="A87" s="101"/>
      <c r="B87" s="14"/>
      <c r="C87" s="14"/>
      <c r="D87" s="14"/>
      <c r="E87" s="14"/>
      <c r="F87" s="14"/>
      <c r="G87" s="14"/>
      <c r="H87" s="97"/>
      <c r="I87" s="97"/>
      <c r="J87" s="56"/>
      <c r="K87" s="32"/>
      <c r="L87" s="14"/>
      <c r="M87" s="105"/>
      <c r="N87" s="105"/>
      <c r="O87" s="105"/>
      <c r="P87" s="90"/>
      <c r="Q87" s="16"/>
      <c r="R87" s="14"/>
      <c r="S87" s="14"/>
      <c r="T87" s="14"/>
      <c r="U87" s="14"/>
      <c r="V87" s="57"/>
      <c r="W87" s="97"/>
      <c r="X87" s="114"/>
      <c r="Y87" s="97"/>
      <c r="Z87" s="97"/>
      <c r="AA87" s="97"/>
      <c r="AB87" s="99"/>
      <c r="AC87" s="1"/>
      <c r="AD87" s="1"/>
      <c r="AE87" s="1"/>
    </row>
    <row r="88" spans="1:31" x14ac:dyDescent="0.25">
      <c r="A88" s="101"/>
      <c r="B88" s="14"/>
      <c r="C88" s="14"/>
      <c r="D88" s="14"/>
      <c r="E88" s="14"/>
      <c r="F88" s="14"/>
      <c r="G88" s="14"/>
      <c r="H88" s="97"/>
      <c r="I88" s="97"/>
      <c r="J88" s="58"/>
      <c r="K88" s="59"/>
      <c r="L88" s="14"/>
      <c r="M88" s="105"/>
      <c r="N88" s="105"/>
      <c r="O88" s="105"/>
      <c r="P88" s="90"/>
      <c r="Q88" s="16"/>
      <c r="R88" s="14"/>
      <c r="S88" s="14"/>
      <c r="T88" s="14"/>
      <c r="U88" s="14"/>
      <c r="V88" s="60"/>
      <c r="W88" s="97"/>
      <c r="X88" s="114"/>
      <c r="Y88" s="97"/>
      <c r="Z88" s="97"/>
      <c r="AA88" s="97"/>
      <c r="AB88" s="99"/>
      <c r="AC88" s="1"/>
      <c r="AD88" s="1"/>
      <c r="AE88" s="1"/>
    </row>
    <row r="89" spans="1:31" ht="15.75" thickBot="1" x14ac:dyDescent="0.3">
      <c r="A89" s="107"/>
      <c r="B89" s="17"/>
      <c r="C89" s="17"/>
      <c r="D89" s="17"/>
      <c r="E89" s="17"/>
      <c r="F89" s="17"/>
      <c r="G89" s="17"/>
      <c r="H89" s="98"/>
      <c r="I89" s="98"/>
      <c r="J89" s="61"/>
      <c r="K89" s="25"/>
      <c r="L89" s="17"/>
      <c r="M89" s="108"/>
      <c r="N89" s="108"/>
      <c r="O89" s="108"/>
      <c r="P89" s="109"/>
      <c r="Q89" s="18"/>
      <c r="R89" s="17"/>
      <c r="S89" s="17"/>
      <c r="T89" s="17"/>
      <c r="U89" s="17"/>
      <c r="V89" s="62"/>
      <c r="W89" s="98"/>
      <c r="X89" s="115"/>
      <c r="Y89" s="98"/>
      <c r="Z89" s="98"/>
      <c r="AA89" s="98"/>
      <c r="AB89" s="99"/>
      <c r="AC89" s="1"/>
      <c r="AD89" s="1"/>
      <c r="AE89" s="1"/>
    </row>
    <row r="90" spans="1:31" x14ac:dyDescent="0.25">
      <c r="A90" s="100"/>
      <c r="B90" s="11"/>
      <c r="C90" s="11"/>
      <c r="D90" s="11"/>
      <c r="E90" s="11"/>
      <c r="F90" s="11"/>
      <c r="G90" s="11"/>
      <c r="H90" s="96"/>
      <c r="I90" s="96"/>
      <c r="J90" s="63"/>
      <c r="K90" s="64"/>
      <c r="L90" s="11"/>
      <c r="M90" s="104"/>
      <c r="N90" s="104"/>
      <c r="O90" s="104"/>
      <c r="P90" s="89"/>
      <c r="Q90" s="13"/>
      <c r="R90" s="11"/>
      <c r="S90" s="11"/>
      <c r="T90" s="11"/>
      <c r="U90" s="11"/>
      <c r="V90" s="35"/>
      <c r="W90" s="96"/>
      <c r="X90" s="110"/>
      <c r="Y90" s="96"/>
      <c r="Z90" s="96"/>
      <c r="AA90" s="96"/>
      <c r="AB90" s="99"/>
      <c r="AC90" s="1"/>
      <c r="AD90" s="1"/>
      <c r="AE90" s="1"/>
    </row>
    <row r="91" spans="1:31" x14ac:dyDescent="0.25">
      <c r="A91" s="101"/>
      <c r="B91" s="14"/>
      <c r="C91" s="14"/>
      <c r="D91" s="14"/>
      <c r="E91" s="14"/>
      <c r="F91" s="14"/>
      <c r="G91" s="14"/>
      <c r="H91" s="97"/>
      <c r="I91" s="97"/>
      <c r="J91" s="65"/>
      <c r="K91" s="23"/>
      <c r="L91" s="14"/>
      <c r="M91" s="105"/>
      <c r="N91" s="105"/>
      <c r="O91" s="105"/>
      <c r="P91" s="90"/>
      <c r="Q91" s="16"/>
      <c r="R91" s="14"/>
      <c r="S91" s="14"/>
      <c r="T91" s="14"/>
      <c r="U91" s="14"/>
      <c r="V91" s="66"/>
      <c r="W91" s="97"/>
      <c r="X91" s="111"/>
      <c r="Y91" s="97"/>
      <c r="Z91" s="97"/>
      <c r="AA91" s="97"/>
      <c r="AB91" s="99"/>
      <c r="AC91" s="1"/>
      <c r="AD91" s="1"/>
      <c r="AE91" s="1"/>
    </row>
    <row r="92" spans="1:31" x14ac:dyDescent="0.25">
      <c r="A92" s="101"/>
      <c r="B92" s="14"/>
      <c r="C92" s="14"/>
      <c r="D92" s="14"/>
      <c r="E92" s="14"/>
      <c r="F92" s="14"/>
      <c r="G92" s="14"/>
      <c r="H92" s="97"/>
      <c r="I92" s="97"/>
      <c r="J92" s="67"/>
      <c r="K92" s="28"/>
      <c r="L92" s="14"/>
      <c r="M92" s="105"/>
      <c r="N92" s="105"/>
      <c r="O92" s="105"/>
      <c r="P92" s="90"/>
      <c r="Q92" s="16"/>
      <c r="R92" s="14"/>
      <c r="S92" s="14"/>
      <c r="T92" s="14"/>
      <c r="U92" s="14"/>
      <c r="V92" s="68"/>
      <c r="W92" s="97"/>
      <c r="X92" s="111"/>
      <c r="Y92" s="97"/>
      <c r="Z92" s="97"/>
      <c r="AA92" s="97"/>
      <c r="AB92" s="99"/>
      <c r="AC92" s="1"/>
      <c r="AD92" s="1"/>
      <c r="AE92" s="1"/>
    </row>
    <row r="93" spans="1:31" ht="15.75" thickBot="1" x14ac:dyDescent="0.3">
      <c r="A93" s="107"/>
      <c r="B93" s="17"/>
      <c r="C93" s="17"/>
      <c r="D93" s="17"/>
      <c r="E93" s="17"/>
      <c r="F93" s="17"/>
      <c r="G93" s="17"/>
      <c r="H93" s="98"/>
      <c r="I93" s="98"/>
      <c r="J93" s="69"/>
      <c r="K93" s="19"/>
      <c r="L93" s="17"/>
      <c r="M93" s="108"/>
      <c r="N93" s="108"/>
      <c r="O93" s="108"/>
      <c r="P93" s="109"/>
      <c r="Q93" s="18"/>
      <c r="R93" s="17"/>
      <c r="S93" s="17"/>
      <c r="T93" s="17"/>
      <c r="U93" s="17"/>
      <c r="V93" s="70"/>
      <c r="W93" s="98"/>
      <c r="X93" s="112"/>
      <c r="Y93" s="98"/>
      <c r="Z93" s="98"/>
      <c r="AA93" s="98"/>
      <c r="AB93" s="99"/>
      <c r="AC93" s="1"/>
      <c r="AD93" s="1"/>
      <c r="AE93" s="1"/>
    </row>
    <row r="94" spans="1:31" x14ac:dyDescent="0.25">
      <c r="A94" s="100"/>
      <c r="B94" s="11"/>
      <c r="C94" s="11"/>
      <c r="D94" s="11"/>
      <c r="E94" s="11"/>
      <c r="F94" s="11"/>
      <c r="G94" s="11"/>
      <c r="H94" s="96"/>
      <c r="I94" s="96"/>
      <c r="J94" s="71"/>
      <c r="K94" s="72"/>
      <c r="L94" s="11"/>
      <c r="M94" s="104"/>
      <c r="N94" s="104"/>
      <c r="O94" s="104"/>
      <c r="P94" s="89"/>
      <c r="Q94" s="13"/>
      <c r="R94" s="11"/>
      <c r="S94" s="11"/>
      <c r="T94" s="11"/>
      <c r="U94" s="11"/>
      <c r="V94" s="73"/>
      <c r="W94" s="92"/>
      <c r="X94" s="94"/>
      <c r="Y94" s="96"/>
      <c r="Z94" s="96"/>
      <c r="AA94" s="96"/>
      <c r="AB94" s="99"/>
      <c r="AC94" s="1"/>
      <c r="AD94" s="1"/>
      <c r="AE94" s="1"/>
    </row>
    <row r="95" spans="1:31" x14ac:dyDescent="0.25">
      <c r="A95" s="101"/>
      <c r="B95" s="14"/>
      <c r="C95" s="14"/>
      <c r="D95" s="14"/>
      <c r="E95" s="14"/>
      <c r="F95" s="14"/>
      <c r="G95" s="14"/>
      <c r="H95" s="97"/>
      <c r="I95" s="97"/>
      <c r="J95" s="74"/>
      <c r="K95" s="75"/>
      <c r="L95" s="14"/>
      <c r="M95" s="105"/>
      <c r="N95" s="105"/>
      <c r="O95" s="105"/>
      <c r="P95" s="90"/>
      <c r="Q95" s="16"/>
      <c r="R95" s="14"/>
      <c r="S95" s="14"/>
      <c r="T95" s="14"/>
      <c r="U95" s="14"/>
      <c r="V95" s="76"/>
      <c r="W95" s="93"/>
      <c r="X95" s="95"/>
      <c r="Y95" s="97"/>
      <c r="Z95" s="97"/>
      <c r="AA95" s="97"/>
      <c r="AB95" s="99"/>
      <c r="AC95" s="1"/>
      <c r="AD95" s="1"/>
      <c r="AE95" s="1"/>
    </row>
    <row r="96" spans="1:31" x14ac:dyDescent="0.25">
      <c r="A96" s="101"/>
      <c r="B96" s="14"/>
      <c r="C96" s="14"/>
      <c r="D96" s="14"/>
      <c r="E96" s="14"/>
      <c r="F96" s="14"/>
      <c r="G96" s="14"/>
      <c r="H96" s="97"/>
      <c r="I96" s="97"/>
      <c r="J96" s="77"/>
      <c r="K96" s="78"/>
      <c r="L96" s="14"/>
      <c r="M96" s="105"/>
      <c r="N96" s="105"/>
      <c r="O96" s="105"/>
      <c r="P96" s="90"/>
      <c r="Q96" s="16"/>
      <c r="R96" s="14"/>
      <c r="S96" s="14"/>
      <c r="T96" s="14"/>
      <c r="U96" s="14"/>
      <c r="V96" s="79"/>
      <c r="W96" s="93"/>
      <c r="X96" s="95"/>
      <c r="Y96" s="97"/>
      <c r="Z96" s="97"/>
      <c r="AA96" s="97"/>
      <c r="AB96" s="99"/>
      <c r="AC96" s="1"/>
      <c r="AD96" s="1"/>
      <c r="AE96" s="1"/>
    </row>
    <row r="97" spans="1:31" ht="15.75" thickBot="1" x14ac:dyDescent="0.3">
      <c r="A97" s="102"/>
      <c r="B97" s="17"/>
      <c r="C97" s="17"/>
      <c r="D97" s="17"/>
      <c r="E97" s="17"/>
      <c r="F97" s="17"/>
      <c r="G97" s="17"/>
      <c r="H97" s="103"/>
      <c r="I97" s="103"/>
      <c r="J97" s="80"/>
      <c r="K97" s="81"/>
      <c r="L97" s="17"/>
      <c r="M97" s="106"/>
      <c r="N97" s="106"/>
      <c r="O97" s="106"/>
      <c r="P97" s="91"/>
      <c r="Q97" s="18"/>
      <c r="R97" s="17"/>
      <c r="S97" s="17"/>
      <c r="T97" s="17"/>
      <c r="U97" s="17"/>
      <c r="V97" s="82"/>
      <c r="W97" s="93"/>
      <c r="X97" s="95"/>
      <c r="Y97" s="97"/>
      <c r="Z97" s="97"/>
      <c r="AA97" s="97"/>
      <c r="AB97" s="99"/>
      <c r="AC97" s="1"/>
      <c r="AD97" s="1"/>
      <c r="AE97" s="1"/>
    </row>
    <row r="98" spans="1:31" x14ac:dyDescent="0.25">
      <c r="A98" s="1"/>
      <c r="B98" s="1"/>
      <c r="C98" s="88"/>
      <c r="D98" s="8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5">
      <c r="A99" s="1"/>
      <c r="B99" s="1"/>
      <c r="C99" s="87"/>
      <c r="D99" s="8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5">
      <c r="A100" s="1"/>
      <c r="B100" s="1"/>
      <c r="C100" s="87"/>
      <c r="D100" s="8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5">
      <c r="A101" s="1"/>
      <c r="B101" s="1"/>
      <c r="C101" s="87"/>
      <c r="D101" s="8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25">
      <c r="A102" s="1"/>
      <c r="B102" s="1"/>
      <c r="C102" s="87"/>
      <c r="D102" s="8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25">
      <c r="A103" s="1"/>
      <c r="B103" s="1"/>
      <c r="C103" s="87"/>
      <c r="D103" s="8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25">
      <c r="A104" s="1"/>
      <c r="B104" s="1"/>
      <c r="C104" s="87"/>
      <c r="D104" s="8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25">
      <c r="A105" s="1"/>
      <c r="B105" s="1"/>
      <c r="C105" s="87"/>
      <c r="D105" s="8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25">
      <c r="A106" s="1"/>
      <c r="B106" s="1"/>
      <c r="C106" s="87"/>
      <c r="D106" s="8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s="1"/>
      <c r="B107" s="1"/>
      <c r="C107" s="87"/>
      <c r="D107" s="8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25">
      <c r="A108" s="1"/>
      <c r="B108" s="1"/>
      <c r="C108" s="87"/>
      <c r="D108" s="8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x14ac:dyDescent="0.25">
      <c r="A109" s="1"/>
      <c r="B109" s="1"/>
      <c r="C109" s="87"/>
      <c r="D109" s="8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25">
      <c r="A110" s="1"/>
      <c r="B110" s="1"/>
      <c r="C110" s="87"/>
      <c r="D110" s="8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x14ac:dyDescent="0.25">
      <c r="A111" s="1"/>
      <c r="B111" s="1"/>
      <c r="C111" s="87"/>
      <c r="D111" s="8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x14ac:dyDescent="0.25">
      <c r="A112" s="1"/>
      <c r="B112" s="1"/>
      <c r="C112" s="87"/>
      <c r="D112" s="8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x14ac:dyDescent="0.25">
      <c r="A113" s="1"/>
      <c r="B113" s="1"/>
      <c r="C113" s="87"/>
      <c r="D113" s="8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</sheetData>
  <mergeCells count="302">
    <mergeCell ref="X2:X5"/>
    <mergeCell ref="Y2:Y5"/>
    <mergeCell ref="Z2:Z5"/>
    <mergeCell ref="AB2:AB5"/>
    <mergeCell ref="AD2:AD3"/>
    <mergeCell ref="AE2:AE3"/>
    <mergeCell ref="AD4:AD5"/>
    <mergeCell ref="AE4:AE5"/>
    <mergeCell ref="A2:A5"/>
    <mergeCell ref="M2:M5"/>
    <mergeCell ref="N2:N5"/>
    <mergeCell ref="O2:O5"/>
    <mergeCell ref="P2:P5"/>
    <mergeCell ref="W2:W5"/>
    <mergeCell ref="X6:X9"/>
    <mergeCell ref="Y6:Y9"/>
    <mergeCell ref="Z6:Z9"/>
    <mergeCell ref="AB6:AB9"/>
    <mergeCell ref="AD6:AD7"/>
    <mergeCell ref="AE6:AE7"/>
    <mergeCell ref="AD8:AD9"/>
    <mergeCell ref="AE8:AE9"/>
    <mergeCell ref="A6:A9"/>
    <mergeCell ref="M6:M9"/>
    <mergeCell ref="N6:N9"/>
    <mergeCell ref="O6:O9"/>
    <mergeCell ref="P6:P9"/>
    <mergeCell ref="W6:W9"/>
    <mergeCell ref="X10:X13"/>
    <mergeCell ref="Y10:Y13"/>
    <mergeCell ref="Z10:Z13"/>
    <mergeCell ref="AB10:AB13"/>
    <mergeCell ref="AD10:AD11"/>
    <mergeCell ref="AE10:AE11"/>
    <mergeCell ref="AD12:AD13"/>
    <mergeCell ref="AE12:AE13"/>
    <mergeCell ref="A10:A13"/>
    <mergeCell ref="M10:M13"/>
    <mergeCell ref="N10:N13"/>
    <mergeCell ref="O10:O13"/>
    <mergeCell ref="P10:P13"/>
    <mergeCell ref="W10:W13"/>
    <mergeCell ref="X14:X17"/>
    <mergeCell ref="Y14:Y17"/>
    <mergeCell ref="Z14:Z17"/>
    <mergeCell ref="AB14:AB17"/>
    <mergeCell ref="AD14:AD15"/>
    <mergeCell ref="AE14:AE15"/>
    <mergeCell ref="AD16:AD17"/>
    <mergeCell ref="AE16:AE17"/>
    <mergeCell ref="A14:A17"/>
    <mergeCell ref="M14:M17"/>
    <mergeCell ref="N14:N17"/>
    <mergeCell ref="O14:O17"/>
    <mergeCell ref="P14:P17"/>
    <mergeCell ref="W14:W17"/>
    <mergeCell ref="X18:X21"/>
    <mergeCell ref="Y18:Y21"/>
    <mergeCell ref="Z18:Z21"/>
    <mergeCell ref="AB18:AB21"/>
    <mergeCell ref="AD18:AD19"/>
    <mergeCell ref="AE18:AE19"/>
    <mergeCell ref="AD20:AD21"/>
    <mergeCell ref="AE20:AE21"/>
    <mergeCell ref="A18:A21"/>
    <mergeCell ref="M18:M21"/>
    <mergeCell ref="N18:N21"/>
    <mergeCell ref="O18:O21"/>
    <mergeCell ref="P18:P21"/>
    <mergeCell ref="W18:W21"/>
    <mergeCell ref="X22:X25"/>
    <mergeCell ref="Y22:Y25"/>
    <mergeCell ref="Z22:Z25"/>
    <mergeCell ref="AB22:AB25"/>
    <mergeCell ref="AD22:AD23"/>
    <mergeCell ref="AE22:AE23"/>
    <mergeCell ref="AD24:AD25"/>
    <mergeCell ref="AE24:AE25"/>
    <mergeCell ref="A22:A25"/>
    <mergeCell ref="M22:M25"/>
    <mergeCell ref="N22:N25"/>
    <mergeCell ref="O22:O25"/>
    <mergeCell ref="P22:P25"/>
    <mergeCell ref="W22:W25"/>
    <mergeCell ref="X26:X29"/>
    <mergeCell ref="Y26:Y29"/>
    <mergeCell ref="Z26:Z29"/>
    <mergeCell ref="AB26:AB29"/>
    <mergeCell ref="AD26:AD27"/>
    <mergeCell ref="AE26:AE27"/>
    <mergeCell ref="AD28:AD29"/>
    <mergeCell ref="AE28:AE29"/>
    <mergeCell ref="A26:A29"/>
    <mergeCell ref="M26:M29"/>
    <mergeCell ref="N26:N29"/>
    <mergeCell ref="O26:O29"/>
    <mergeCell ref="P26:P29"/>
    <mergeCell ref="W26:W29"/>
    <mergeCell ref="X30:X33"/>
    <mergeCell ref="Y30:Y33"/>
    <mergeCell ref="Z30:Z33"/>
    <mergeCell ref="AB30:AB33"/>
    <mergeCell ref="A34:A37"/>
    <mergeCell ref="M34:M37"/>
    <mergeCell ref="N34:N37"/>
    <mergeCell ref="O34:O37"/>
    <mergeCell ref="P34:P37"/>
    <mergeCell ref="W34:W37"/>
    <mergeCell ref="A30:A33"/>
    <mergeCell ref="M30:M33"/>
    <mergeCell ref="N30:N33"/>
    <mergeCell ref="O30:O33"/>
    <mergeCell ref="P30:P33"/>
    <mergeCell ref="W30:W33"/>
    <mergeCell ref="X34:X37"/>
    <mergeCell ref="Y34:Y37"/>
    <mergeCell ref="Z34:Z37"/>
    <mergeCell ref="AB34:AB37"/>
    <mergeCell ref="AB38:AB41"/>
    <mergeCell ref="A42:A45"/>
    <mergeCell ref="M42:M45"/>
    <mergeCell ref="N42:N45"/>
    <mergeCell ref="O42:O45"/>
    <mergeCell ref="P42:P45"/>
    <mergeCell ref="W42:W45"/>
    <mergeCell ref="X42:X45"/>
    <mergeCell ref="Y42:Y45"/>
    <mergeCell ref="Z42:Z45"/>
    <mergeCell ref="AB42:AB45"/>
    <mergeCell ref="A38:A41"/>
    <mergeCell ref="M38:M41"/>
    <mergeCell ref="N38:N41"/>
    <mergeCell ref="O38:O41"/>
    <mergeCell ref="P38:P41"/>
    <mergeCell ref="W38:W41"/>
    <mergeCell ref="X38:X41"/>
    <mergeCell ref="Y38:Y41"/>
    <mergeCell ref="Z38:Z41"/>
    <mergeCell ref="AB46:AB49"/>
    <mergeCell ref="A50:A53"/>
    <mergeCell ref="M50:M53"/>
    <mergeCell ref="N50:N53"/>
    <mergeCell ref="O50:O53"/>
    <mergeCell ref="P50:P53"/>
    <mergeCell ref="W50:W53"/>
    <mergeCell ref="X50:X53"/>
    <mergeCell ref="Y50:Y53"/>
    <mergeCell ref="Z50:Z53"/>
    <mergeCell ref="AB50:AB53"/>
    <mergeCell ref="A46:A49"/>
    <mergeCell ref="M46:M49"/>
    <mergeCell ref="N46:N49"/>
    <mergeCell ref="O46:O49"/>
    <mergeCell ref="P46:P49"/>
    <mergeCell ref="W46:W49"/>
    <mergeCell ref="X46:X49"/>
    <mergeCell ref="Y46:Y49"/>
    <mergeCell ref="Z46:Z49"/>
    <mergeCell ref="AB54:AB57"/>
    <mergeCell ref="A58:A61"/>
    <mergeCell ref="M58:M61"/>
    <mergeCell ref="N58:N61"/>
    <mergeCell ref="O58:O61"/>
    <mergeCell ref="P58:P61"/>
    <mergeCell ref="W58:W61"/>
    <mergeCell ref="X58:X61"/>
    <mergeCell ref="Y58:Y61"/>
    <mergeCell ref="Z58:Z61"/>
    <mergeCell ref="AB58:AB61"/>
    <mergeCell ref="A54:A57"/>
    <mergeCell ref="M54:M57"/>
    <mergeCell ref="N54:N57"/>
    <mergeCell ref="O54:O57"/>
    <mergeCell ref="P54:P57"/>
    <mergeCell ref="W54:W57"/>
    <mergeCell ref="X54:X57"/>
    <mergeCell ref="Y54:Y57"/>
    <mergeCell ref="Z54:Z57"/>
    <mergeCell ref="AB62:AB65"/>
    <mergeCell ref="A66:A69"/>
    <mergeCell ref="M66:M69"/>
    <mergeCell ref="N66:N69"/>
    <mergeCell ref="O66:O69"/>
    <mergeCell ref="P66:P69"/>
    <mergeCell ref="W66:W69"/>
    <mergeCell ref="X66:X69"/>
    <mergeCell ref="Y66:Y69"/>
    <mergeCell ref="Z66:Z69"/>
    <mergeCell ref="AB66:AB69"/>
    <mergeCell ref="A62:A65"/>
    <mergeCell ref="M62:M65"/>
    <mergeCell ref="N62:N65"/>
    <mergeCell ref="O62:O65"/>
    <mergeCell ref="P62:P65"/>
    <mergeCell ref="W62:W65"/>
    <mergeCell ref="X62:X65"/>
    <mergeCell ref="Y62:Y65"/>
    <mergeCell ref="Z62:Z65"/>
    <mergeCell ref="A70:A73"/>
    <mergeCell ref="M70:M73"/>
    <mergeCell ref="N70:N73"/>
    <mergeCell ref="O70:O73"/>
    <mergeCell ref="P70:P73"/>
    <mergeCell ref="W70:W73"/>
    <mergeCell ref="X70:X73"/>
    <mergeCell ref="Y70:Y73"/>
    <mergeCell ref="Z70:Z73"/>
    <mergeCell ref="AB70:AB73"/>
    <mergeCell ref="A74:A77"/>
    <mergeCell ref="H74:H77"/>
    <mergeCell ref="I74:I77"/>
    <mergeCell ref="M74:M77"/>
    <mergeCell ref="N74:N77"/>
    <mergeCell ref="O74:O77"/>
    <mergeCell ref="AB74:AB77"/>
    <mergeCell ref="A78:A81"/>
    <mergeCell ref="H78:H81"/>
    <mergeCell ref="I78:I81"/>
    <mergeCell ref="M78:M81"/>
    <mergeCell ref="N78:N81"/>
    <mergeCell ref="O78:O81"/>
    <mergeCell ref="P78:P81"/>
    <mergeCell ref="W78:W81"/>
    <mergeCell ref="X78:X81"/>
    <mergeCell ref="P74:P77"/>
    <mergeCell ref="W74:W77"/>
    <mergeCell ref="X74:X77"/>
    <mergeCell ref="Y74:Y77"/>
    <mergeCell ref="Z74:Z77"/>
    <mergeCell ref="AA74:AA77"/>
    <mergeCell ref="Y78:Y81"/>
    <mergeCell ref="Z78:Z81"/>
    <mergeCell ref="AA78:AA81"/>
    <mergeCell ref="AB78:AB81"/>
    <mergeCell ref="A82:A85"/>
    <mergeCell ref="H82:H85"/>
    <mergeCell ref="I82:I85"/>
    <mergeCell ref="M82:M85"/>
    <mergeCell ref="N82:N85"/>
    <mergeCell ref="O82:O85"/>
    <mergeCell ref="AB82:AB85"/>
    <mergeCell ref="P82:P85"/>
    <mergeCell ref="W82:W85"/>
    <mergeCell ref="X82:X85"/>
    <mergeCell ref="Y82:Y85"/>
    <mergeCell ref="Z82:Z85"/>
    <mergeCell ref="AA82:AA85"/>
    <mergeCell ref="Y86:Y89"/>
    <mergeCell ref="Z86:Z89"/>
    <mergeCell ref="AA86:AA89"/>
    <mergeCell ref="AB86:AB89"/>
    <mergeCell ref="A90:A93"/>
    <mergeCell ref="H90:H93"/>
    <mergeCell ref="I90:I93"/>
    <mergeCell ref="M90:M93"/>
    <mergeCell ref="N90:N93"/>
    <mergeCell ref="O90:O93"/>
    <mergeCell ref="A86:A89"/>
    <mergeCell ref="H86:H89"/>
    <mergeCell ref="I86:I89"/>
    <mergeCell ref="M86:M89"/>
    <mergeCell ref="N86:N89"/>
    <mergeCell ref="O86:O89"/>
    <mergeCell ref="P86:P89"/>
    <mergeCell ref="W86:W89"/>
    <mergeCell ref="X86:X89"/>
    <mergeCell ref="Y94:Y97"/>
    <mergeCell ref="Z94:Z97"/>
    <mergeCell ref="AA94:AA97"/>
    <mergeCell ref="AB94:AB97"/>
    <mergeCell ref="C98:D98"/>
    <mergeCell ref="C99:D99"/>
    <mergeCell ref="AB90:AB93"/>
    <mergeCell ref="A94:A97"/>
    <mergeCell ref="H94:H97"/>
    <mergeCell ref="I94:I97"/>
    <mergeCell ref="M94:M97"/>
    <mergeCell ref="N94:N97"/>
    <mergeCell ref="O94:O97"/>
    <mergeCell ref="P94:P97"/>
    <mergeCell ref="W94:W97"/>
    <mergeCell ref="X94:X97"/>
    <mergeCell ref="P90:P93"/>
    <mergeCell ref="W90:W93"/>
    <mergeCell ref="X90:X93"/>
    <mergeCell ref="Y90:Y93"/>
    <mergeCell ref="Z90:Z93"/>
    <mergeCell ref="AA90:AA93"/>
    <mergeCell ref="C112:D112"/>
    <mergeCell ref="C113:D113"/>
    <mergeCell ref="C106:D106"/>
    <mergeCell ref="C107:D107"/>
    <mergeCell ref="C108:D108"/>
    <mergeCell ref="C109:D109"/>
    <mergeCell ref="C110:D110"/>
    <mergeCell ref="C111:D111"/>
    <mergeCell ref="C100:D100"/>
    <mergeCell ref="C101:D101"/>
    <mergeCell ref="C102:D102"/>
    <mergeCell ref="C103:D103"/>
    <mergeCell ref="C104:D104"/>
    <mergeCell ref="C105:D10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CEDD9-6ACC-45AB-9416-9FCEE099EDEA}">
  <dimension ref="A1:AN113"/>
  <sheetViews>
    <sheetView topLeftCell="Q23" workbookViewId="0">
      <selection activeCell="AF5" sqref="AF5:AN8"/>
    </sheetView>
  </sheetViews>
  <sheetFormatPr defaultRowHeight="15" x14ac:dyDescent="0.25"/>
  <cols>
    <col min="5" max="5" width="49.42578125" customWidth="1"/>
    <col min="8" max="8" width="14" customWidth="1"/>
    <col min="9" max="9" width="18.28515625" customWidth="1"/>
    <col min="13" max="13" width="17.28515625" customWidth="1"/>
    <col min="17" max="17" width="36.28515625" customWidth="1"/>
    <col min="30" max="30" width="16.42578125" customWidth="1"/>
  </cols>
  <sheetData>
    <row r="1" spans="1:40" ht="15.75" thickBot="1" x14ac:dyDescent="0.3">
      <c r="A1" s="1"/>
      <c r="B1" s="4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6" t="s">
        <v>428</v>
      </c>
      <c r="I1" s="6" t="s">
        <v>429</v>
      </c>
      <c r="J1" s="7" t="s">
        <v>430</v>
      </c>
      <c r="K1" s="7" t="s">
        <v>431</v>
      </c>
      <c r="L1" s="8" t="s">
        <v>432</v>
      </c>
      <c r="M1" s="8" t="s">
        <v>433</v>
      </c>
      <c r="N1" s="4" t="s">
        <v>434</v>
      </c>
      <c r="O1" s="5"/>
      <c r="P1" s="5" t="s">
        <v>435</v>
      </c>
      <c r="Q1" s="5" t="s">
        <v>63</v>
      </c>
      <c r="R1" s="5" t="s">
        <v>64</v>
      </c>
      <c r="S1" s="5" t="s">
        <v>65</v>
      </c>
      <c r="T1" s="5" t="s">
        <v>66</v>
      </c>
      <c r="U1" s="5" t="s">
        <v>67</v>
      </c>
      <c r="V1" s="7" t="s">
        <v>68</v>
      </c>
      <c r="W1" s="5" t="s">
        <v>436</v>
      </c>
      <c r="X1" s="8" t="s">
        <v>437</v>
      </c>
      <c r="Y1" s="9" t="s">
        <v>438</v>
      </c>
      <c r="Z1" s="9" t="s">
        <v>439</v>
      </c>
      <c r="AA1" s="10" t="s">
        <v>440</v>
      </c>
      <c r="AB1" s="1"/>
      <c r="AC1" s="9" t="s">
        <v>441</v>
      </c>
      <c r="AD1" s="1"/>
      <c r="AE1" s="1"/>
    </row>
    <row r="2" spans="1:40" x14ac:dyDescent="0.25">
      <c r="A2" s="100"/>
      <c r="B2" s="9">
        <v>337</v>
      </c>
      <c r="C2" s="9" t="s">
        <v>386</v>
      </c>
      <c r="D2" s="9" t="s">
        <v>103</v>
      </c>
      <c r="E2" s="9" t="s">
        <v>104</v>
      </c>
      <c r="F2" s="9" t="s">
        <v>332</v>
      </c>
      <c r="G2" s="9" t="s">
        <v>106</v>
      </c>
      <c r="H2" s="9"/>
      <c r="I2" s="9"/>
      <c r="J2" s="9">
        <v>23.096</v>
      </c>
      <c r="K2" s="9">
        <v>18.398</v>
      </c>
      <c r="L2" s="11"/>
      <c r="M2" s="104">
        <f>AVERAGE(J2:J5)</f>
        <v>23.071750000000002</v>
      </c>
      <c r="N2" s="104">
        <f>AVERAGE(K2:K5)</f>
        <v>18.297750000000001</v>
      </c>
      <c r="O2" s="104"/>
      <c r="P2" s="89">
        <f>GEOMEAN(M2,N2)</f>
        <v>20.546559652713153</v>
      </c>
      <c r="Q2" s="1" t="s">
        <v>104</v>
      </c>
      <c r="R2" s="1" t="s">
        <v>234</v>
      </c>
      <c r="S2" s="1" t="s">
        <v>106</v>
      </c>
      <c r="T2" s="1" t="s">
        <v>107</v>
      </c>
      <c r="U2" s="1" t="s">
        <v>108</v>
      </c>
      <c r="V2" s="1" t="s">
        <v>235</v>
      </c>
      <c r="W2" s="96" t="e">
        <f>_xlfn.STDEV.S(V2:V5)</f>
        <v>#DIV/0!</v>
      </c>
      <c r="X2" s="128" t="e">
        <f>AVERAGE(V2:V5)</f>
        <v>#DIV/0!</v>
      </c>
      <c r="Y2" s="96" t="e">
        <f>X2-P2</f>
        <v>#DIV/0!</v>
      </c>
      <c r="Z2" s="96" t="e">
        <f>Y2-$AE$2</f>
        <v>#DIV/0!</v>
      </c>
      <c r="AA2" s="84" t="e">
        <f>2^-Z2</f>
        <v>#DIV/0!</v>
      </c>
      <c r="AB2" s="150"/>
      <c r="AC2" s="1" t="e">
        <f>LOG(AA2,2)</f>
        <v>#DIV/0!</v>
      </c>
      <c r="AD2" s="153" t="s">
        <v>442</v>
      </c>
      <c r="AE2" s="155" t="e">
        <f>AVERAGE(Y2,Y6)</f>
        <v>#DIV/0!</v>
      </c>
      <c r="AG2" t="e">
        <f>AC2</f>
        <v>#DIV/0!</v>
      </c>
      <c r="AH2" t="e">
        <f>AC6</f>
        <v>#DIV/0!</v>
      </c>
      <c r="AJ2" t="e">
        <f>AC26</f>
        <v>#DIV/0!</v>
      </c>
      <c r="AK2" t="e">
        <f>AC30</f>
        <v>#DIV/0!</v>
      </c>
      <c r="AM2" t="e">
        <f>AC50</f>
        <v>#DIV/0!</v>
      </c>
      <c r="AN2" t="e">
        <f>AC54</f>
        <v>#DIV/0!</v>
      </c>
    </row>
    <row r="3" spans="1:40" x14ac:dyDescent="0.25">
      <c r="A3" s="101"/>
      <c r="B3" s="1">
        <v>361</v>
      </c>
      <c r="C3" s="1" t="s">
        <v>398</v>
      </c>
      <c r="D3" s="1" t="s">
        <v>103</v>
      </c>
      <c r="E3" s="1" t="s">
        <v>104</v>
      </c>
      <c r="F3" s="1" t="s">
        <v>332</v>
      </c>
      <c r="G3" s="1" t="s">
        <v>106</v>
      </c>
      <c r="H3" s="1"/>
      <c r="I3" s="1"/>
      <c r="J3" s="1">
        <v>23.042999999999999</v>
      </c>
      <c r="K3" s="1">
        <v>18.263999999999999</v>
      </c>
      <c r="L3" s="14"/>
      <c r="M3" s="105"/>
      <c r="N3" s="105"/>
      <c r="O3" s="105"/>
      <c r="P3" s="90"/>
      <c r="Q3" s="1" t="s">
        <v>104</v>
      </c>
      <c r="R3" s="1" t="s">
        <v>234</v>
      </c>
      <c r="S3" s="1" t="s">
        <v>106</v>
      </c>
      <c r="T3" s="1" t="s">
        <v>107</v>
      </c>
      <c r="U3" s="1" t="s">
        <v>108</v>
      </c>
      <c r="V3" s="1" t="s">
        <v>235</v>
      </c>
      <c r="W3" s="97"/>
      <c r="X3" s="129"/>
      <c r="Y3" s="97"/>
      <c r="Z3" s="97"/>
      <c r="AA3" s="85"/>
      <c r="AB3" s="151"/>
      <c r="AC3" s="1"/>
      <c r="AD3" s="154"/>
      <c r="AE3" s="156"/>
      <c r="AG3" t="e">
        <f>AC10</f>
        <v>#DIV/0!</v>
      </c>
      <c r="AH3" t="e">
        <f>AC14</f>
        <v>#DIV/0!</v>
      </c>
      <c r="AJ3" t="e">
        <f>AC34</f>
        <v>#DIV/0!</v>
      </c>
      <c r="AK3" t="e">
        <f>AC38</f>
        <v>#DIV/0!</v>
      </c>
      <c r="AM3" t="e">
        <f>AC58</f>
        <v>#DIV/0!</v>
      </c>
      <c r="AN3" t="e">
        <f>AC62</f>
        <v>#DIV/0!</v>
      </c>
    </row>
    <row r="4" spans="1:40" x14ac:dyDescent="0.25">
      <c r="A4" s="101"/>
      <c r="B4" s="1">
        <v>338</v>
      </c>
      <c r="C4" s="1" t="s">
        <v>387</v>
      </c>
      <c r="D4" s="1" t="s">
        <v>103</v>
      </c>
      <c r="E4" s="1" t="s">
        <v>104</v>
      </c>
      <c r="F4" s="1" t="s">
        <v>332</v>
      </c>
      <c r="G4" s="1" t="s">
        <v>106</v>
      </c>
      <c r="H4" s="1"/>
      <c r="I4" s="1"/>
      <c r="J4" s="1">
        <v>23.064</v>
      </c>
      <c r="K4" s="1">
        <v>18.318999999999999</v>
      </c>
      <c r="L4" s="14"/>
      <c r="M4" s="105"/>
      <c r="N4" s="105"/>
      <c r="O4" s="105"/>
      <c r="P4" s="90"/>
      <c r="Q4" s="1" t="s">
        <v>104</v>
      </c>
      <c r="R4" s="1" t="s">
        <v>234</v>
      </c>
      <c r="S4" s="1" t="s">
        <v>106</v>
      </c>
      <c r="T4" s="1" t="s">
        <v>107</v>
      </c>
      <c r="U4" s="1" t="s">
        <v>108</v>
      </c>
      <c r="V4" s="1" t="s">
        <v>235</v>
      </c>
      <c r="W4" s="97"/>
      <c r="X4" s="129"/>
      <c r="Y4" s="97"/>
      <c r="Z4" s="97"/>
      <c r="AA4" s="85"/>
      <c r="AB4" s="151"/>
      <c r="AC4" s="1"/>
      <c r="AD4" s="153" t="s">
        <v>443</v>
      </c>
      <c r="AE4" s="155" t="e">
        <f>AVERAGE(Y26,Y30)</f>
        <v>#DIV/0!</v>
      </c>
      <c r="AG4" t="e">
        <f>AC18</f>
        <v>#DIV/0!</v>
      </c>
      <c r="AH4" t="e">
        <f>AC22</f>
        <v>#DIV/0!</v>
      </c>
      <c r="AJ4" t="e">
        <f>AC42</f>
        <v>#DIV/0!</v>
      </c>
      <c r="AK4" t="e">
        <f>AC46</f>
        <v>#DIV/0!</v>
      </c>
      <c r="AM4" t="e">
        <f>AC66</f>
        <v>#DIV/0!</v>
      </c>
      <c r="AN4" t="e">
        <f>AC70</f>
        <v>#DIV/0!</v>
      </c>
    </row>
    <row r="5" spans="1:40" ht="15.75" thickBot="1" x14ac:dyDescent="0.3">
      <c r="A5" s="107"/>
      <c r="B5" s="83">
        <v>362</v>
      </c>
      <c r="C5" s="83" t="s">
        <v>399</v>
      </c>
      <c r="D5" s="83" t="s">
        <v>103</v>
      </c>
      <c r="E5" s="83" t="s">
        <v>104</v>
      </c>
      <c r="F5" s="83" t="s">
        <v>332</v>
      </c>
      <c r="G5" s="83" t="s">
        <v>106</v>
      </c>
      <c r="H5" s="83">
        <f>_xlfn.STDEV.S(K2:K5)</f>
        <v>8.0292693731538217E-2</v>
      </c>
      <c r="I5" s="83">
        <f>_xlfn.STDEV.S(J2:J5)</f>
        <v>2.3271943050234237E-2</v>
      </c>
      <c r="J5" s="83">
        <v>23.084</v>
      </c>
      <c r="K5" s="83">
        <v>18.21</v>
      </c>
      <c r="L5" s="17"/>
      <c r="M5" s="108"/>
      <c r="N5" s="108"/>
      <c r="O5" s="108"/>
      <c r="P5" s="109"/>
      <c r="Q5" s="1" t="s">
        <v>104</v>
      </c>
      <c r="R5" s="1" t="s">
        <v>234</v>
      </c>
      <c r="S5" s="1" t="s">
        <v>106</v>
      </c>
      <c r="T5" s="1" t="s">
        <v>107</v>
      </c>
      <c r="U5" s="1" t="s">
        <v>108</v>
      </c>
      <c r="V5" s="1" t="s">
        <v>235</v>
      </c>
      <c r="W5" s="98"/>
      <c r="X5" s="130"/>
      <c r="Y5" s="98"/>
      <c r="Z5" s="98"/>
      <c r="AA5" s="86"/>
      <c r="AB5" s="152"/>
      <c r="AC5" s="1"/>
      <c r="AD5" s="154"/>
      <c r="AE5" s="156"/>
      <c r="AF5">
        <v>75</v>
      </c>
      <c r="AI5">
        <v>100</v>
      </c>
      <c r="AL5">
        <v>150</v>
      </c>
    </row>
    <row r="6" spans="1:40" x14ac:dyDescent="0.25">
      <c r="A6" s="101"/>
      <c r="B6" s="9">
        <v>339</v>
      </c>
      <c r="C6" s="9" t="s">
        <v>388</v>
      </c>
      <c r="D6" s="9" t="s">
        <v>103</v>
      </c>
      <c r="E6" s="9" t="s">
        <v>114</v>
      </c>
      <c r="F6" s="9" t="s">
        <v>332</v>
      </c>
      <c r="G6" s="9" t="s">
        <v>106</v>
      </c>
      <c r="H6" s="9"/>
      <c r="I6" s="9"/>
      <c r="J6" s="9">
        <v>22.887</v>
      </c>
      <c r="K6" s="9">
        <v>18.141999999999999</v>
      </c>
      <c r="L6" s="11"/>
      <c r="M6" s="104">
        <f t="shared" ref="M6:N6" si="0">AVERAGE(J6:J9)</f>
        <v>22.817999999999998</v>
      </c>
      <c r="N6" s="104">
        <f t="shared" si="0"/>
        <v>18.093499999999999</v>
      </c>
      <c r="O6" s="104"/>
      <c r="P6" s="89">
        <f t="shared" ref="P6" si="1">GEOMEAN(M6,N6)</f>
        <v>20.318894728798611</v>
      </c>
      <c r="Q6" s="1" t="s">
        <v>114</v>
      </c>
      <c r="R6" s="1" t="s">
        <v>234</v>
      </c>
      <c r="S6" s="1" t="s">
        <v>106</v>
      </c>
      <c r="T6" s="1" t="s">
        <v>107</v>
      </c>
      <c r="U6" s="1" t="s">
        <v>108</v>
      </c>
      <c r="V6" s="1" t="s">
        <v>235</v>
      </c>
      <c r="W6" s="96" t="e">
        <f t="shared" ref="W6" si="2">_xlfn.STDEV.S(V6:V9)</f>
        <v>#DIV/0!</v>
      </c>
      <c r="X6" s="128" t="e">
        <f t="shared" ref="X6" si="3">AVERAGE(V6:V9)</f>
        <v>#DIV/0!</v>
      </c>
      <c r="Y6" s="96" t="e">
        <f t="shared" ref="Y6" si="4">X6-P6</f>
        <v>#DIV/0!</v>
      </c>
      <c r="Z6" s="96" t="e">
        <f t="shared" ref="Z6" si="5">Y6-$AE$2</f>
        <v>#DIV/0!</v>
      </c>
      <c r="AA6" s="84" t="e">
        <f t="shared" ref="AA6" si="6">2^-Z6</f>
        <v>#DIV/0!</v>
      </c>
      <c r="AB6" s="157"/>
      <c r="AC6" s="1" t="e">
        <f t="shared" ref="AC6" si="7">LOG(AA6,2)</f>
        <v>#DIV/0!</v>
      </c>
      <c r="AD6" s="153" t="s">
        <v>444</v>
      </c>
      <c r="AE6" s="159" t="e">
        <f>AVERAGE(Y50,Y54)</f>
        <v>#DIV/0!</v>
      </c>
      <c r="AG6" t="e">
        <f>AM2</f>
        <v>#DIV/0!</v>
      </c>
      <c r="AH6" t="e">
        <f>AN2</f>
        <v>#DIV/0!</v>
      </c>
      <c r="AJ6" t="e">
        <f>AG2</f>
        <v>#DIV/0!</v>
      </c>
      <c r="AK6" t="e">
        <f>AH2</f>
        <v>#DIV/0!</v>
      </c>
      <c r="AM6" t="e">
        <f>AJ2</f>
        <v>#DIV/0!</v>
      </c>
      <c r="AN6" t="e">
        <f>AK2</f>
        <v>#DIV/0!</v>
      </c>
    </row>
    <row r="7" spans="1:40" x14ac:dyDescent="0.25">
      <c r="A7" s="101"/>
      <c r="B7" s="1">
        <v>363</v>
      </c>
      <c r="C7" s="1" t="s">
        <v>400</v>
      </c>
      <c r="D7" s="1" t="s">
        <v>103</v>
      </c>
      <c r="E7" s="1" t="s">
        <v>114</v>
      </c>
      <c r="F7" s="1" t="s">
        <v>332</v>
      </c>
      <c r="G7" s="1" t="s">
        <v>106</v>
      </c>
      <c r="H7" s="1"/>
      <c r="I7" s="1"/>
      <c r="J7" s="1">
        <v>22.777999999999999</v>
      </c>
      <c r="K7" s="1">
        <v>18.074000000000002</v>
      </c>
      <c r="L7" s="14"/>
      <c r="M7" s="105"/>
      <c r="N7" s="105"/>
      <c r="O7" s="105"/>
      <c r="P7" s="90"/>
      <c r="Q7" s="1" t="s">
        <v>114</v>
      </c>
      <c r="R7" s="1" t="s">
        <v>234</v>
      </c>
      <c r="S7" s="1" t="s">
        <v>106</v>
      </c>
      <c r="T7" s="1" t="s">
        <v>107</v>
      </c>
      <c r="U7" s="1" t="s">
        <v>108</v>
      </c>
      <c r="V7" s="1" t="s">
        <v>235</v>
      </c>
      <c r="W7" s="97"/>
      <c r="X7" s="129"/>
      <c r="Y7" s="97"/>
      <c r="Z7" s="97"/>
      <c r="AA7" s="85"/>
      <c r="AB7" s="157"/>
      <c r="AC7" s="1"/>
      <c r="AD7" s="154"/>
      <c r="AE7" s="142"/>
      <c r="AG7" t="e">
        <f t="shared" ref="AG7:AH8" si="8">AM3</f>
        <v>#DIV/0!</v>
      </c>
      <c r="AH7" t="e">
        <f t="shared" si="8"/>
        <v>#DIV/0!</v>
      </c>
      <c r="AJ7" t="e">
        <f t="shared" ref="AJ7:AK8" si="9">AG3</f>
        <v>#DIV/0!</v>
      </c>
      <c r="AK7" t="e">
        <f t="shared" si="9"/>
        <v>#DIV/0!</v>
      </c>
      <c r="AM7" t="e">
        <f t="shared" ref="AM7:AN8" si="10">AJ3</f>
        <v>#DIV/0!</v>
      </c>
      <c r="AN7" t="e">
        <f t="shared" si="10"/>
        <v>#DIV/0!</v>
      </c>
    </row>
    <row r="8" spans="1:40" x14ac:dyDescent="0.25">
      <c r="A8" s="101"/>
      <c r="B8" s="1">
        <v>340</v>
      </c>
      <c r="C8" s="1" t="s">
        <v>389</v>
      </c>
      <c r="D8" s="1" t="s">
        <v>103</v>
      </c>
      <c r="E8" s="1" t="s">
        <v>114</v>
      </c>
      <c r="F8" s="1" t="s">
        <v>332</v>
      </c>
      <c r="G8" s="1" t="s">
        <v>106</v>
      </c>
      <c r="H8" s="1"/>
      <c r="I8" s="1"/>
      <c r="J8" s="1">
        <v>22.84</v>
      </c>
      <c r="K8" s="1">
        <v>18.117000000000001</v>
      </c>
      <c r="L8" s="14"/>
      <c r="M8" s="105"/>
      <c r="N8" s="105"/>
      <c r="O8" s="105"/>
      <c r="P8" s="90"/>
      <c r="Q8" s="1" t="s">
        <v>114</v>
      </c>
      <c r="R8" s="1" t="s">
        <v>234</v>
      </c>
      <c r="S8" s="1" t="s">
        <v>106</v>
      </c>
      <c r="T8" s="1" t="s">
        <v>107</v>
      </c>
      <c r="U8" s="1" t="s">
        <v>108</v>
      </c>
      <c r="V8" s="1" t="s">
        <v>235</v>
      </c>
      <c r="W8" s="97"/>
      <c r="X8" s="129"/>
      <c r="Y8" s="97"/>
      <c r="Z8" s="97"/>
      <c r="AA8" s="85"/>
      <c r="AB8" s="157"/>
      <c r="AC8" s="1"/>
      <c r="AD8" s="143"/>
      <c r="AE8" s="142"/>
      <c r="AG8" t="e">
        <f t="shared" si="8"/>
        <v>#DIV/0!</v>
      </c>
      <c r="AH8" t="e">
        <f t="shared" si="8"/>
        <v>#DIV/0!</v>
      </c>
      <c r="AJ8" t="e">
        <f t="shared" si="9"/>
        <v>#DIV/0!</v>
      </c>
      <c r="AK8" t="e">
        <f t="shared" si="9"/>
        <v>#DIV/0!</v>
      </c>
      <c r="AM8" t="e">
        <f t="shared" si="10"/>
        <v>#DIV/0!</v>
      </c>
      <c r="AN8" t="e">
        <f t="shared" si="10"/>
        <v>#DIV/0!</v>
      </c>
    </row>
    <row r="9" spans="1:40" ht="15.75" thickBot="1" x14ac:dyDescent="0.3">
      <c r="A9" s="107"/>
      <c r="B9" s="83">
        <v>364</v>
      </c>
      <c r="C9" s="83" t="s">
        <v>401</v>
      </c>
      <c r="D9" s="83" t="s">
        <v>103</v>
      </c>
      <c r="E9" s="83" t="s">
        <v>114</v>
      </c>
      <c r="F9" s="83" t="s">
        <v>332</v>
      </c>
      <c r="G9" s="83" t="s">
        <v>106</v>
      </c>
      <c r="H9" s="83">
        <f t="shared" ref="H9" si="11">_xlfn.STDEV.S(K6:K9)</f>
        <v>4.4873897386639251E-2</v>
      </c>
      <c r="I9" s="83">
        <f t="shared" ref="I9" si="12">_xlfn.STDEV.S(J6:J9)</f>
        <v>5.6112981266964762E-2</v>
      </c>
      <c r="J9" s="83">
        <v>22.766999999999999</v>
      </c>
      <c r="K9" s="83">
        <v>18.041</v>
      </c>
      <c r="L9" s="17"/>
      <c r="M9" s="108"/>
      <c r="N9" s="108"/>
      <c r="O9" s="108"/>
      <c r="P9" s="109"/>
      <c r="Q9" s="1" t="s">
        <v>114</v>
      </c>
      <c r="R9" s="1" t="s">
        <v>234</v>
      </c>
      <c r="S9" s="1" t="s">
        <v>106</v>
      </c>
      <c r="T9" s="1" t="s">
        <v>107</v>
      </c>
      <c r="U9" s="1" t="s">
        <v>108</v>
      </c>
      <c r="V9" s="1" t="s">
        <v>235</v>
      </c>
      <c r="W9" s="98"/>
      <c r="X9" s="130"/>
      <c r="Y9" s="98"/>
      <c r="Z9" s="98"/>
      <c r="AA9" s="86"/>
      <c r="AB9" s="158"/>
      <c r="AC9" s="1"/>
      <c r="AD9" s="143"/>
      <c r="AE9" s="142"/>
    </row>
    <row r="10" spans="1:40" x14ac:dyDescent="0.25">
      <c r="A10" s="100"/>
      <c r="B10" s="9">
        <v>341</v>
      </c>
      <c r="C10" s="9" t="s">
        <v>390</v>
      </c>
      <c r="D10" s="9" t="s">
        <v>103</v>
      </c>
      <c r="E10" s="9" t="s">
        <v>117</v>
      </c>
      <c r="F10" s="9" t="s">
        <v>332</v>
      </c>
      <c r="G10" s="9" t="s">
        <v>106</v>
      </c>
      <c r="H10" s="9"/>
      <c r="I10" s="9"/>
      <c r="J10" s="9">
        <v>22.46</v>
      </c>
      <c r="K10" s="9">
        <v>17.544</v>
      </c>
      <c r="L10" s="11"/>
      <c r="M10" s="104">
        <f t="shared" ref="M10:N10" si="13">AVERAGE(J10:J13)</f>
        <v>22.5335</v>
      </c>
      <c r="N10" s="104">
        <f t="shared" si="13"/>
        <v>17.604499999999998</v>
      </c>
      <c r="O10" s="104"/>
      <c r="P10" s="89">
        <f t="shared" ref="P10" si="14">GEOMEAN(M10,N10)</f>
        <v>19.917103221854326</v>
      </c>
      <c r="Q10" s="1" t="s">
        <v>117</v>
      </c>
      <c r="R10" s="1" t="s">
        <v>234</v>
      </c>
      <c r="S10" s="1" t="s">
        <v>106</v>
      </c>
      <c r="T10" s="1" t="s">
        <v>107</v>
      </c>
      <c r="U10" s="1" t="s">
        <v>108</v>
      </c>
      <c r="V10" s="1">
        <v>32.381999999999998</v>
      </c>
      <c r="W10" s="96">
        <f t="shared" ref="W10" si="15">_xlfn.STDEV.S(V10:V13)</f>
        <v>0.95910548603025458</v>
      </c>
      <c r="X10" s="128">
        <f t="shared" ref="X10" si="16">AVERAGE(V10:V13)</f>
        <v>32.919999999999995</v>
      </c>
      <c r="Y10" s="96">
        <f t="shared" ref="Y10" si="17">X10-P10</f>
        <v>13.002896778145669</v>
      </c>
      <c r="Z10" s="96" t="e">
        <f t="shared" ref="Z10" si="18">Y10-$AE$2</f>
        <v>#DIV/0!</v>
      </c>
      <c r="AA10" s="84" t="e">
        <f t="shared" ref="AA10" si="19">2^-Z10</f>
        <v>#DIV/0!</v>
      </c>
      <c r="AB10" s="147"/>
      <c r="AC10" s="1" t="e">
        <f t="shared" ref="AC10" si="20">LOG(AA10,2)</f>
        <v>#DIV/0!</v>
      </c>
      <c r="AD10" s="143"/>
      <c r="AE10" s="142"/>
    </row>
    <row r="11" spans="1:40" x14ac:dyDescent="0.25">
      <c r="A11" s="101"/>
      <c r="B11" s="1">
        <v>365</v>
      </c>
      <c r="C11" s="1" t="s">
        <v>402</v>
      </c>
      <c r="D11" s="1" t="s">
        <v>103</v>
      </c>
      <c r="E11" s="1" t="s">
        <v>117</v>
      </c>
      <c r="F11" s="1" t="s">
        <v>332</v>
      </c>
      <c r="G11" s="1" t="s">
        <v>106</v>
      </c>
      <c r="H11" s="1"/>
      <c r="I11" s="1"/>
      <c r="J11" s="1">
        <v>22.52</v>
      </c>
      <c r="K11" s="1">
        <v>17.760999999999999</v>
      </c>
      <c r="L11" s="14"/>
      <c r="M11" s="105"/>
      <c r="N11" s="105"/>
      <c r="O11" s="105"/>
      <c r="P11" s="90"/>
      <c r="Q11" s="1" t="s">
        <v>117</v>
      </c>
      <c r="R11" s="1" t="s">
        <v>234</v>
      </c>
      <c r="S11" s="1" t="s">
        <v>106</v>
      </c>
      <c r="T11" s="1" t="s">
        <v>107</v>
      </c>
      <c r="U11" s="1" t="s">
        <v>108</v>
      </c>
      <c r="V11" s="1">
        <v>33.448999999999998</v>
      </c>
      <c r="W11" s="97"/>
      <c r="X11" s="129"/>
      <c r="Y11" s="97"/>
      <c r="Z11" s="97"/>
      <c r="AA11" s="85"/>
      <c r="AB11" s="148"/>
      <c r="AC11" s="1"/>
      <c r="AD11" s="143"/>
      <c r="AE11" s="142"/>
    </row>
    <row r="12" spans="1:40" x14ac:dyDescent="0.25">
      <c r="A12" s="101"/>
      <c r="B12" s="1">
        <v>342</v>
      </c>
      <c r="C12" s="1" t="s">
        <v>391</v>
      </c>
      <c r="D12" s="1" t="s">
        <v>103</v>
      </c>
      <c r="E12" s="1" t="s">
        <v>117</v>
      </c>
      <c r="F12" s="1" t="s">
        <v>332</v>
      </c>
      <c r="G12" s="1" t="s">
        <v>106</v>
      </c>
      <c r="H12" s="1"/>
      <c r="I12" s="1"/>
      <c r="J12" s="1">
        <v>22.559000000000001</v>
      </c>
      <c r="K12" s="1">
        <v>17.477</v>
      </c>
      <c r="L12" s="14"/>
      <c r="M12" s="105"/>
      <c r="N12" s="105"/>
      <c r="O12" s="105"/>
      <c r="P12" s="90"/>
      <c r="Q12" s="1" t="s">
        <v>117</v>
      </c>
      <c r="R12" s="1" t="s">
        <v>234</v>
      </c>
      <c r="S12" s="1" t="s">
        <v>106</v>
      </c>
      <c r="T12" s="1" t="s">
        <v>107</v>
      </c>
      <c r="U12" s="1" t="s">
        <v>108</v>
      </c>
      <c r="V12" s="1">
        <v>31.878</v>
      </c>
      <c r="W12" s="97"/>
      <c r="X12" s="129"/>
      <c r="Y12" s="97"/>
      <c r="Z12" s="97"/>
      <c r="AA12" s="85"/>
      <c r="AB12" s="148"/>
      <c r="AC12" s="1"/>
      <c r="AD12" s="143"/>
      <c r="AE12" s="142"/>
    </row>
    <row r="13" spans="1:40" ht="15.75" thickBot="1" x14ac:dyDescent="0.3">
      <c r="A13" s="107"/>
      <c r="B13" s="83">
        <v>366</v>
      </c>
      <c r="C13" s="83" t="s">
        <v>403</v>
      </c>
      <c r="D13" s="83" t="s">
        <v>103</v>
      </c>
      <c r="E13" s="83" t="s">
        <v>117</v>
      </c>
      <c r="F13" s="83" t="s">
        <v>332</v>
      </c>
      <c r="G13" s="83" t="s">
        <v>106</v>
      </c>
      <c r="H13" s="83">
        <f t="shared" ref="H13" si="21">_xlfn.STDEV.S(K10:K13)</f>
        <v>0.12301896872704846</v>
      </c>
      <c r="I13" s="83">
        <f t="shared" ref="I13" si="22">_xlfn.STDEV.S(J10:J13)</f>
        <v>5.7784080852774096E-2</v>
      </c>
      <c r="J13" s="83">
        <v>22.594999999999999</v>
      </c>
      <c r="K13" s="83">
        <v>17.635999999999999</v>
      </c>
      <c r="L13" s="17"/>
      <c r="M13" s="108"/>
      <c r="N13" s="108"/>
      <c r="O13" s="108"/>
      <c r="P13" s="109"/>
      <c r="Q13" s="1" t="s">
        <v>117</v>
      </c>
      <c r="R13" s="1" t="s">
        <v>234</v>
      </c>
      <c r="S13" s="1" t="s">
        <v>106</v>
      </c>
      <c r="T13" s="1" t="s">
        <v>107</v>
      </c>
      <c r="U13" s="1" t="s">
        <v>108</v>
      </c>
      <c r="V13" s="1">
        <v>33.970999999999997</v>
      </c>
      <c r="W13" s="98"/>
      <c r="X13" s="130"/>
      <c r="Y13" s="98"/>
      <c r="Z13" s="98"/>
      <c r="AA13" s="86"/>
      <c r="AB13" s="149"/>
      <c r="AC13" s="1"/>
      <c r="AD13" s="143"/>
      <c r="AE13" s="142"/>
    </row>
    <row r="14" spans="1:40" x14ac:dyDescent="0.25">
      <c r="A14" s="100"/>
      <c r="B14" s="9">
        <v>343</v>
      </c>
      <c r="C14" s="9" t="s">
        <v>392</v>
      </c>
      <c r="D14" s="9" t="s">
        <v>103</v>
      </c>
      <c r="E14" s="9" t="s">
        <v>120</v>
      </c>
      <c r="F14" s="9" t="s">
        <v>332</v>
      </c>
      <c r="G14" s="9" t="s">
        <v>106</v>
      </c>
      <c r="H14" s="9"/>
      <c r="I14" s="9"/>
      <c r="J14" s="9">
        <v>22.733000000000001</v>
      </c>
      <c r="K14" s="9">
        <v>17.564</v>
      </c>
      <c r="L14" s="11"/>
      <c r="M14" s="104">
        <f t="shared" ref="M14:N14" si="23">AVERAGE(J14:J17)</f>
        <v>22.652999999999999</v>
      </c>
      <c r="N14" s="104">
        <f t="shared" si="23"/>
        <v>17.67475</v>
      </c>
      <c r="O14" s="104"/>
      <c r="P14" s="89">
        <f t="shared" ref="P14" si="24">GEOMEAN(M14,N14)</f>
        <v>20.009650465462908</v>
      </c>
      <c r="Q14" s="1" t="s">
        <v>120</v>
      </c>
      <c r="R14" s="1" t="s">
        <v>234</v>
      </c>
      <c r="S14" s="1" t="s">
        <v>106</v>
      </c>
      <c r="T14" s="1" t="s">
        <v>107</v>
      </c>
      <c r="U14" s="1" t="s">
        <v>108</v>
      </c>
      <c r="V14" s="1">
        <v>32.207999999999998</v>
      </c>
      <c r="W14" s="96">
        <f t="shared" ref="W14" si="25">_xlfn.STDEV.S(V14:V17)</f>
        <v>0.72682798285885175</v>
      </c>
      <c r="X14" s="128">
        <f t="shared" ref="X14" si="26">AVERAGE(V14:V17)</f>
        <v>32.166249999999998</v>
      </c>
      <c r="Y14" s="96">
        <f t="shared" ref="Y14" si="27">X14-P14</f>
        <v>12.15659953453709</v>
      </c>
      <c r="Z14" s="96" t="e">
        <f t="shared" ref="Z14" si="28">Y14-$AE$2</f>
        <v>#DIV/0!</v>
      </c>
      <c r="AA14" s="84" t="e">
        <f t="shared" ref="AA14" si="29">2^-Z14</f>
        <v>#DIV/0!</v>
      </c>
      <c r="AB14" s="147"/>
      <c r="AC14" s="1" t="e">
        <f t="shared" ref="AC14" si="30">LOG(AA14,2)</f>
        <v>#DIV/0!</v>
      </c>
      <c r="AD14" s="143"/>
      <c r="AE14" s="142"/>
    </row>
    <row r="15" spans="1:40" x14ac:dyDescent="0.25">
      <c r="A15" s="101"/>
      <c r="B15" s="1">
        <v>367</v>
      </c>
      <c r="C15" s="1" t="s">
        <v>404</v>
      </c>
      <c r="D15" s="1" t="s">
        <v>103</v>
      </c>
      <c r="E15" s="1" t="s">
        <v>120</v>
      </c>
      <c r="F15" s="1" t="s">
        <v>332</v>
      </c>
      <c r="G15" s="1" t="s">
        <v>106</v>
      </c>
      <c r="H15" s="1"/>
      <c r="I15" s="1"/>
      <c r="J15" s="1">
        <v>22.678000000000001</v>
      </c>
      <c r="K15" s="1">
        <v>17.535</v>
      </c>
      <c r="L15" s="14"/>
      <c r="M15" s="105"/>
      <c r="N15" s="105"/>
      <c r="O15" s="105"/>
      <c r="P15" s="90"/>
      <c r="Q15" s="1" t="s">
        <v>120</v>
      </c>
      <c r="R15" s="1" t="s">
        <v>234</v>
      </c>
      <c r="S15" s="1" t="s">
        <v>106</v>
      </c>
      <c r="T15" s="1" t="s">
        <v>107</v>
      </c>
      <c r="U15" s="1" t="s">
        <v>108</v>
      </c>
      <c r="V15" s="1">
        <v>31.202000000000002</v>
      </c>
      <c r="W15" s="97"/>
      <c r="X15" s="129"/>
      <c r="Y15" s="97"/>
      <c r="Z15" s="97"/>
      <c r="AA15" s="85"/>
      <c r="AB15" s="148"/>
      <c r="AC15" s="1"/>
      <c r="AD15" s="143"/>
      <c r="AE15" s="142"/>
    </row>
    <row r="16" spans="1:40" x14ac:dyDescent="0.25">
      <c r="A16" s="101"/>
      <c r="B16" s="1">
        <v>344</v>
      </c>
      <c r="C16" s="1" t="s">
        <v>393</v>
      </c>
      <c r="D16" s="1" t="s">
        <v>103</v>
      </c>
      <c r="E16" s="1" t="s">
        <v>120</v>
      </c>
      <c r="F16" s="1" t="s">
        <v>332</v>
      </c>
      <c r="G16" s="1" t="s">
        <v>106</v>
      </c>
      <c r="H16" s="1"/>
      <c r="I16" s="1"/>
      <c r="J16" s="1">
        <v>22.619</v>
      </c>
      <c r="K16" s="1">
        <v>17.882999999999999</v>
      </c>
      <c r="L16" s="14"/>
      <c r="M16" s="105"/>
      <c r="N16" s="105"/>
      <c r="O16" s="105"/>
      <c r="P16" s="90"/>
      <c r="Q16" s="1" t="s">
        <v>120</v>
      </c>
      <c r="R16" s="1" t="s">
        <v>234</v>
      </c>
      <c r="S16" s="1" t="s">
        <v>106</v>
      </c>
      <c r="T16" s="1" t="s">
        <v>107</v>
      </c>
      <c r="U16" s="1" t="s">
        <v>108</v>
      </c>
      <c r="V16" s="1">
        <v>32.965000000000003</v>
      </c>
      <c r="W16" s="97"/>
      <c r="X16" s="129"/>
      <c r="Y16" s="97"/>
      <c r="Z16" s="97"/>
      <c r="AA16" s="85"/>
      <c r="AB16" s="148"/>
      <c r="AC16" s="1"/>
      <c r="AD16" s="143"/>
      <c r="AE16" s="142"/>
    </row>
    <row r="17" spans="1:31" ht="15.75" thickBot="1" x14ac:dyDescent="0.3">
      <c r="A17" s="107"/>
      <c r="B17" s="83">
        <v>368</v>
      </c>
      <c r="C17" s="83" t="s">
        <v>405</v>
      </c>
      <c r="D17" s="83" t="s">
        <v>103</v>
      </c>
      <c r="E17" s="83" t="s">
        <v>120</v>
      </c>
      <c r="F17" s="83" t="s">
        <v>332</v>
      </c>
      <c r="G17" s="83" t="s">
        <v>106</v>
      </c>
      <c r="H17" s="83">
        <f t="shared" ref="H17" si="31">_xlfn.STDEV.S(K14:K17)</f>
        <v>0.16015487296155917</v>
      </c>
      <c r="I17" s="83">
        <f t="shared" ref="I17" si="32">_xlfn.STDEV.S(J14:J17)</f>
        <v>6.6387749874004212E-2</v>
      </c>
      <c r="J17" s="83">
        <v>22.582000000000001</v>
      </c>
      <c r="K17" s="83">
        <v>17.716999999999999</v>
      </c>
      <c r="L17" s="17"/>
      <c r="M17" s="108"/>
      <c r="N17" s="108"/>
      <c r="O17" s="108"/>
      <c r="P17" s="109"/>
      <c r="Q17" s="1" t="s">
        <v>120</v>
      </c>
      <c r="R17" s="1" t="s">
        <v>234</v>
      </c>
      <c r="S17" s="1" t="s">
        <v>106</v>
      </c>
      <c r="T17" s="1" t="s">
        <v>107</v>
      </c>
      <c r="U17" s="1" t="s">
        <v>108</v>
      </c>
      <c r="V17" s="1">
        <v>32.29</v>
      </c>
      <c r="W17" s="98"/>
      <c r="X17" s="130"/>
      <c r="Y17" s="98"/>
      <c r="Z17" s="98"/>
      <c r="AA17" s="86"/>
      <c r="AB17" s="149"/>
      <c r="AC17" s="1"/>
      <c r="AD17" s="143"/>
      <c r="AE17" s="142"/>
    </row>
    <row r="18" spans="1:31" x14ac:dyDescent="0.25">
      <c r="A18" s="100"/>
      <c r="B18" s="9">
        <v>345</v>
      </c>
      <c r="C18" s="9" t="s">
        <v>394</v>
      </c>
      <c r="D18" s="9" t="s">
        <v>103</v>
      </c>
      <c r="E18" s="9" t="s">
        <v>123</v>
      </c>
      <c r="F18" s="9" t="s">
        <v>332</v>
      </c>
      <c r="G18" s="9" t="s">
        <v>106</v>
      </c>
      <c r="H18" s="9"/>
      <c r="I18" s="9"/>
      <c r="J18" s="9">
        <v>23.177</v>
      </c>
      <c r="K18" s="9">
        <v>18.623999999999999</v>
      </c>
      <c r="L18" s="11"/>
      <c r="M18" s="104">
        <f t="shared" ref="M18:N18" si="33">AVERAGE(J18:J21)</f>
        <v>23.083500000000001</v>
      </c>
      <c r="N18" s="104">
        <f t="shared" si="33"/>
        <v>18.561250000000001</v>
      </c>
      <c r="O18" s="104"/>
      <c r="P18" s="89">
        <f t="shared" ref="P18" si="34">GEOMEAN(M18,N18)</f>
        <v>20.699241879233163</v>
      </c>
      <c r="Q18" s="1" t="s">
        <v>123</v>
      </c>
      <c r="R18" s="1" t="s">
        <v>234</v>
      </c>
      <c r="S18" s="1" t="s">
        <v>106</v>
      </c>
      <c r="T18" s="1" t="s">
        <v>107</v>
      </c>
      <c r="U18" s="1" t="s">
        <v>108</v>
      </c>
      <c r="V18" s="1">
        <v>30.741</v>
      </c>
      <c r="W18" s="96">
        <f t="shared" ref="W18" si="35">_xlfn.STDEV.S(V18:V21)</f>
        <v>0.36631623405649544</v>
      </c>
      <c r="X18" s="128">
        <f t="shared" ref="X18" si="36">AVERAGE(V18:V21)</f>
        <v>31.08475</v>
      </c>
      <c r="Y18" s="96">
        <f t="shared" ref="Y18" si="37">X18-P18</f>
        <v>10.385508120766836</v>
      </c>
      <c r="Z18" s="96" t="e">
        <f t="shared" ref="Z18" si="38">Y18-$AE$2</f>
        <v>#DIV/0!</v>
      </c>
      <c r="AA18" s="84" t="e">
        <f t="shared" ref="AA18" si="39">2^-Z18</f>
        <v>#DIV/0!</v>
      </c>
      <c r="AB18" s="144"/>
      <c r="AC18" s="1" t="e">
        <f t="shared" ref="AC18" si="40">LOG(AA18,2)</f>
        <v>#DIV/0!</v>
      </c>
      <c r="AD18" s="143"/>
      <c r="AE18" s="142"/>
    </row>
    <row r="19" spans="1:31" x14ac:dyDescent="0.25">
      <c r="A19" s="101"/>
      <c r="B19" s="1">
        <v>369</v>
      </c>
      <c r="C19" s="1" t="s">
        <v>406</v>
      </c>
      <c r="D19" s="1" t="s">
        <v>103</v>
      </c>
      <c r="E19" s="1" t="s">
        <v>123</v>
      </c>
      <c r="F19" s="1" t="s">
        <v>332</v>
      </c>
      <c r="G19" s="1" t="s">
        <v>106</v>
      </c>
      <c r="H19" s="1"/>
      <c r="I19" s="1"/>
      <c r="J19" s="1">
        <v>23.096</v>
      </c>
      <c r="K19" s="1">
        <v>18.565999999999999</v>
      </c>
      <c r="L19" s="14"/>
      <c r="M19" s="105"/>
      <c r="N19" s="105"/>
      <c r="O19" s="105"/>
      <c r="P19" s="90"/>
      <c r="Q19" s="1" t="s">
        <v>123</v>
      </c>
      <c r="R19" s="1" t="s">
        <v>234</v>
      </c>
      <c r="S19" s="1" t="s">
        <v>106</v>
      </c>
      <c r="T19" s="1" t="s">
        <v>107</v>
      </c>
      <c r="U19" s="1" t="s">
        <v>108</v>
      </c>
      <c r="V19" s="1">
        <v>31.202000000000002</v>
      </c>
      <c r="W19" s="97"/>
      <c r="X19" s="129"/>
      <c r="Y19" s="97"/>
      <c r="Z19" s="97"/>
      <c r="AA19" s="85"/>
      <c r="AB19" s="145"/>
      <c r="AC19" s="1"/>
      <c r="AD19" s="143"/>
      <c r="AE19" s="142"/>
    </row>
    <row r="20" spans="1:31" x14ac:dyDescent="0.25">
      <c r="A20" s="101"/>
      <c r="B20" s="1">
        <v>346</v>
      </c>
      <c r="C20" s="1" t="s">
        <v>395</v>
      </c>
      <c r="D20" s="1" t="s">
        <v>103</v>
      </c>
      <c r="E20" s="1" t="s">
        <v>123</v>
      </c>
      <c r="F20" s="1" t="s">
        <v>332</v>
      </c>
      <c r="G20" s="1" t="s">
        <v>106</v>
      </c>
      <c r="H20" s="1"/>
      <c r="I20" s="1"/>
      <c r="J20" s="1">
        <v>22.966999999999999</v>
      </c>
      <c r="K20" s="1">
        <v>18.457000000000001</v>
      </c>
      <c r="L20" s="14"/>
      <c r="M20" s="105"/>
      <c r="N20" s="105"/>
      <c r="O20" s="105"/>
      <c r="P20" s="90"/>
      <c r="Q20" s="1" t="s">
        <v>123</v>
      </c>
      <c r="R20" s="1" t="s">
        <v>234</v>
      </c>
      <c r="S20" s="1" t="s">
        <v>106</v>
      </c>
      <c r="T20" s="1" t="s">
        <v>107</v>
      </c>
      <c r="U20" s="1" t="s">
        <v>108</v>
      </c>
      <c r="V20" s="1">
        <v>30.847999999999999</v>
      </c>
      <c r="W20" s="97"/>
      <c r="X20" s="129"/>
      <c r="Y20" s="97"/>
      <c r="Z20" s="97"/>
      <c r="AA20" s="85"/>
      <c r="AB20" s="145"/>
      <c r="AC20" s="1"/>
      <c r="AD20" s="143"/>
      <c r="AE20" s="142"/>
    </row>
    <row r="21" spans="1:31" ht="15.75" thickBot="1" x14ac:dyDescent="0.3">
      <c r="A21" s="107"/>
      <c r="B21" s="83">
        <v>370</v>
      </c>
      <c r="C21" s="83" t="s">
        <v>407</v>
      </c>
      <c r="D21" s="83" t="s">
        <v>103</v>
      </c>
      <c r="E21" s="83" t="s">
        <v>123</v>
      </c>
      <c r="F21" s="83" t="s">
        <v>332</v>
      </c>
      <c r="G21" s="83" t="s">
        <v>106</v>
      </c>
      <c r="H21" s="83">
        <f t="shared" ref="H21" si="41">_xlfn.STDEV.S(K18:K21)</f>
        <v>7.3436480489376232E-2</v>
      </c>
      <c r="I21" s="83">
        <f t="shared" ref="I21" si="42">_xlfn.STDEV.S(J18:J21)</f>
        <v>8.675828490697636E-2</v>
      </c>
      <c r="J21" s="83">
        <v>23.094000000000001</v>
      </c>
      <c r="K21" s="83">
        <v>18.597999999999999</v>
      </c>
      <c r="L21" s="17"/>
      <c r="M21" s="108"/>
      <c r="N21" s="108"/>
      <c r="O21" s="108"/>
      <c r="P21" s="109"/>
      <c r="Q21" s="1" t="s">
        <v>123</v>
      </c>
      <c r="R21" s="1" t="s">
        <v>234</v>
      </c>
      <c r="S21" s="1" t="s">
        <v>106</v>
      </c>
      <c r="T21" s="1" t="s">
        <v>107</v>
      </c>
      <c r="U21" s="1" t="s">
        <v>108</v>
      </c>
      <c r="V21" s="1">
        <v>31.547999999999998</v>
      </c>
      <c r="W21" s="98"/>
      <c r="X21" s="130"/>
      <c r="Y21" s="98"/>
      <c r="Z21" s="98"/>
      <c r="AA21" s="86"/>
      <c r="AB21" s="146"/>
      <c r="AC21" s="1"/>
      <c r="AD21" s="143"/>
      <c r="AE21" s="142"/>
    </row>
    <row r="22" spans="1:31" x14ac:dyDescent="0.25">
      <c r="A22" s="100"/>
      <c r="B22" s="9">
        <v>347</v>
      </c>
      <c r="C22" s="9" t="s">
        <v>396</v>
      </c>
      <c r="D22" s="9" t="s">
        <v>103</v>
      </c>
      <c r="E22" s="9" t="s">
        <v>126</v>
      </c>
      <c r="F22" s="9" t="s">
        <v>332</v>
      </c>
      <c r="G22" s="9" t="s">
        <v>106</v>
      </c>
      <c r="H22" s="9"/>
      <c r="I22" s="9"/>
      <c r="J22" s="9">
        <v>22.98</v>
      </c>
      <c r="K22" s="9">
        <v>18.567</v>
      </c>
      <c r="L22" s="11"/>
      <c r="M22" s="104">
        <f t="shared" ref="M22:N22" si="43">AVERAGE(J22:J25)</f>
        <v>22.962500000000002</v>
      </c>
      <c r="N22" s="104">
        <f t="shared" si="43"/>
        <v>18.500999999999998</v>
      </c>
      <c r="O22" s="104"/>
      <c r="P22" s="89">
        <f t="shared" ref="P22" si="44">GEOMEAN(M22,N22)</f>
        <v>20.61138550655923</v>
      </c>
      <c r="Q22" s="1" t="s">
        <v>126</v>
      </c>
      <c r="R22" s="1" t="s">
        <v>234</v>
      </c>
      <c r="S22" s="1" t="s">
        <v>106</v>
      </c>
      <c r="T22" s="1" t="s">
        <v>107</v>
      </c>
      <c r="U22" s="1" t="s">
        <v>108</v>
      </c>
      <c r="V22" s="1">
        <v>30.803000000000001</v>
      </c>
      <c r="W22" s="96">
        <f t="shared" ref="W22" si="45">_xlfn.STDEV.S(V22:V25)</f>
        <v>0.8622541678646729</v>
      </c>
      <c r="X22" s="128">
        <f t="shared" ref="X22" si="46">AVERAGE(V22:V25)</f>
        <v>31.773249999999997</v>
      </c>
      <c r="Y22" s="96">
        <f t="shared" ref="Y22" si="47">X22-P22</f>
        <v>11.161864493440767</v>
      </c>
      <c r="Z22" s="96" t="e">
        <f t="shared" ref="Z22" si="48">Y22-$AE$2</f>
        <v>#DIV/0!</v>
      </c>
      <c r="AA22" s="84" t="e">
        <f t="shared" ref="AA22" si="49">2^-Z22</f>
        <v>#DIV/0!</v>
      </c>
      <c r="AB22" s="144"/>
      <c r="AC22" s="1" t="e">
        <f t="shared" ref="AC22" si="50">LOG(AA22,2)</f>
        <v>#DIV/0!</v>
      </c>
      <c r="AD22" s="143"/>
      <c r="AE22" s="142"/>
    </row>
    <row r="23" spans="1:31" x14ac:dyDescent="0.25">
      <c r="A23" s="101"/>
      <c r="B23" s="1">
        <v>371</v>
      </c>
      <c r="C23" s="1" t="s">
        <v>408</v>
      </c>
      <c r="D23" s="1" t="s">
        <v>103</v>
      </c>
      <c r="E23" s="1" t="s">
        <v>126</v>
      </c>
      <c r="F23" s="1" t="s">
        <v>332</v>
      </c>
      <c r="G23" s="1" t="s">
        <v>106</v>
      </c>
      <c r="H23" s="1"/>
      <c r="I23" s="1"/>
      <c r="J23" s="1">
        <v>22.972000000000001</v>
      </c>
      <c r="K23" s="1">
        <v>18.613</v>
      </c>
      <c r="L23" s="14"/>
      <c r="M23" s="105"/>
      <c r="N23" s="105"/>
      <c r="O23" s="105"/>
      <c r="P23" s="90"/>
      <c r="Q23" s="1" t="s">
        <v>126</v>
      </c>
      <c r="R23" s="1" t="s">
        <v>234</v>
      </c>
      <c r="S23" s="1" t="s">
        <v>106</v>
      </c>
      <c r="T23" s="1" t="s">
        <v>107</v>
      </c>
      <c r="U23" s="1" t="s">
        <v>108</v>
      </c>
      <c r="V23" s="1">
        <v>31.49</v>
      </c>
      <c r="W23" s="97"/>
      <c r="X23" s="129"/>
      <c r="Y23" s="97"/>
      <c r="Z23" s="97"/>
      <c r="AA23" s="85"/>
      <c r="AB23" s="145"/>
      <c r="AC23" s="1"/>
      <c r="AD23" s="143"/>
      <c r="AE23" s="142"/>
    </row>
    <row r="24" spans="1:31" x14ac:dyDescent="0.25">
      <c r="A24" s="101"/>
      <c r="B24" s="1">
        <v>348</v>
      </c>
      <c r="C24" s="1" t="s">
        <v>397</v>
      </c>
      <c r="D24" s="1" t="s">
        <v>103</v>
      </c>
      <c r="E24" s="1" t="s">
        <v>126</v>
      </c>
      <c r="F24" s="1" t="s">
        <v>332</v>
      </c>
      <c r="G24" s="1" t="s">
        <v>106</v>
      </c>
      <c r="H24" s="1"/>
      <c r="I24" s="1"/>
      <c r="J24" s="1">
        <v>22.96</v>
      </c>
      <c r="K24" s="1">
        <v>18.332999999999998</v>
      </c>
      <c r="L24" s="14"/>
      <c r="M24" s="105"/>
      <c r="N24" s="105"/>
      <c r="O24" s="105"/>
      <c r="P24" s="90"/>
      <c r="Q24" s="1" t="s">
        <v>126</v>
      </c>
      <c r="R24" s="1" t="s">
        <v>234</v>
      </c>
      <c r="S24" s="1" t="s">
        <v>106</v>
      </c>
      <c r="T24" s="1" t="s">
        <v>107</v>
      </c>
      <c r="U24" s="1" t="s">
        <v>108</v>
      </c>
      <c r="V24" s="1">
        <v>32.86</v>
      </c>
      <c r="W24" s="97"/>
      <c r="X24" s="129"/>
      <c r="Y24" s="97"/>
      <c r="Z24" s="97"/>
      <c r="AA24" s="85"/>
      <c r="AB24" s="145"/>
      <c r="AC24" s="1"/>
      <c r="AD24" s="143"/>
      <c r="AE24" s="142"/>
    </row>
    <row r="25" spans="1:31" ht="15.75" thickBot="1" x14ac:dyDescent="0.3">
      <c r="A25" s="107"/>
      <c r="B25" s="83">
        <v>372</v>
      </c>
      <c r="C25" s="83" t="s">
        <v>409</v>
      </c>
      <c r="D25" s="83" t="s">
        <v>103</v>
      </c>
      <c r="E25" s="83" t="s">
        <v>126</v>
      </c>
      <c r="F25" s="83" t="s">
        <v>332</v>
      </c>
      <c r="G25" s="83" t="s">
        <v>106</v>
      </c>
      <c r="H25" s="83">
        <f t="shared" ref="H25" si="51">_xlfn.STDEV.S(K22:K25)</f>
        <v>0.12277893413231286</v>
      </c>
      <c r="I25" s="83">
        <f t="shared" ref="I25" si="52">_xlfn.STDEV.S(J22:J25)</f>
        <v>1.8284784202537482E-2</v>
      </c>
      <c r="J25" s="83">
        <v>22.937999999999999</v>
      </c>
      <c r="K25" s="83">
        <v>18.491</v>
      </c>
      <c r="L25" s="17"/>
      <c r="M25" s="108"/>
      <c r="N25" s="108"/>
      <c r="O25" s="108"/>
      <c r="P25" s="109"/>
      <c r="Q25" s="1" t="s">
        <v>126</v>
      </c>
      <c r="R25" s="1" t="s">
        <v>234</v>
      </c>
      <c r="S25" s="1" t="s">
        <v>106</v>
      </c>
      <c r="T25" s="1" t="s">
        <v>107</v>
      </c>
      <c r="U25" s="1" t="s">
        <v>108</v>
      </c>
      <c r="V25" s="1">
        <v>31.94</v>
      </c>
      <c r="W25" s="98"/>
      <c r="X25" s="130"/>
      <c r="Y25" s="98"/>
      <c r="Z25" s="98"/>
      <c r="AA25" s="86"/>
      <c r="AB25" s="146"/>
      <c r="AC25" s="1"/>
      <c r="AD25" s="143"/>
      <c r="AE25" s="142"/>
    </row>
    <row r="26" spans="1:31" x14ac:dyDescent="0.25">
      <c r="A26" s="100"/>
      <c r="B26" s="9">
        <v>337</v>
      </c>
      <c r="C26" s="9" t="s">
        <v>386</v>
      </c>
      <c r="D26" s="9" t="s">
        <v>103</v>
      </c>
      <c r="E26" s="9" t="s">
        <v>416</v>
      </c>
      <c r="F26" s="9" t="s">
        <v>332</v>
      </c>
      <c r="G26" s="9" t="s">
        <v>106</v>
      </c>
      <c r="H26" s="9"/>
      <c r="I26" s="9"/>
      <c r="J26" s="9">
        <v>22.983000000000001</v>
      </c>
      <c r="K26" s="9">
        <v>18.667000000000002</v>
      </c>
      <c r="L26" s="11"/>
      <c r="M26" s="104">
        <f t="shared" ref="M26:N26" si="53">AVERAGE(J26:J29)</f>
        <v>23.02</v>
      </c>
      <c r="N26" s="104">
        <f t="shared" si="53"/>
        <v>18.7575</v>
      </c>
      <c r="O26" s="104"/>
      <c r="P26" s="89">
        <f t="shared" ref="P26" si="54">GEOMEAN(M26,N26)</f>
        <v>20.779741336214943</v>
      </c>
      <c r="Q26" s="1" t="s">
        <v>416</v>
      </c>
      <c r="R26" s="1" t="s">
        <v>234</v>
      </c>
      <c r="S26" s="1" t="s">
        <v>106</v>
      </c>
      <c r="T26" s="1" t="s">
        <v>107</v>
      </c>
      <c r="U26" s="1" t="s">
        <v>108</v>
      </c>
      <c r="V26" s="1" t="s">
        <v>235</v>
      </c>
      <c r="W26" s="96" t="e">
        <f t="shared" ref="W26" si="55">_xlfn.STDEV.S(V26:V29)</f>
        <v>#DIV/0!</v>
      </c>
      <c r="X26" s="128" t="e">
        <f t="shared" ref="X26" si="56">AVERAGE(V26:V29)</f>
        <v>#DIV/0!</v>
      </c>
      <c r="Y26" s="96" t="e">
        <f t="shared" ref="Y26" si="57">X26-P26</f>
        <v>#DIV/0!</v>
      </c>
      <c r="Z26" s="96" t="e">
        <f>Y26-$AE$4</f>
        <v>#DIV/0!</v>
      </c>
      <c r="AA26" s="84" t="e">
        <f t="shared" ref="AA26" si="58">2^-Z26</f>
        <v>#DIV/0!</v>
      </c>
      <c r="AB26" s="139"/>
      <c r="AC26" s="1" t="e">
        <f t="shared" ref="AC26" si="59">LOG(AA26,2)</f>
        <v>#DIV/0!</v>
      </c>
      <c r="AD26" s="143"/>
      <c r="AE26" s="142"/>
    </row>
    <row r="27" spans="1:31" x14ac:dyDescent="0.25">
      <c r="A27" s="101"/>
      <c r="B27" s="1">
        <v>361</v>
      </c>
      <c r="C27" s="1" t="s">
        <v>398</v>
      </c>
      <c r="D27" s="1" t="s">
        <v>103</v>
      </c>
      <c r="E27" s="1" t="s">
        <v>416</v>
      </c>
      <c r="F27" s="1" t="s">
        <v>332</v>
      </c>
      <c r="G27" s="1" t="s">
        <v>106</v>
      </c>
      <c r="H27" s="1"/>
      <c r="I27" s="1"/>
      <c r="J27" s="1">
        <v>22.923999999999999</v>
      </c>
      <c r="K27" s="1">
        <v>18.940000000000001</v>
      </c>
      <c r="L27" s="14"/>
      <c r="M27" s="105"/>
      <c r="N27" s="105"/>
      <c r="O27" s="105"/>
      <c r="P27" s="90"/>
      <c r="Q27" s="1" t="s">
        <v>416</v>
      </c>
      <c r="R27" s="1" t="s">
        <v>234</v>
      </c>
      <c r="S27" s="1" t="s">
        <v>106</v>
      </c>
      <c r="T27" s="1" t="s">
        <v>107</v>
      </c>
      <c r="U27" s="1" t="s">
        <v>108</v>
      </c>
      <c r="V27" s="1" t="s">
        <v>235</v>
      </c>
      <c r="W27" s="97"/>
      <c r="X27" s="129"/>
      <c r="Y27" s="97"/>
      <c r="Z27" s="97"/>
      <c r="AA27" s="85"/>
      <c r="AB27" s="140"/>
      <c r="AC27" s="1"/>
      <c r="AD27" s="143"/>
      <c r="AE27" s="142"/>
    </row>
    <row r="28" spans="1:31" x14ac:dyDescent="0.25">
      <c r="A28" s="101"/>
      <c r="B28" s="1">
        <v>338</v>
      </c>
      <c r="C28" s="1" t="s">
        <v>387</v>
      </c>
      <c r="D28" s="1" t="s">
        <v>103</v>
      </c>
      <c r="E28" s="1" t="s">
        <v>416</v>
      </c>
      <c r="F28" s="1" t="s">
        <v>332</v>
      </c>
      <c r="G28" s="1" t="s">
        <v>106</v>
      </c>
      <c r="H28" s="1"/>
      <c r="I28" s="1"/>
      <c r="J28" s="1">
        <v>23.096</v>
      </c>
      <c r="K28" s="1">
        <v>18.649000000000001</v>
      </c>
      <c r="L28" s="14"/>
      <c r="M28" s="105"/>
      <c r="N28" s="105"/>
      <c r="O28" s="105"/>
      <c r="P28" s="90"/>
      <c r="Q28" s="1" t="s">
        <v>416</v>
      </c>
      <c r="R28" s="1" t="s">
        <v>234</v>
      </c>
      <c r="S28" s="1" t="s">
        <v>106</v>
      </c>
      <c r="T28" s="1" t="s">
        <v>107</v>
      </c>
      <c r="U28" s="1" t="s">
        <v>108</v>
      </c>
      <c r="V28" s="1" t="s">
        <v>235</v>
      </c>
      <c r="W28" s="97"/>
      <c r="X28" s="129"/>
      <c r="Y28" s="97"/>
      <c r="Z28" s="97"/>
      <c r="AA28" s="85"/>
      <c r="AB28" s="140"/>
      <c r="AC28" s="1"/>
      <c r="AD28" s="143"/>
      <c r="AE28" s="142"/>
    </row>
    <row r="29" spans="1:31" ht="15.75" thickBot="1" x14ac:dyDescent="0.3">
      <c r="A29" s="107"/>
      <c r="B29" s="83">
        <v>362</v>
      </c>
      <c r="C29" s="83" t="s">
        <v>399</v>
      </c>
      <c r="D29" s="83" t="s">
        <v>103</v>
      </c>
      <c r="E29" s="83" t="s">
        <v>416</v>
      </c>
      <c r="F29" s="83" t="s">
        <v>332</v>
      </c>
      <c r="G29" s="83" t="s">
        <v>106</v>
      </c>
      <c r="H29" s="83">
        <f t="shared" ref="H29" si="60">_xlfn.STDEV.S(K26:K29)</f>
        <v>0.13359266446927393</v>
      </c>
      <c r="I29" s="83">
        <f t="shared" ref="I29" si="61">_xlfn.STDEV.S(J26:J29)</f>
        <v>8.0849654709632221E-2</v>
      </c>
      <c r="J29" s="83">
        <v>23.077000000000002</v>
      </c>
      <c r="K29" s="83">
        <v>18.774000000000001</v>
      </c>
      <c r="L29" s="17"/>
      <c r="M29" s="108"/>
      <c r="N29" s="108"/>
      <c r="O29" s="108"/>
      <c r="P29" s="109"/>
      <c r="Q29" s="1" t="s">
        <v>416</v>
      </c>
      <c r="R29" s="1" t="s">
        <v>234</v>
      </c>
      <c r="S29" s="1" t="s">
        <v>106</v>
      </c>
      <c r="T29" s="1" t="s">
        <v>107</v>
      </c>
      <c r="U29" s="1" t="s">
        <v>108</v>
      </c>
      <c r="V29" s="1" t="s">
        <v>235</v>
      </c>
      <c r="W29" s="98"/>
      <c r="X29" s="130"/>
      <c r="Y29" s="98"/>
      <c r="Z29" s="98"/>
      <c r="AA29" s="86"/>
      <c r="AB29" s="141"/>
      <c r="AC29" s="1"/>
      <c r="AD29" s="143"/>
      <c r="AE29" s="142"/>
    </row>
    <row r="30" spans="1:31" x14ac:dyDescent="0.25">
      <c r="A30" s="100"/>
      <c r="B30" s="9">
        <v>339</v>
      </c>
      <c r="C30" s="9" t="s">
        <v>388</v>
      </c>
      <c r="D30" s="9" t="s">
        <v>103</v>
      </c>
      <c r="E30" s="9" t="s">
        <v>417</v>
      </c>
      <c r="F30" s="9" t="s">
        <v>332</v>
      </c>
      <c r="G30" s="9" t="s">
        <v>106</v>
      </c>
      <c r="H30" s="9"/>
      <c r="I30" s="9"/>
      <c r="J30" s="9">
        <v>22.806000000000001</v>
      </c>
      <c r="K30" s="9">
        <v>18.515000000000001</v>
      </c>
      <c r="L30" s="11"/>
      <c r="M30" s="104">
        <f t="shared" ref="M30:N30" si="62">AVERAGE(J30:J33)</f>
        <v>22.781750000000002</v>
      </c>
      <c r="N30" s="104">
        <f t="shared" si="62"/>
        <v>18.29025</v>
      </c>
      <c r="O30" s="104"/>
      <c r="P30" s="89">
        <f t="shared" ref="P30" si="63">GEOMEAN(M30,N30)</f>
        <v>20.412836719513045</v>
      </c>
      <c r="Q30" s="1" t="s">
        <v>417</v>
      </c>
      <c r="R30" s="1" t="s">
        <v>234</v>
      </c>
      <c r="S30" s="1" t="s">
        <v>106</v>
      </c>
      <c r="T30" s="1" t="s">
        <v>107</v>
      </c>
      <c r="U30" s="1" t="s">
        <v>108</v>
      </c>
      <c r="V30" s="1" t="s">
        <v>235</v>
      </c>
      <c r="W30" s="96" t="e">
        <f t="shared" ref="W30" si="64">_xlfn.STDEV.S(V30:V33)</f>
        <v>#DIV/0!</v>
      </c>
      <c r="X30" s="128" t="e">
        <f t="shared" ref="X30" si="65">AVERAGE(V30:V33)</f>
        <v>#DIV/0!</v>
      </c>
      <c r="Y30" s="96" t="e">
        <f t="shared" ref="Y30" si="66">X30-P30</f>
        <v>#DIV/0!</v>
      </c>
      <c r="Z30" s="96" t="e">
        <f t="shared" ref="Z30" si="67">Y30-$AE$4</f>
        <v>#DIV/0!</v>
      </c>
      <c r="AA30" s="84" t="e">
        <f t="shared" ref="AA30" si="68">2^-Z30</f>
        <v>#DIV/0!</v>
      </c>
      <c r="AB30" s="139"/>
      <c r="AC30" s="1" t="e">
        <f t="shared" ref="AC30" si="69">LOG(AA30,2)</f>
        <v>#DIV/0!</v>
      </c>
      <c r="AD30" s="1"/>
      <c r="AE30" s="1"/>
    </row>
    <row r="31" spans="1:31" x14ac:dyDescent="0.25">
      <c r="A31" s="101"/>
      <c r="B31" s="1">
        <v>363</v>
      </c>
      <c r="C31" s="1" t="s">
        <v>400</v>
      </c>
      <c r="D31" s="1" t="s">
        <v>103</v>
      </c>
      <c r="E31" s="1" t="s">
        <v>417</v>
      </c>
      <c r="F31" s="1" t="s">
        <v>332</v>
      </c>
      <c r="G31" s="1" t="s">
        <v>106</v>
      </c>
      <c r="H31" s="1"/>
      <c r="I31" s="1"/>
      <c r="J31" s="1">
        <v>22.748999999999999</v>
      </c>
      <c r="K31" s="1">
        <v>18.596</v>
      </c>
      <c r="L31" s="14"/>
      <c r="M31" s="105"/>
      <c r="N31" s="105"/>
      <c r="O31" s="105"/>
      <c r="P31" s="90"/>
      <c r="Q31" s="1" t="s">
        <v>417</v>
      </c>
      <c r="R31" s="1" t="s">
        <v>234</v>
      </c>
      <c r="S31" s="1" t="s">
        <v>106</v>
      </c>
      <c r="T31" s="1" t="s">
        <v>107</v>
      </c>
      <c r="U31" s="1" t="s">
        <v>108</v>
      </c>
      <c r="V31" s="1" t="s">
        <v>235</v>
      </c>
      <c r="W31" s="97"/>
      <c r="X31" s="129"/>
      <c r="Y31" s="97"/>
      <c r="Z31" s="97"/>
      <c r="AA31" s="85"/>
      <c r="AB31" s="140"/>
      <c r="AC31" s="1"/>
      <c r="AD31" s="1"/>
      <c r="AE31" s="1"/>
    </row>
    <row r="32" spans="1:31" x14ac:dyDescent="0.25">
      <c r="A32" s="101"/>
      <c r="B32" s="1">
        <v>340</v>
      </c>
      <c r="C32" s="1" t="s">
        <v>389</v>
      </c>
      <c r="D32" s="1" t="s">
        <v>103</v>
      </c>
      <c r="E32" s="1" t="s">
        <v>417</v>
      </c>
      <c r="F32" s="1" t="s">
        <v>332</v>
      </c>
      <c r="G32" s="1" t="s">
        <v>106</v>
      </c>
      <c r="H32" s="1"/>
      <c r="I32" s="1"/>
      <c r="J32" s="1">
        <v>22.742999999999999</v>
      </c>
      <c r="K32" s="1">
        <v>18.411999999999999</v>
      </c>
      <c r="L32" s="14"/>
      <c r="M32" s="105"/>
      <c r="N32" s="105"/>
      <c r="O32" s="105"/>
      <c r="P32" s="90"/>
      <c r="Q32" s="1" t="s">
        <v>417</v>
      </c>
      <c r="R32" s="1" t="s">
        <v>234</v>
      </c>
      <c r="S32" s="1" t="s">
        <v>106</v>
      </c>
      <c r="T32" s="1" t="s">
        <v>107</v>
      </c>
      <c r="U32" s="1" t="s">
        <v>108</v>
      </c>
      <c r="V32" s="1" t="s">
        <v>235</v>
      </c>
      <c r="W32" s="97"/>
      <c r="X32" s="129"/>
      <c r="Y32" s="97"/>
      <c r="Z32" s="97"/>
      <c r="AA32" s="85"/>
      <c r="AB32" s="140"/>
      <c r="AC32" s="1"/>
      <c r="AD32" s="1"/>
      <c r="AE32" s="1"/>
    </row>
    <row r="33" spans="1:31" ht="15.75" thickBot="1" x14ac:dyDescent="0.3">
      <c r="A33" s="107"/>
      <c r="B33" s="83">
        <v>364</v>
      </c>
      <c r="C33" s="83" t="s">
        <v>401</v>
      </c>
      <c r="D33" s="83" t="s">
        <v>103</v>
      </c>
      <c r="E33" s="83" t="s">
        <v>417</v>
      </c>
      <c r="F33" s="83" t="s">
        <v>332</v>
      </c>
      <c r="G33" s="83" t="s">
        <v>106</v>
      </c>
      <c r="H33" s="83">
        <f t="shared" ref="H33" si="70">_xlfn.STDEV.S(K30:K33)</f>
        <v>0.44130441118725816</v>
      </c>
      <c r="I33" s="83">
        <f t="shared" ref="I33" si="71">_xlfn.STDEV.S(J30:J33)</f>
        <v>4.2405777908206085E-2</v>
      </c>
      <c r="J33" s="83">
        <v>22.829000000000001</v>
      </c>
      <c r="K33" s="83">
        <v>17.638000000000002</v>
      </c>
      <c r="L33" s="17"/>
      <c r="M33" s="108"/>
      <c r="N33" s="108"/>
      <c r="O33" s="108"/>
      <c r="P33" s="109"/>
      <c r="Q33" s="1" t="s">
        <v>417</v>
      </c>
      <c r="R33" s="1" t="s">
        <v>234</v>
      </c>
      <c r="S33" s="1" t="s">
        <v>106</v>
      </c>
      <c r="T33" s="1" t="s">
        <v>107</v>
      </c>
      <c r="U33" s="1" t="s">
        <v>108</v>
      </c>
      <c r="V33" s="1" t="s">
        <v>235</v>
      </c>
      <c r="W33" s="98"/>
      <c r="X33" s="130"/>
      <c r="Y33" s="98"/>
      <c r="Z33" s="98"/>
      <c r="AA33" s="86"/>
      <c r="AB33" s="141"/>
      <c r="AC33" s="1"/>
      <c r="AD33" s="1"/>
      <c r="AE33" s="1"/>
    </row>
    <row r="34" spans="1:31" x14ac:dyDescent="0.25">
      <c r="A34" s="100"/>
      <c r="B34" s="9">
        <v>341</v>
      </c>
      <c r="C34" s="9" t="s">
        <v>390</v>
      </c>
      <c r="D34" s="9" t="s">
        <v>103</v>
      </c>
      <c r="E34" s="9" t="s">
        <v>418</v>
      </c>
      <c r="F34" s="9" t="s">
        <v>332</v>
      </c>
      <c r="G34" s="9" t="s">
        <v>106</v>
      </c>
      <c r="H34" s="9"/>
      <c r="I34" s="9"/>
      <c r="J34" s="9">
        <v>22.611000000000001</v>
      </c>
      <c r="K34" s="9">
        <v>18.010000000000002</v>
      </c>
      <c r="L34" s="11"/>
      <c r="M34" s="104">
        <f t="shared" ref="M34:N34" si="72">AVERAGE(J34:J37)</f>
        <v>22.61225</v>
      </c>
      <c r="N34" s="104">
        <f t="shared" si="72"/>
        <v>18.068000000000001</v>
      </c>
      <c r="O34" s="104"/>
      <c r="P34" s="89">
        <f t="shared" ref="P34" si="73">GEOMEAN(M34,N34)</f>
        <v>20.21282100549055</v>
      </c>
      <c r="Q34" s="1" t="s">
        <v>418</v>
      </c>
      <c r="R34" s="1" t="s">
        <v>234</v>
      </c>
      <c r="S34" s="1" t="s">
        <v>106</v>
      </c>
      <c r="T34" s="1" t="s">
        <v>107</v>
      </c>
      <c r="U34" s="1" t="s">
        <v>108</v>
      </c>
      <c r="V34" s="1">
        <v>34.887999999999998</v>
      </c>
      <c r="W34" s="96">
        <f t="shared" ref="W34" si="74">_xlfn.STDEV.S(V34:V37)</f>
        <v>0.83213635701528144</v>
      </c>
      <c r="X34" s="128">
        <f t="shared" ref="X34" si="75">AVERAGE(V34:V37)</f>
        <v>33.897750000000002</v>
      </c>
      <c r="Y34" s="96">
        <f t="shared" ref="Y34" si="76">X34-P34</f>
        <v>13.684928994509452</v>
      </c>
      <c r="Z34" s="96" t="e">
        <f t="shared" ref="Z34" si="77">Y34-$AE$4</f>
        <v>#DIV/0!</v>
      </c>
      <c r="AA34" s="84" t="e">
        <f t="shared" ref="AA34" si="78">2^-Z34</f>
        <v>#DIV/0!</v>
      </c>
      <c r="AB34" s="136"/>
      <c r="AC34" s="1" t="e">
        <f t="shared" ref="AC34" si="79">LOG(AA34,2)</f>
        <v>#DIV/0!</v>
      </c>
      <c r="AD34" s="1"/>
      <c r="AE34" s="1"/>
    </row>
    <row r="35" spans="1:31" x14ac:dyDescent="0.25">
      <c r="A35" s="101"/>
      <c r="B35" s="1">
        <v>365</v>
      </c>
      <c r="C35" s="1" t="s">
        <v>402</v>
      </c>
      <c r="D35" s="1" t="s">
        <v>103</v>
      </c>
      <c r="E35" s="1" t="s">
        <v>418</v>
      </c>
      <c r="F35" s="1" t="s">
        <v>332</v>
      </c>
      <c r="G35" s="1" t="s">
        <v>106</v>
      </c>
      <c r="H35" s="1"/>
      <c r="I35" s="1"/>
      <c r="J35" s="1">
        <v>22.594000000000001</v>
      </c>
      <c r="K35" s="1">
        <v>18.193000000000001</v>
      </c>
      <c r="L35" s="14"/>
      <c r="M35" s="105"/>
      <c r="N35" s="105"/>
      <c r="O35" s="105"/>
      <c r="P35" s="90"/>
      <c r="Q35" s="1" t="s">
        <v>418</v>
      </c>
      <c r="R35" s="1" t="s">
        <v>234</v>
      </c>
      <c r="S35" s="1" t="s">
        <v>106</v>
      </c>
      <c r="T35" s="1" t="s">
        <v>107</v>
      </c>
      <c r="U35" s="1" t="s">
        <v>108</v>
      </c>
      <c r="V35" s="1">
        <v>33.798000000000002</v>
      </c>
      <c r="W35" s="97"/>
      <c r="X35" s="129"/>
      <c r="Y35" s="97"/>
      <c r="Z35" s="97"/>
      <c r="AA35" s="85"/>
      <c r="AB35" s="137"/>
      <c r="AC35" s="1"/>
      <c r="AD35" s="1"/>
      <c r="AE35" s="1"/>
    </row>
    <row r="36" spans="1:31" x14ac:dyDescent="0.25">
      <c r="A36" s="101"/>
      <c r="B36" s="1">
        <v>342</v>
      </c>
      <c r="C36" s="1" t="s">
        <v>391</v>
      </c>
      <c r="D36" s="1" t="s">
        <v>103</v>
      </c>
      <c r="E36" s="1" t="s">
        <v>418</v>
      </c>
      <c r="F36" s="1" t="s">
        <v>332</v>
      </c>
      <c r="G36" s="1" t="s">
        <v>106</v>
      </c>
      <c r="H36" s="1"/>
      <c r="I36" s="1"/>
      <c r="J36" s="1">
        <v>22.55</v>
      </c>
      <c r="K36" s="1">
        <v>17.946000000000002</v>
      </c>
      <c r="L36" s="14"/>
      <c r="M36" s="105"/>
      <c r="N36" s="105"/>
      <c r="O36" s="105"/>
      <c r="P36" s="90"/>
      <c r="Q36" s="1" t="s">
        <v>418</v>
      </c>
      <c r="R36" s="1" t="s">
        <v>234</v>
      </c>
      <c r="S36" s="1" t="s">
        <v>106</v>
      </c>
      <c r="T36" s="1" t="s">
        <v>107</v>
      </c>
      <c r="U36" s="1" t="s">
        <v>108</v>
      </c>
      <c r="V36" s="1">
        <v>34.04</v>
      </c>
      <c r="W36" s="97"/>
      <c r="X36" s="129"/>
      <c r="Y36" s="97"/>
      <c r="Z36" s="97"/>
      <c r="AA36" s="85"/>
      <c r="AB36" s="137"/>
      <c r="AC36" s="1"/>
      <c r="AD36" s="1"/>
      <c r="AE36" s="1"/>
    </row>
    <row r="37" spans="1:31" ht="15.75" thickBot="1" x14ac:dyDescent="0.3">
      <c r="A37" s="107"/>
      <c r="B37" s="83">
        <v>366</v>
      </c>
      <c r="C37" s="83" t="s">
        <v>403</v>
      </c>
      <c r="D37" s="83" t="s">
        <v>103</v>
      </c>
      <c r="E37" s="83" t="s">
        <v>418</v>
      </c>
      <c r="F37" s="83" t="s">
        <v>332</v>
      </c>
      <c r="G37" s="83" t="s">
        <v>106</v>
      </c>
      <c r="H37" s="83">
        <f t="shared" ref="H37" si="80">_xlfn.STDEV.S(K34:K37)</f>
        <v>0.11090235945791824</v>
      </c>
      <c r="I37" s="83">
        <f t="shared" ref="I37" si="81">_xlfn.STDEV.S(J34:J37)</f>
        <v>6.0257088103115065E-2</v>
      </c>
      <c r="J37" s="83">
        <v>22.693999999999999</v>
      </c>
      <c r="K37" s="83">
        <v>18.123000000000001</v>
      </c>
      <c r="L37" s="17"/>
      <c r="M37" s="108"/>
      <c r="N37" s="108"/>
      <c r="O37" s="108"/>
      <c r="P37" s="109"/>
      <c r="Q37" s="1" t="s">
        <v>418</v>
      </c>
      <c r="R37" s="1" t="s">
        <v>234</v>
      </c>
      <c r="S37" s="1" t="s">
        <v>106</v>
      </c>
      <c r="T37" s="1" t="s">
        <v>107</v>
      </c>
      <c r="U37" s="1" t="s">
        <v>108</v>
      </c>
      <c r="V37" s="1">
        <v>32.865000000000002</v>
      </c>
      <c r="W37" s="98"/>
      <c r="X37" s="130"/>
      <c r="Y37" s="98"/>
      <c r="Z37" s="98"/>
      <c r="AA37" s="86"/>
      <c r="AB37" s="138"/>
      <c r="AC37" s="1"/>
      <c r="AD37" s="1"/>
      <c r="AE37" s="1"/>
    </row>
    <row r="38" spans="1:31" x14ac:dyDescent="0.25">
      <c r="A38" s="100"/>
      <c r="B38" s="9">
        <v>343</v>
      </c>
      <c r="C38" s="9" t="s">
        <v>392</v>
      </c>
      <c r="D38" s="9" t="s">
        <v>103</v>
      </c>
      <c r="E38" s="9" t="s">
        <v>419</v>
      </c>
      <c r="F38" s="9" t="s">
        <v>332</v>
      </c>
      <c r="G38" s="9" t="s">
        <v>106</v>
      </c>
      <c r="H38" s="9"/>
      <c r="I38" s="9"/>
      <c r="J38" s="9">
        <v>22.65</v>
      </c>
      <c r="K38" s="9">
        <v>17.954999999999998</v>
      </c>
      <c r="L38" s="11"/>
      <c r="M38" s="104">
        <f t="shared" ref="M38:N38" si="82">AVERAGE(J38:J41)</f>
        <v>22.660999999999998</v>
      </c>
      <c r="N38" s="104">
        <f t="shared" si="82"/>
        <v>17.9955</v>
      </c>
      <c r="O38" s="104"/>
      <c r="P38" s="89">
        <f t="shared" ref="P38" si="83">GEOMEAN(M38,N38)</f>
        <v>20.193960124254975</v>
      </c>
      <c r="Q38" s="1" t="s">
        <v>419</v>
      </c>
      <c r="R38" s="1" t="s">
        <v>234</v>
      </c>
      <c r="S38" s="1" t="s">
        <v>106</v>
      </c>
      <c r="T38" s="1" t="s">
        <v>107</v>
      </c>
      <c r="U38" s="1" t="s">
        <v>108</v>
      </c>
      <c r="V38" s="1" t="s">
        <v>235</v>
      </c>
      <c r="W38" s="96">
        <f t="shared" ref="W38" si="84">_xlfn.STDEV.S(V38:V41)</f>
        <v>0.76438243046266008</v>
      </c>
      <c r="X38" s="128">
        <f t="shared" ref="X38" si="85">AVERAGE(V38:V41)</f>
        <v>34.447499999999998</v>
      </c>
      <c r="Y38" s="96">
        <f t="shared" ref="Y38" si="86">X38-P38</f>
        <v>14.253539875745023</v>
      </c>
      <c r="Z38" s="96" t="e">
        <f t="shared" ref="Z38" si="87">Y38-$AE$4</f>
        <v>#DIV/0!</v>
      </c>
      <c r="AA38" s="84" t="e">
        <f t="shared" ref="AA38" si="88">2^-Z38</f>
        <v>#DIV/0!</v>
      </c>
      <c r="AB38" s="136"/>
      <c r="AC38" s="1" t="e">
        <f t="shared" ref="AC38" si="89">LOG(AA38,2)</f>
        <v>#DIV/0!</v>
      </c>
      <c r="AD38" s="1"/>
      <c r="AE38" s="1"/>
    </row>
    <row r="39" spans="1:31" x14ac:dyDescent="0.25">
      <c r="A39" s="101"/>
      <c r="B39" s="1">
        <v>367</v>
      </c>
      <c r="C39" s="1" t="s">
        <v>404</v>
      </c>
      <c r="D39" s="1" t="s">
        <v>103</v>
      </c>
      <c r="E39" s="1" t="s">
        <v>419</v>
      </c>
      <c r="F39" s="1" t="s">
        <v>332</v>
      </c>
      <c r="G39" s="1" t="s">
        <v>106</v>
      </c>
      <c r="H39" s="1"/>
      <c r="I39" s="1"/>
      <c r="J39" s="1">
        <v>22.596</v>
      </c>
      <c r="K39" s="1">
        <v>18.097000000000001</v>
      </c>
      <c r="L39" s="14"/>
      <c r="M39" s="105"/>
      <c r="N39" s="105"/>
      <c r="O39" s="105"/>
      <c r="P39" s="90"/>
      <c r="Q39" s="1" t="s">
        <v>419</v>
      </c>
      <c r="R39" s="1" t="s">
        <v>234</v>
      </c>
      <c r="S39" s="1" t="s">
        <v>106</v>
      </c>
      <c r="T39" s="1" t="s">
        <v>107</v>
      </c>
      <c r="U39" s="1" t="s">
        <v>108</v>
      </c>
      <c r="V39" s="1">
        <v>33.906999999999996</v>
      </c>
      <c r="W39" s="97"/>
      <c r="X39" s="129"/>
      <c r="Y39" s="97"/>
      <c r="Z39" s="97"/>
      <c r="AA39" s="85"/>
      <c r="AB39" s="137"/>
      <c r="AC39" s="1"/>
      <c r="AD39" s="1"/>
      <c r="AE39" s="1"/>
    </row>
    <row r="40" spans="1:31" x14ac:dyDescent="0.25">
      <c r="A40" s="101"/>
      <c r="B40" s="1">
        <v>344</v>
      </c>
      <c r="C40" s="1" t="s">
        <v>393</v>
      </c>
      <c r="D40" s="1" t="s">
        <v>103</v>
      </c>
      <c r="E40" s="1" t="s">
        <v>419</v>
      </c>
      <c r="F40" s="1" t="s">
        <v>332</v>
      </c>
      <c r="G40" s="1" t="s">
        <v>106</v>
      </c>
      <c r="H40" s="1"/>
      <c r="I40" s="1"/>
      <c r="J40" s="1">
        <v>22.698</v>
      </c>
      <c r="K40" s="1">
        <v>17.888999999999999</v>
      </c>
      <c r="L40" s="14"/>
      <c r="M40" s="105"/>
      <c r="N40" s="105"/>
      <c r="O40" s="105"/>
      <c r="P40" s="90"/>
      <c r="Q40" s="1" t="s">
        <v>419</v>
      </c>
      <c r="R40" s="1" t="s">
        <v>234</v>
      </c>
      <c r="S40" s="1" t="s">
        <v>106</v>
      </c>
      <c r="T40" s="1" t="s">
        <v>107</v>
      </c>
      <c r="U40" s="1" t="s">
        <v>108</v>
      </c>
      <c r="V40" s="1">
        <v>34.988</v>
      </c>
      <c r="W40" s="97"/>
      <c r="X40" s="129"/>
      <c r="Y40" s="97"/>
      <c r="Z40" s="97"/>
      <c r="AA40" s="85"/>
      <c r="AB40" s="137"/>
      <c r="AC40" s="1"/>
      <c r="AD40" s="1"/>
      <c r="AE40" s="1"/>
    </row>
    <row r="41" spans="1:31" ht="15.75" thickBot="1" x14ac:dyDescent="0.3">
      <c r="A41" s="107"/>
      <c r="B41" s="83">
        <v>368</v>
      </c>
      <c r="C41" s="83" t="s">
        <v>405</v>
      </c>
      <c r="D41" s="83" t="s">
        <v>103</v>
      </c>
      <c r="E41" s="83" t="s">
        <v>419</v>
      </c>
      <c r="F41" s="83" t="s">
        <v>332</v>
      </c>
      <c r="G41" s="83" t="s">
        <v>106</v>
      </c>
      <c r="H41" s="83">
        <f t="shared" ref="H41" si="90">_xlfn.STDEV.S(K38:K41)</f>
        <v>9.1932946578834621E-2</v>
      </c>
      <c r="I41" s="83">
        <f t="shared" ref="I41" si="91">_xlfn.STDEV.S(J38:J41)</f>
        <v>4.911211663123468E-2</v>
      </c>
      <c r="J41" s="83">
        <v>22.7</v>
      </c>
      <c r="K41" s="83">
        <v>18.041</v>
      </c>
      <c r="L41" s="17"/>
      <c r="M41" s="108"/>
      <c r="N41" s="108"/>
      <c r="O41" s="108"/>
      <c r="P41" s="109"/>
      <c r="Q41" s="1" t="s">
        <v>419</v>
      </c>
      <c r="R41" s="1" t="s">
        <v>234</v>
      </c>
      <c r="S41" s="1" t="s">
        <v>106</v>
      </c>
      <c r="T41" s="1" t="s">
        <v>107</v>
      </c>
      <c r="U41" s="1" t="s">
        <v>108</v>
      </c>
      <c r="V41" s="1" t="s">
        <v>235</v>
      </c>
      <c r="W41" s="98"/>
      <c r="X41" s="130"/>
      <c r="Y41" s="98"/>
      <c r="Z41" s="98"/>
      <c r="AA41" s="86"/>
      <c r="AB41" s="138"/>
      <c r="AC41" s="1"/>
      <c r="AD41" s="1"/>
      <c r="AE41" s="1"/>
    </row>
    <row r="42" spans="1:31" x14ac:dyDescent="0.25">
      <c r="A42" s="100"/>
      <c r="B42" s="9">
        <v>345</v>
      </c>
      <c r="C42" s="9" t="s">
        <v>394</v>
      </c>
      <c r="D42" s="9" t="s">
        <v>103</v>
      </c>
      <c r="E42" s="9" t="s">
        <v>420</v>
      </c>
      <c r="F42" s="9" t="s">
        <v>332</v>
      </c>
      <c r="G42" s="9" t="s">
        <v>106</v>
      </c>
      <c r="H42" s="9"/>
      <c r="I42" s="9"/>
      <c r="J42" s="9">
        <v>24.039000000000001</v>
      </c>
      <c r="K42" s="9">
        <v>20.016999999999999</v>
      </c>
      <c r="L42" s="11"/>
      <c r="M42" s="104">
        <f t="shared" ref="M42:N42" si="92">AVERAGE(J42:J45)</f>
        <v>24.10125</v>
      </c>
      <c r="N42" s="104">
        <f t="shared" si="92"/>
        <v>19.996499999999997</v>
      </c>
      <c r="O42" s="104"/>
      <c r="P42" s="89">
        <f t="shared" ref="P42" si="93">GEOMEAN(M42,N42)</f>
        <v>21.953146599633502</v>
      </c>
      <c r="Q42" s="1" t="s">
        <v>420</v>
      </c>
      <c r="R42" s="1" t="s">
        <v>234</v>
      </c>
      <c r="S42" s="1" t="s">
        <v>106</v>
      </c>
      <c r="T42" s="1" t="s">
        <v>107</v>
      </c>
      <c r="U42" s="1" t="s">
        <v>108</v>
      </c>
      <c r="V42" s="1">
        <v>31.866</v>
      </c>
      <c r="W42" s="96">
        <f t="shared" ref="W42" si="94">_xlfn.STDEV.S(V42:V45)</f>
        <v>0.65697310954609489</v>
      </c>
      <c r="X42" s="128">
        <f t="shared" ref="X42" si="95">AVERAGE(V42:V45)</f>
        <v>32.230499999999999</v>
      </c>
      <c r="Y42" s="96">
        <f t="shared" ref="Y42" si="96">X42-P42</f>
        <v>10.277353400366497</v>
      </c>
      <c r="Z42" s="96" t="e">
        <f t="shared" ref="Z42" si="97">Y42-$AE$4</f>
        <v>#DIV/0!</v>
      </c>
      <c r="AA42" s="84" t="e">
        <f t="shared" ref="AA42" si="98">2^-Z42</f>
        <v>#DIV/0!</v>
      </c>
      <c r="AB42" s="132"/>
      <c r="AC42" s="1" t="e">
        <f t="shared" ref="AC42" si="99">LOG(AA42,2)</f>
        <v>#DIV/0!</v>
      </c>
      <c r="AD42" s="1"/>
      <c r="AE42" s="1"/>
    </row>
    <row r="43" spans="1:31" x14ac:dyDescent="0.25">
      <c r="A43" s="101"/>
      <c r="B43" s="1">
        <v>369</v>
      </c>
      <c r="C43" s="1" t="s">
        <v>406</v>
      </c>
      <c r="D43" s="1" t="s">
        <v>103</v>
      </c>
      <c r="E43" s="1" t="s">
        <v>420</v>
      </c>
      <c r="F43" s="1" t="s">
        <v>332</v>
      </c>
      <c r="G43" s="1" t="s">
        <v>106</v>
      </c>
      <c r="H43" s="1"/>
      <c r="I43" s="1"/>
      <c r="J43" s="1">
        <v>24.114999999999998</v>
      </c>
      <c r="K43" s="1">
        <v>20.026</v>
      </c>
      <c r="L43" s="14"/>
      <c r="M43" s="105"/>
      <c r="N43" s="105"/>
      <c r="O43" s="105"/>
      <c r="P43" s="90"/>
      <c r="Q43" s="1" t="s">
        <v>420</v>
      </c>
      <c r="R43" s="1" t="s">
        <v>234</v>
      </c>
      <c r="S43" s="1" t="s">
        <v>106</v>
      </c>
      <c r="T43" s="1" t="s">
        <v>107</v>
      </c>
      <c r="U43" s="1" t="s">
        <v>108</v>
      </c>
      <c r="V43" s="1">
        <v>33.174999999999997</v>
      </c>
      <c r="W43" s="97"/>
      <c r="X43" s="129"/>
      <c r="Y43" s="97"/>
      <c r="Z43" s="97"/>
      <c r="AA43" s="85"/>
      <c r="AB43" s="133"/>
      <c r="AC43" s="1"/>
      <c r="AD43" s="1"/>
      <c r="AE43" s="1"/>
    </row>
    <row r="44" spans="1:31" x14ac:dyDescent="0.25">
      <c r="A44" s="101"/>
      <c r="B44" s="1">
        <v>346</v>
      </c>
      <c r="C44" s="1" t="s">
        <v>395</v>
      </c>
      <c r="D44" s="1" t="s">
        <v>103</v>
      </c>
      <c r="E44" s="1" t="s">
        <v>420</v>
      </c>
      <c r="F44" s="1" t="s">
        <v>332</v>
      </c>
      <c r="G44" s="1" t="s">
        <v>106</v>
      </c>
      <c r="H44" s="1"/>
      <c r="I44" s="1"/>
      <c r="J44" s="1">
        <v>24.184000000000001</v>
      </c>
      <c r="K44" s="1">
        <v>19.843</v>
      </c>
      <c r="L44" s="14"/>
      <c r="M44" s="105"/>
      <c r="N44" s="105"/>
      <c r="O44" s="105"/>
      <c r="P44" s="90"/>
      <c r="Q44" s="1" t="s">
        <v>420</v>
      </c>
      <c r="R44" s="1" t="s">
        <v>234</v>
      </c>
      <c r="S44" s="1" t="s">
        <v>106</v>
      </c>
      <c r="T44" s="1" t="s">
        <v>107</v>
      </c>
      <c r="U44" s="1" t="s">
        <v>108</v>
      </c>
      <c r="V44" s="1">
        <v>32.165999999999997</v>
      </c>
      <c r="W44" s="97"/>
      <c r="X44" s="129"/>
      <c r="Y44" s="97"/>
      <c r="Z44" s="97"/>
      <c r="AA44" s="85"/>
      <c r="AB44" s="133"/>
      <c r="AC44" s="1"/>
      <c r="AD44" s="1"/>
      <c r="AE44" s="1"/>
    </row>
    <row r="45" spans="1:31" ht="15.75" thickBot="1" x14ac:dyDescent="0.3">
      <c r="A45" s="107"/>
      <c r="B45" s="83">
        <v>370</v>
      </c>
      <c r="C45" s="83" t="s">
        <v>407</v>
      </c>
      <c r="D45" s="83" t="s">
        <v>103</v>
      </c>
      <c r="E45" s="83" t="s">
        <v>420</v>
      </c>
      <c r="F45" s="83" t="s">
        <v>332</v>
      </c>
      <c r="G45" s="83" t="s">
        <v>106</v>
      </c>
      <c r="H45" s="83">
        <f t="shared" ref="H45" si="100">_xlfn.STDEV.S(K42:K45)</f>
        <v>0.1088806686239577</v>
      </c>
      <c r="I45" s="83">
        <f t="shared" ref="I45" si="101">_xlfn.STDEV.S(J42:J45)</f>
        <v>6.3468496122091766E-2</v>
      </c>
      <c r="J45" s="83">
        <v>24.067</v>
      </c>
      <c r="K45" s="83">
        <v>20.100000000000001</v>
      </c>
      <c r="L45" s="17"/>
      <c r="M45" s="108"/>
      <c r="N45" s="108"/>
      <c r="O45" s="108"/>
      <c r="P45" s="109"/>
      <c r="Q45" s="1" t="s">
        <v>420</v>
      </c>
      <c r="R45" s="1" t="s">
        <v>234</v>
      </c>
      <c r="S45" s="1" t="s">
        <v>106</v>
      </c>
      <c r="T45" s="1" t="s">
        <v>107</v>
      </c>
      <c r="U45" s="1" t="s">
        <v>108</v>
      </c>
      <c r="V45" s="1">
        <v>31.715</v>
      </c>
      <c r="W45" s="98"/>
      <c r="X45" s="130"/>
      <c r="Y45" s="98"/>
      <c r="Z45" s="98"/>
      <c r="AA45" s="86"/>
      <c r="AB45" s="135"/>
      <c r="AC45" s="1"/>
      <c r="AD45" s="1"/>
      <c r="AE45" s="1"/>
    </row>
    <row r="46" spans="1:31" x14ac:dyDescent="0.25">
      <c r="A46" s="100"/>
      <c r="B46" s="9">
        <v>347</v>
      </c>
      <c r="C46" s="9" t="s">
        <v>396</v>
      </c>
      <c r="D46" s="9" t="s">
        <v>103</v>
      </c>
      <c r="E46" s="9" t="s">
        <v>421</v>
      </c>
      <c r="F46" s="9" t="s">
        <v>332</v>
      </c>
      <c r="G46" s="9" t="s">
        <v>106</v>
      </c>
      <c r="H46" s="9"/>
      <c r="I46" s="9"/>
      <c r="J46" s="9">
        <v>23.227</v>
      </c>
      <c r="K46" s="9">
        <v>18.948</v>
      </c>
      <c r="L46" s="11"/>
      <c r="M46" s="104">
        <f t="shared" ref="M46:N46" si="102">AVERAGE(J46:J49)</f>
        <v>23.23875</v>
      </c>
      <c r="N46" s="104">
        <f t="shared" si="102"/>
        <v>18.911249999999999</v>
      </c>
      <c r="O46" s="104"/>
      <c r="P46" s="89">
        <f t="shared" ref="P46" si="103">GEOMEAN(M46,N46)</f>
        <v>20.963630671653704</v>
      </c>
      <c r="Q46" s="1" t="s">
        <v>421</v>
      </c>
      <c r="R46" s="1" t="s">
        <v>234</v>
      </c>
      <c r="S46" s="1" t="s">
        <v>106</v>
      </c>
      <c r="T46" s="1" t="s">
        <v>107</v>
      </c>
      <c r="U46" s="1" t="s">
        <v>108</v>
      </c>
      <c r="V46" s="1">
        <v>31.81</v>
      </c>
      <c r="W46" s="96">
        <f t="shared" ref="W46" si="104">_xlfn.STDEV.S(V46:V49)</f>
        <v>7.8441060676153126E-2</v>
      </c>
      <c r="X46" s="128">
        <f t="shared" ref="X46" si="105">AVERAGE(V46:V49)</f>
        <v>31.6965</v>
      </c>
      <c r="Y46" s="96">
        <f t="shared" ref="Y46" si="106">X46-P46</f>
        <v>10.732869328346297</v>
      </c>
      <c r="Z46" s="96" t="e">
        <f t="shared" ref="Z46" si="107">Y46-$AE$4</f>
        <v>#DIV/0!</v>
      </c>
      <c r="AA46" s="84" t="e">
        <f t="shared" ref="AA46" si="108">2^-Z46</f>
        <v>#DIV/0!</v>
      </c>
      <c r="AB46" s="132"/>
      <c r="AC46" s="1" t="e">
        <f t="shared" ref="AC46" si="109">LOG(AA46,2)</f>
        <v>#DIV/0!</v>
      </c>
      <c r="AD46" s="1"/>
      <c r="AE46" s="1"/>
    </row>
    <row r="47" spans="1:31" x14ac:dyDescent="0.25">
      <c r="A47" s="101"/>
      <c r="B47" s="1">
        <v>371</v>
      </c>
      <c r="C47" s="1" t="s">
        <v>408</v>
      </c>
      <c r="D47" s="1" t="s">
        <v>103</v>
      </c>
      <c r="E47" s="1" t="s">
        <v>421</v>
      </c>
      <c r="F47" s="1" t="s">
        <v>332</v>
      </c>
      <c r="G47" s="1" t="s">
        <v>106</v>
      </c>
      <c r="H47" s="1"/>
      <c r="I47" s="1"/>
      <c r="J47" s="1">
        <v>23.309000000000001</v>
      </c>
      <c r="K47" s="1">
        <v>18.928999999999998</v>
      </c>
      <c r="L47" s="14"/>
      <c r="M47" s="105"/>
      <c r="N47" s="105"/>
      <c r="O47" s="105"/>
      <c r="P47" s="90"/>
      <c r="Q47" s="1" t="s">
        <v>421</v>
      </c>
      <c r="R47" s="1" t="s">
        <v>234</v>
      </c>
      <c r="S47" s="1" t="s">
        <v>106</v>
      </c>
      <c r="T47" s="1" t="s">
        <v>107</v>
      </c>
      <c r="U47" s="1" t="s">
        <v>108</v>
      </c>
      <c r="V47" s="1">
        <v>31.654</v>
      </c>
      <c r="W47" s="97"/>
      <c r="X47" s="129"/>
      <c r="Y47" s="97"/>
      <c r="Z47" s="97"/>
      <c r="AA47" s="85"/>
      <c r="AB47" s="133"/>
      <c r="AC47" s="1"/>
      <c r="AD47" s="1"/>
      <c r="AE47" s="1"/>
    </row>
    <row r="48" spans="1:31" x14ac:dyDescent="0.25">
      <c r="A48" s="101"/>
      <c r="B48" s="1">
        <v>348</v>
      </c>
      <c r="C48" s="1" t="s">
        <v>397</v>
      </c>
      <c r="D48" s="1" t="s">
        <v>103</v>
      </c>
      <c r="E48" s="1" t="s">
        <v>421</v>
      </c>
      <c r="F48" s="1" t="s">
        <v>332</v>
      </c>
      <c r="G48" s="1" t="s">
        <v>106</v>
      </c>
      <c r="H48" s="1"/>
      <c r="I48" s="1"/>
      <c r="J48" s="1">
        <v>23.308</v>
      </c>
      <c r="K48" s="1">
        <v>18.931000000000001</v>
      </c>
      <c r="L48" s="14"/>
      <c r="M48" s="105"/>
      <c r="N48" s="105"/>
      <c r="O48" s="105"/>
      <c r="P48" s="90"/>
      <c r="Q48" s="1" t="s">
        <v>421</v>
      </c>
      <c r="R48" s="1" t="s">
        <v>234</v>
      </c>
      <c r="S48" s="1" t="s">
        <v>106</v>
      </c>
      <c r="T48" s="1" t="s">
        <v>107</v>
      </c>
      <c r="U48" s="1" t="s">
        <v>108</v>
      </c>
      <c r="V48" s="1">
        <v>31.635999999999999</v>
      </c>
      <c r="W48" s="97"/>
      <c r="X48" s="129"/>
      <c r="Y48" s="97"/>
      <c r="Z48" s="97"/>
      <c r="AA48" s="85"/>
      <c r="AB48" s="133"/>
      <c r="AC48" s="1"/>
      <c r="AD48" s="1"/>
      <c r="AE48" s="1"/>
    </row>
    <row r="49" spans="1:31" ht="15.75" thickBot="1" x14ac:dyDescent="0.3">
      <c r="A49" s="107"/>
      <c r="B49" s="83">
        <v>372</v>
      </c>
      <c r="C49" s="83" t="s">
        <v>409</v>
      </c>
      <c r="D49" s="83" t="s">
        <v>103</v>
      </c>
      <c r="E49" s="83" t="s">
        <v>421</v>
      </c>
      <c r="F49" s="83" t="s">
        <v>332</v>
      </c>
      <c r="G49" s="83" t="s">
        <v>106</v>
      </c>
      <c r="H49" s="83">
        <f t="shared" ref="H49" si="110">_xlfn.STDEV.S(K46:K49)</f>
        <v>5.0228643886398958E-2</v>
      </c>
      <c r="I49" s="83">
        <f t="shared" ref="I49" si="111">_xlfn.STDEV.S(J46:J49)</f>
        <v>9.3432239261045852E-2</v>
      </c>
      <c r="J49" s="83">
        <v>23.111000000000001</v>
      </c>
      <c r="K49" s="83">
        <v>18.837</v>
      </c>
      <c r="L49" s="17"/>
      <c r="M49" s="108"/>
      <c r="N49" s="108"/>
      <c r="O49" s="108"/>
      <c r="P49" s="109"/>
      <c r="Q49" s="1" t="s">
        <v>421</v>
      </c>
      <c r="R49" s="1" t="s">
        <v>234</v>
      </c>
      <c r="S49" s="1" t="s">
        <v>106</v>
      </c>
      <c r="T49" s="1" t="s">
        <v>107</v>
      </c>
      <c r="U49" s="1" t="s">
        <v>108</v>
      </c>
      <c r="V49" s="1">
        <v>31.686</v>
      </c>
      <c r="W49" s="98"/>
      <c r="X49" s="130"/>
      <c r="Y49" s="98"/>
      <c r="Z49" s="98"/>
      <c r="AA49" s="86"/>
      <c r="AB49" s="134"/>
      <c r="AC49" s="1"/>
      <c r="AD49" s="1"/>
      <c r="AE49" s="1"/>
    </row>
    <row r="50" spans="1:31" x14ac:dyDescent="0.25">
      <c r="A50" s="100"/>
      <c r="B50" s="9">
        <v>337</v>
      </c>
      <c r="C50" s="9" t="s">
        <v>386</v>
      </c>
      <c r="D50" s="9" t="b">
        <v>0</v>
      </c>
      <c r="E50" s="9" t="s">
        <v>422</v>
      </c>
      <c r="F50" s="9" t="s">
        <v>332</v>
      </c>
      <c r="G50" s="9" t="s">
        <v>106</v>
      </c>
      <c r="H50" s="9"/>
      <c r="I50" s="9"/>
      <c r="J50" s="9">
        <v>22.439899444580078</v>
      </c>
      <c r="K50" s="9">
        <v>17.946588516235352</v>
      </c>
      <c r="L50" s="11"/>
      <c r="M50" s="104">
        <f t="shared" ref="M50:N50" si="112">AVERAGE(J50:J53)</f>
        <v>22.516579151153564</v>
      </c>
      <c r="N50" s="104">
        <f t="shared" si="112"/>
        <v>17.914458751678467</v>
      </c>
      <c r="O50" s="104"/>
      <c r="P50" s="89">
        <f t="shared" ref="P50" si="113">GEOMEAN(M50,N50)</f>
        <v>20.084131259087208</v>
      </c>
      <c r="Q50" t="s">
        <v>422</v>
      </c>
      <c r="R50" t="s">
        <v>234</v>
      </c>
      <c r="S50" t="s">
        <v>106</v>
      </c>
      <c r="T50" t="s">
        <v>107</v>
      </c>
      <c r="U50" t="s">
        <v>108</v>
      </c>
      <c r="V50" t="s">
        <v>235</v>
      </c>
      <c r="W50" s="96" t="e">
        <f t="shared" ref="W50" si="114">_xlfn.STDEV.S(V50:V53)</f>
        <v>#DIV/0!</v>
      </c>
      <c r="X50" s="128" t="e">
        <f t="shared" ref="X50" si="115">AVERAGE(V50:V53)</f>
        <v>#DIV/0!</v>
      </c>
      <c r="Y50" s="96" t="e">
        <f t="shared" ref="Y50" si="116">X50-P50</f>
        <v>#DIV/0!</v>
      </c>
      <c r="Z50" s="96" t="e">
        <f>Y50-$AE$6</f>
        <v>#DIV/0!</v>
      </c>
      <c r="AA50" s="84" t="e">
        <f t="shared" ref="AA50" si="117">2^-Z50</f>
        <v>#DIV/0!</v>
      </c>
      <c r="AB50" s="131"/>
      <c r="AC50" s="1" t="e">
        <f t="shared" ref="AC50" si="118">LOG(AA50,2)</f>
        <v>#DIV/0!</v>
      </c>
      <c r="AD50" s="1"/>
      <c r="AE50" s="1"/>
    </row>
    <row r="51" spans="1:31" x14ac:dyDescent="0.25">
      <c r="A51" s="101"/>
      <c r="B51" s="1">
        <v>361</v>
      </c>
      <c r="C51" s="1" t="s">
        <v>398</v>
      </c>
      <c r="D51" s="1" t="b">
        <v>0</v>
      </c>
      <c r="E51" s="1" t="s">
        <v>422</v>
      </c>
      <c r="F51" s="1" t="s">
        <v>332</v>
      </c>
      <c r="G51" s="1" t="s">
        <v>106</v>
      </c>
      <c r="H51" s="1"/>
      <c r="I51" s="1"/>
      <c r="J51" s="1">
        <v>22.503049850463867</v>
      </c>
      <c r="K51" s="1">
        <v>17.91816520690918</v>
      </c>
      <c r="L51" s="14"/>
      <c r="M51" s="105"/>
      <c r="N51" s="105"/>
      <c r="O51" s="105"/>
      <c r="P51" s="90"/>
      <c r="Q51" t="s">
        <v>422</v>
      </c>
      <c r="R51" t="s">
        <v>234</v>
      </c>
      <c r="S51" t="s">
        <v>106</v>
      </c>
      <c r="T51" t="s">
        <v>107</v>
      </c>
      <c r="U51" t="s">
        <v>108</v>
      </c>
      <c r="V51" t="s">
        <v>235</v>
      </c>
      <c r="W51" s="97"/>
      <c r="X51" s="129"/>
      <c r="Y51" s="97"/>
      <c r="Z51" s="97"/>
      <c r="AA51" s="85"/>
      <c r="AB51" s="127"/>
      <c r="AC51" s="1"/>
      <c r="AD51" s="1"/>
      <c r="AE51" s="1"/>
    </row>
    <row r="52" spans="1:31" x14ac:dyDescent="0.25">
      <c r="A52" s="101"/>
      <c r="B52" s="1">
        <v>338</v>
      </c>
      <c r="C52" s="1" t="s">
        <v>387</v>
      </c>
      <c r="D52" s="1" t="b">
        <v>0</v>
      </c>
      <c r="E52" s="1" t="s">
        <v>422</v>
      </c>
      <c r="F52" s="1" t="s">
        <v>332</v>
      </c>
      <c r="G52" s="1" t="s">
        <v>106</v>
      </c>
      <c r="H52" s="1"/>
      <c r="I52" s="1"/>
      <c r="J52" s="1">
        <v>22.497282028198242</v>
      </c>
      <c r="K52" s="1">
        <v>17.994478225708008</v>
      </c>
      <c r="L52" s="14"/>
      <c r="M52" s="105"/>
      <c r="N52" s="105"/>
      <c r="O52" s="105"/>
      <c r="P52" s="90"/>
      <c r="Q52" t="s">
        <v>422</v>
      </c>
      <c r="R52" t="s">
        <v>234</v>
      </c>
      <c r="S52" t="s">
        <v>106</v>
      </c>
      <c r="T52" t="s">
        <v>107</v>
      </c>
      <c r="U52" t="s">
        <v>108</v>
      </c>
      <c r="V52" t="s">
        <v>235</v>
      </c>
      <c r="W52" s="97"/>
      <c r="X52" s="129"/>
      <c r="Y52" s="97"/>
      <c r="Z52" s="97"/>
      <c r="AA52" s="85"/>
      <c r="AB52" s="127"/>
      <c r="AC52" s="1"/>
      <c r="AD52" s="1"/>
      <c r="AE52" s="1"/>
    </row>
    <row r="53" spans="1:31" ht="15.75" thickBot="1" x14ac:dyDescent="0.3">
      <c r="A53" s="107"/>
      <c r="B53" s="83">
        <v>362</v>
      </c>
      <c r="C53" s="83" t="s">
        <v>399</v>
      </c>
      <c r="D53" s="83" t="b">
        <v>0</v>
      </c>
      <c r="E53" s="83" t="s">
        <v>422</v>
      </c>
      <c r="F53" s="83" t="s">
        <v>332</v>
      </c>
      <c r="G53" s="83" t="s">
        <v>106</v>
      </c>
      <c r="H53" s="83">
        <f t="shared" ref="H53" si="119">_xlfn.STDEV.S(K50:K53)</f>
        <v>8.341006652811378E-2</v>
      </c>
      <c r="I53" s="83">
        <f t="shared" ref="I53" si="120">_xlfn.STDEV.S(J50:J53)</f>
        <v>7.8372594885230545E-2</v>
      </c>
      <c r="J53" s="83">
        <v>22.62608528137207</v>
      </c>
      <c r="K53" s="83">
        <v>17.798603057861328</v>
      </c>
      <c r="L53" s="17"/>
      <c r="M53" s="108"/>
      <c r="N53" s="108"/>
      <c r="O53" s="108"/>
      <c r="P53" s="109"/>
      <c r="Q53" t="s">
        <v>422</v>
      </c>
      <c r="R53" t="s">
        <v>234</v>
      </c>
      <c r="S53" t="s">
        <v>106</v>
      </c>
      <c r="T53" t="s">
        <v>107</v>
      </c>
      <c r="U53" t="s">
        <v>108</v>
      </c>
      <c r="V53" t="s">
        <v>235</v>
      </c>
      <c r="W53" s="98"/>
      <c r="X53" s="130"/>
      <c r="Y53" s="98"/>
      <c r="Z53" s="98"/>
      <c r="AA53" s="86"/>
      <c r="AB53" s="127"/>
      <c r="AC53" s="1"/>
      <c r="AD53" s="1"/>
      <c r="AE53" s="1"/>
    </row>
    <row r="54" spans="1:31" x14ac:dyDescent="0.25">
      <c r="A54" s="100"/>
      <c r="B54" s="9">
        <v>339</v>
      </c>
      <c r="C54" s="9" t="s">
        <v>388</v>
      </c>
      <c r="D54" s="9" t="b">
        <v>0</v>
      </c>
      <c r="E54" s="9" t="s">
        <v>424</v>
      </c>
      <c r="F54" s="9" t="s">
        <v>332</v>
      </c>
      <c r="G54" s="9" t="s">
        <v>106</v>
      </c>
      <c r="H54" s="9"/>
      <c r="I54" s="9"/>
      <c r="J54" s="9">
        <v>22.781806945800781</v>
      </c>
      <c r="K54" s="9">
        <v>18.156644821166992</v>
      </c>
      <c r="L54" s="11"/>
      <c r="M54" s="104">
        <f t="shared" ref="M54:N54" si="121">AVERAGE(J54:J57)</f>
        <v>22.707976341247559</v>
      </c>
      <c r="N54" s="104">
        <f t="shared" si="121"/>
        <v>18.165340423583984</v>
      </c>
      <c r="O54" s="104"/>
      <c r="P54" s="89">
        <f t="shared" ref="P54" si="122">GEOMEAN(M54,N54)</f>
        <v>20.310049743155556</v>
      </c>
      <c r="Q54" t="s">
        <v>424</v>
      </c>
      <c r="R54" t="s">
        <v>234</v>
      </c>
      <c r="S54" t="s">
        <v>106</v>
      </c>
      <c r="T54" t="s">
        <v>107</v>
      </c>
      <c r="U54" t="s">
        <v>108</v>
      </c>
      <c r="V54" t="s">
        <v>235</v>
      </c>
      <c r="W54" s="96" t="e">
        <f t="shared" ref="W54" si="123">_xlfn.STDEV.S(V54:V57)</f>
        <v>#DIV/0!</v>
      </c>
      <c r="X54" s="128" t="e">
        <f t="shared" ref="X54" si="124">AVERAGE(V54:V57)</f>
        <v>#DIV/0!</v>
      </c>
      <c r="Y54" s="96" t="e">
        <f t="shared" ref="Y54" si="125">X54-P54</f>
        <v>#DIV/0!</v>
      </c>
      <c r="Z54" s="96" t="e">
        <f t="shared" ref="Z54" si="126">Y54-$AE$6</f>
        <v>#DIV/0!</v>
      </c>
      <c r="AA54" s="84" t="e">
        <f t="shared" ref="AA54" si="127">2^-Z54</f>
        <v>#DIV/0!</v>
      </c>
      <c r="AB54" s="127"/>
      <c r="AC54" s="1" t="e">
        <f t="shared" ref="AC54" si="128">LOG(AA54,2)</f>
        <v>#DIV/0!</v>
      </c>
      <c r="AD54" s="1"/>
      <c r="AE54" s="1"/>
    </row>
    <row r="55" spans="1:31" x14ac:dyDescent="0.25">
      <c r="A55" s="101"/>
      <c r="B55" s="1">
        <v>363</v>
      </c>
      <c r="C55" s="1" t="s">
        <v>400</v>
      </c>
      <c r="D55" s="1" t="b">
        <v>0</v>
      </c>
      <c r="E55" s="1" t="s">
        <v>424</v>
      </c>
      <c r="F55" s="1" t="s">
        <v>332</v>
      </c>
      <c r="G55" s="1" t="s">
        <v>106</v>
      </c>
      <c r="H55" s="1"/>
      <c r="I55" s="1"/>
      <c r="J55" s="1">
        <v>22.68287467956543</v>
      </c>
      <c r="K55" s="1">
        <v>19.030796051025391</v>
      </c>
      <c r="L55" s="14"/>
      <c r="M55" s="105"/>
      <c r="N55" s="105"/>
      <c r="O55" s="105"/>
      <c r="P55" s="90"/>
      <c r="Q55" t="s">
        <v>424</v>
      </c>
      <c r="R55" t="s">
        <v>234</v>
      </c>
      <c r="S55" t="s">
        <v>106</v>
      </c>
      <c r="T55" t="s">
        <v>107</v>
      </c>
      <c r="U55" t="s">
        <v>108</v>
      </c>
      <c r="V55" t="s">
        <v>235</v>
      </c>
      <c r="W55" s="97"/>
      <c r="X55" s="129"/>
      <c r="Y55" s="97"/>
      <c r="Z55" s="97"/>
      <c r="AA55" s="85"/>
      <c r="AB55" s="127"/>
      <c r="AC55" s="1"/>
      <c r="AD55" s="1"/>
      <c r="AE55" s="1"/>
    </row>
    <row r="56" spans="1:31" x14ac:dyDescent="0.25">
      <c r="A56" s="101"/>
      <c r="B56" s="1">
        <v>340</v>
      </c>
      <c r="C56" s="1" t="s">
        <v>389</v>
      </c>
      <c r="D56" s="1" t="b">
        <v>0</v>
      </c>
      <c r="E56" s="1" t="s">
        <v>424</v>
      </c>
      <c r="F56" s="1" t="s">
        <v>332</v>
      </c>
      <c r="G56" s="1" t="s">
        <v>106</v>
      </c>
      <c r="H56" s="1"/>
      <c r="I56" s="1"/>
      <c r="J56" s="1">
        <v>22.742557525634766</v>
      </c>
      <c r="K56" s="1">
        <v>18.100671768188477</v>
      </c>
      <c r="L56" s="14"/>
      <c r="M56" s="105"/>
      <c r="N56" s="105"/>
      <c r="O56" s="105"/>
      <c r="P56" s="90"/>
      <c r="Q56" t="s">
        <v>424</v>
      </c>
      <c r="R56" t="s">
        <v>234</v>
      </c>
      <c r="S56" t="s">
        <v>106</v>
      </c>
      <c r="T56" t="s">
        <v>107</v>
      </c>
      <c r="U56" t="s">
        <v>108</v>
      </c>
      <c r="V56" t="s">
        <v>235</v>
      </c>
      <c r="W56" s="97"/>
      <c r="X56" s="129"/>
      <c r="Y56" s="97"/>
      <c r="Z56" s="97"/>
      <c r="AA56" s="85"/>
      <c r="AB56" s="127"/>
      <c r="AC56" s="1"/>
      <c r="AD56" s="1"/>
      <c r="AE56" s="1"/>
    </row>
    <row r="57" spans="1:31" ht="15.75" thickBot="1" x14ac:dyDescent="0.3">
      <c r="A57" s="107"/>
      <c r="B57" s="83">
        <v>364</v>
      </c>
      <c r="C57" s="83" t="s">
        <v>401</v>
      </c>
      <c r="D57" s="83" t="b">
        <v>0</v>
      </c>
      <c r="E57" s="83" t="s">
        <v>424</v>
      </c>
      <c r="F57" s="83" t="s">
        <v>332</v>
      </c>
      <c r="G57" s="83" t="s">
        <v>106</v>
      </c>
      <c r="H57" s="83">
        <f t="shared" ref="H57" si="129">_xlfn.STDEV.S(K54:K57)</f>
        <v>0.67840003670465998</v>
      </c>
      <c r="I57" s="83">
        <f t="shared" ref="I57" si="130">_xlfn.STDEV.S(J54:J57)</f>
        <v>6.8841574660749597E-2</v>
      </c>
      <c r="J57" s="83">
        <v>22.624666213989258</v>
      </c>
      <c r="K57" s="83">
        <v>17.373249053955078</v>
      </c>
      <c r="L57" s="17"/>
      <c r="M57" s="108"/>
      <c r="N57" s="108"/>
      <c r="O57" s="108"/>
      <c r="P57" s="109"/>
      <c r="Q57" t="s">
        <v>424</v>
      </c>
      <c r="R57" t="s">
        <v>234</v>
      </c>
      <c r="S57" t="s">
        <v>106</v>
      </c>
      <c r="T57" t="s">
        <v>107</v>
      </c>
      <c r="U57" t="s">
        <v>108</v>
      </c>
      <c r="V57" t="s">
        <v>235</v>
      </c>
      <c r="W57" s="98"/>
      <c r="X57" s="130"/>
      <c r="Y57" s="98"/>
      <c r="Z57" s="98"/>
      <c r="AA57" s="86"/>
      <c r="AB57" s="127"/>
      <c r="AC57" s="1"/>
      <c r="AD57" s="1"/>
      <c r="AE57" s="1"/>
    </row>
    <row r="58" spans="1:31" x14ac:dyDescent="0.25">
      <c r="A58" s="100"/>
      <c r="B58" s="9">
        <v>341</v>
      </c>
      <c r="C58" s="9" t="s">
        <v>390</v>
      </c>
      <c r="D58" s="9" t="b">
        <v>0</v>
      </c>
      <c r="E58" s="9" t="s">
        <v>423</v>
      </c>
      <c r="F58" s="9" t="s">
        <v>332</v>
      </c>
      <c r="G58" s="9" t="s">
        <v>106</v>
      </c>
      <c r="H58" s="9"/>
      <c r="I58" s="9"/>
      <c r="J58" s="9">
        <v>22.543874740600586</v>
      </c>
      <c r="K58" s="9">
        <v>17.632972717285156</v>
      </c>
      <c r="L58" s="11"/>
      <c r="M58" s="104">
        <f t="shared" ref="M58:N58" si="131">AVERAGE(J58:J61)</f>
        <v>22.527778625488281</v>
      </c>
      <c r="N58" s="104">
        <f t="shared" si="131"/>
        <v>17.682387351989746</v>
      </c>
      <c r="O58" s="104"/>
      <c r="P58" s="89">
        <f t="shared" ref="P58" si="132">GEOMEAN(M58,N58)</f>
        <v>19.958579805080294</v>
      </c>
      <c r="Q58" t="s">
        <v>423</v>
      </c>
      <c r="R58" t="s">
        <v>234</v>
      </c>
      <c r="S58" t="s">
        <v>106</v>
      </c>
      <c r="T58" t="s">
        <v>107</v>
      </c>
      <c r="U58" t="s">
        <v>108</v>
      </c>
      <c r="V58" s="3">
        <v>34.592697143554688</v>
      </c>
      <c r="W58" s="96">
        <f t="shared" ref="W58" si="133">_xlfn.STDEV.S(V58:V61)</f>
        <v>1.5959169150785444</v>
      </c>
      <c r="X58" s="128">
        <f t="shared" ref="X58" si="134">AVERAGE(V58:V61)</f>
        <v>34.392525672912598</v>
      </c>
      <c r="Y58" s="96">
        <f t="shared" ref="Y58" si="135">X58-P58</f>
        <v>14.433945867832303</v>
      </c>
      <c r="Z58" s="96" t="e">
        <f t="shared" ref="Z58" si="136">Y58-$AE$6</f>
        <v>#DIV/0!</v>
      </c>
      <c r="AA58" s="84" t="e">
        <f t="shared" ref="AA58" si="137">2^-Z58</f>
        <v>#DIV/0!</v>
      </c>
      <c r="AB58" s="127"/>
      <c r="AC58" s="1" t="e">
        <f t="shared" ref="AC58" si="138">LOG(AA58,2)</f>
        <v>#DIV/0!</v>
      </c>
      <c r="AD58" s="1"/>
      <c r="AE58" s="1"/>
    </row>
    <row r="59" spans="1:31" x14ac:dyDescent="0.25">
      <c r="A59" s="101"/>
      <c r="B59" s="1">
        <v>365</v>
      </c>
      <c r="C59" s="1" t="s">
        <v>402</v>
      </c>
      <c r="D59" s="1" t="b">
        <v>0</v>
      </c>
      <c r="E59" s="1" t="s">
        <v>423</v>
      </c>
      <c r="F59" s="1" t="s">
        <v>332</v>
      </c>
      <c r="G59" s="1" t="s">
        <v>106</v>
      </c>
      <c r="H59" s="1"/>
      <c r="I59" s="1"/>
      <c r="J59" s="1">
        <v>22.497089385986328</v>
      </c>
      <c r="K59" s="1">
        <v>17.797683715820313</v>
      </c>
      <c r="L59" s="14"/>
      <c r="M59" s="105"/>
      <c r="N59" s="105"/>
      <c r="O59" s="105"/>
      <c r="P59" s="90"/>
      <c r="Q59" t="s">
        <v>423</v>
      </c>
      <c r="R59" t="s">
        <v>234</v>
      </c>
      <c r="S59" t="s">
        <v>106</v>
      </c>
      <c r="T59" t="s">
        <v>107</v>
      </c>
      <c r="U59" t="s">
        <v>108</v>
      </c>
      <c r="V59" s="3">
        <v>33.566997528076172</v>
      </c>
      <c r="W59" s="97"/>
      <c r="X59" s="129"/>
      <c r="Y59" s="97"/>
      <c r="Z59" s="97"/>
      <c r="AA59" s="85"/>
      <c r="AB59" s="127"/>
      <c r="AC59" s="1"/>
      <c r="AD59" s="1"/>
      <c r="AE59" s="1"/>
    </row>
    <row r="60" spans="1:31" x14ac:dyDescent="0.25">
      <c r="A60" s="101"/>
      <c r="B60" s="1">
        <v>342</v>
      </c>
      <c r="C60" s="1" t="s">
        <v>391</v>
      </c>
      <c r="D60" s="1" t="b">
        <v>0</v>
      </c>
      <c r="E60" s="1" t="s">
        <v>423</v>
      </c>
      <c r="F60" s="1" t="s">
        <v>332</v>
      </c>
      <c r="G60" s="1" t="s">
        <v>106</v>
      </c>
      <c r="H60" s="1"/>
      <c r="I60" s="1"/>
      <c r="J60" s="1">
        <v>22.538244247436523</v>
      </c>
      <c r="K60" s="1">
        <v>17.612838745117188</v>
      </c>
      <c r="L60" s="14"/>
      <c r="M60" s="105"/>
      <c r="N60" s="105"/>
      <c r="O60" s="105"/>
      <c r="P60" s="90"/>
      <c r="Q60" t="s">
        <v>423</v>
      </c>
      <c r="R60" t="s">
        <v>234</v>
      </c>
      <c r="S60" t="s">
        <v>106</v>
      </c>
      <c r="T60" t="s">
        <v>107</v>
      </c>
      <c r="U60" t="s">
        <v>108</v>
      </c>
      <c r="V60" s="3">
        <v>36.538745880126953</v>
      </c>
      <c r="W60" s="97"/>
      <c r="X60" s="129"/>
      <c r="Y60" s="97"/>
      <c r="Z60" s="97"/>
      <c r="AA60" s="85"/>
      <c r="AB60" s="127"/>
      <c r="AC60" s="1"/>
      <c r="AD60" s="1"/>
      <c r="AE60" s="1"/>
    </row>
    <row r="61" spans="1:31" ht="15.75" thickBot="1" x14ac:dyDescent="0.3">
      <c r="A61" s="107"/>
      <c r="B61" s="83">
        <v>366</v>
      </c>
      <c r="C61" s="83" t="s">
        <v>403</v>
      </c>
      <c r="D61" s="83" t="b">
        <v>0</v>
      </c>
      <c r="E61" s="83" t="s">
        <v>423</v>
      </c>
      <c r="F61" s="83" t="s">
        <v>332</v>
      </c>
      <c r="G61" s="83" t="s">
        <v>106</v>
      </c>
      <c r="H61" s="83">
        <f t="shared" ref="H61" si="139">_xlfn.STDEV.S(K58:K61)</f>
        <v>8.2836208560146937E-2</v>
      </c>
      <c r="I61" s="83">
        <f t="shared" ref="I61" si="140">_xlfn.STDEV.S(J58:J61)</f>
        <v>2.1035524413747859E-2</v>
      </c>
      <c r="J61" s="83">
        <v>22.531906127929688</v>
      </c>
      <c r="K61" s="83">
        <v>17.686054229736328</v>
      </c>
      <c r="L61" s="17"/>
      <c r="M61" s="108"/>
      <c r="N61" s="108"/>
      <c r="O61" s="108"/>
      <c r="P61" s="109"/>
      <c r="Q61" t="s">
        <v>423</v>
      </c>
      <c r="R61" t="s">
        <v>234</v>
      </c>
      <c r="S61" t="s">
        <v>106</v>
      </c>
      <c r="T61" t="s">
        <v>107</v>
      </c>
      <c r="U61" t="s">
        <v>108</v>
      </c>
      <c r="V61" s="3">
        <v>32.871662139892578</v>
      </c>
      <c r="W61" s="98"/>
      <c r="X61" s="130"/>
      <c r="Y61" s="98"/>
      <c r="Z61" s="98"/>
      <c r="AA61" s="86"/>
      <c r="AB61" s="127"/>
      <c r="AC61" s="1"/>
      <c r="AD61" s="1"/>
      <c r="AE61" s="1"/>
    </row>
    <row r="62" spans="1:31" x14ac:dyDescent="0.25">
      <c r="A62" s="100"/>
      <c r="B62" s="9">
        <v>343</v>
      </c>
      <c r="C62" s="9" t="s">
        <v>392</v>
      </c>
      <c r="D62" s="9" t="b">
        <v>0</v>
      </c>
      <c r="E62" s="9" t="s">
        <v>425</v>
      </c>
      <c r="F62" s="9" t="s">
        <v>332</v>
      </c>
      <c r="G62" s="9" t="s">
        <v>106</v>
      </c>
      <c r="H62" s="9"/>
      <c r="I62" s="9"/>
      <c r="J62" s="9">
        <v>22.504655838012695</v>
      </c>
      <c r="K62" s="9">
        <v>17.712419509887695</v>
      </c>
      <c r="L62" s="11"/>
      <c r="M62" s="104">
        <f t="shared" ref="M62:N62" si="141">AVERAGE(J62:J65)</f>
        <v>22.514381408691406</v>
      </c>
      <c r="N62" s="104">
        <f t="shared" si="141"/>
        <v>17.726653575897217</v>
      </c>
      <c r="O62" s="104"/>
      <c r="P62" s="89">
        <f t="shared" ref="P62" si="142">GEOMEAN(M62,N62)</f>
        <v>19.977603452553897</v>
      </c>
      <c r="Q62" t="s">
        <v>425</v>
      </c>
      <c r="R62" t="s">
        <v>234</v>
      </c>
      <c r="S62" t="s">
        <v>106</v>
      </c>
      <c r="T62" t="s">
        <v>107</v>
      </c>
      <c r="U62" t="s">
        <v>108</v>
      </c>
      <c r="V62" s="3">
        <v>33.271373748779297</v>
      </c>
      <c r="W62" s="96">
        <f t="shared" ref="W62" si="143">_xlfn.STDEV.S(V62:V65)</f>
        <v>0.44717052238606225</v>
      </c>
      <c r="X62" s="128">
        <f t="shared" ref="X62" si="144">AVERAGE(V62:V65)</f>
        <v>33.487307230631508</v>
      </c>
      <c r="Y62" s="96">
        <f t="shared" ref="Y62" si="145">X62-P62</f>
        <v>13.509703778077611</v>
      </c>
      <c r="Z62" s="96" t="e">
        <f t="shared" ref="Z62" si="146">Y62-$AE$6</f>
        <v>#DIV/0!</v>
      </c>
      <c r="AA62" s="84" t="e">
        <f t="shared" ref="AA62" si="147">2^-Z62</f>
        <v>#DIV/0!</v>
      </c>
      <c r="AB62" s="127"/>
      <c r="AC62" s="1" t="e">
        <f t="shared" ref="AC62" si="148">LOG(AA62,2)</f>
        <v>#DIV/0!</v>
      </c>
      <c r="AD62" s="1"/>
      <c r="AE62" s="1"/>
    </row>
    <row r="63" spans="1:31" x14ac:dyDescent="0.25">
      <c r="A63" s="101"/>
      <c r="B63" s="1">
        <v>367</v>
      </c>
      <c r="C63" s="1" t="s">
        <v>404</v>
      </c>
      <c r="D63" s="1" t="b">
        <v>0</v>
      </c>
      <c r="E63" s="1" t="s">
        <v>425</v>
      </c>
      <c r="F63" s="1" t="s">
        <v>332</v>
      </c>
      <c r="G63" s="1" t="s">
        <v>106</v>
      </c>
      <c r="H63" s="1"/>
      <c r="I63" s="1"/>
      <c r="J63" s="1">
        <v>22.53801155090332</v>
      </c>
      <c r="K63" s="1">
        <v>17.806955337524414</v>
      </c>
      <c r="L63" s="14"/>
      <c r="M63" s="105"/>
      <c r="N63" s="105"/>
      <c r="O63" s="105"/>
      <c r="P63" s="90"/>
      <c r="Q63" t="s">
        <v>425</v>
      </c>
      <c r="R63" t="s">
        <v>234</v>
      </c>
      <c r="S63" t="s">
        <v>106</v>
      </c>
      <c r="T63" t="s">
        <v>107</v>
      </c>
      <c r="U63" t="s">
        <v>108</v>
      </c>
      <c r="V63" s="3">
        <v>33.189083099365234</v>
      </c>
      <c r="W63" s="97"/>
      <c r="X63" s="129"/>
      <c r="Y63" s="97"/>
      <c r="Z63" s="97"/>
      <c r="AA63" s="85"/>
      <c r="AB63" s="127"/>
      <c r="AC63" s="1"/>
      <c r="AD63" s="1"/>
      <c r="AE63" s="1"/>
    </row>
    <row r="64" spans="1:31" x14ac:dyDescent="0.25">
      <c r="A64" s="101"/>
      <c r="B64" s="1">
        <v>344</v>
      </c>
      <c r="C64" s="1" t="s">
        <v>393</v>
      </c>
      <c r="D64" s="1" t="b">
        <v>0</v>
      </c>
      <c r="E64" s="1" t="s">
        <v>425</v>
      </c>
      <c r="F64" s="1" t="s">
        <v>332</v>
      </c>
      <c r="G64" s="1" t="s">
        <v>106</v>
      </c>
      <c r="H64" s="1"/>
      <c r="I64" s="1"/>
      <c r="J64" s="1">
        <v>22.499790191650391</v>
      </c>
      <c r="K64" s="1">
        <v>17.708463668823242</v>
      </c>
      <c r="L64" s="14"/>
      <c r="M64" s="105"/>
      <c r="N64" s="105"/>
      <c r="O64" s="105"/>
      <c r="P64" s="90"/>
      <c r="Q64" t="s">
        <v>425</v>
      </c>
      <c r="R64" t="s">
        <v>234</v>
      </c>
      <c r="S64" t="s">
        <v>106</v>
      </c>
      <c r="T64" t="s">
        <v>107</v>
      </c>
      <c r="U64" t="s">
        <v>108</v>
      </c>
      <c r="V64" s="3">
        <v>34.00146484375</v>
      </c>
      <c r="W64" s="97"/>
      <c r="X64" s="129"/>
      <c r="Y64" s="97"/>
      <c r="Z64" s="97"/>
      <c r="AA64" s="85"/>
      <c r="AB64" s="127"/>
      <c r="AC64" s="1"/>
      <c r="AD64" s="1"/>
      <c r="AE64" s="1"/>
    </row>
    <row r="65" spans="1:31" ht="15.75" thickBot="1" x14ac:dyDescent="0.3">
      <c r="A65" s="107"/>
      <c r="B65" s="83">
        <v>368</v>
      </c>
      <c r="C65" s="83" t="s">
        <v>405</v>
      </c>
      <c r="D65" s="83" t="b">
        <v>0</v>
      </c>
      <c r="E65" s="83" t="s">
        <v>425</v>
      </c>
      <c r="F65" s="83" t="s">
        <v>332</v>
      </c>
      <c r="G65" s="83" t="s">
        <v>106</v>
      </c>
      <c r="H65" s="83">
        <f t="shared" ref="H65" si="149">_xlfn.STDEV.S(K62:K65)</f>
        <v>5.5600170595631028E-2</v>
      </c>
      <c r="I65" s="83">
        <f t="shared" ref="I65" si="150">_xlfn.STDEV.S(J62:J65)</f>
        <v>1.6993581560629578E-2</v>
      </c>
      <c r="J65" s="83">
        <v>22.515068054199219</v>
      </c>
      <c r="K65" s="83">
        <v>17.678775787353516</v>
      </c>
      <c r="L65" s="17"/>
      <c r="M65" s="108"/>
      <c r="N65" s="108"/>
      <c r="O65" s="108"/>
      <c r="P65" s="109"/>
      <c r="Q65" t="s">
        <v>425</v>
      </c>
      <c r="R65" t="s">
        <v>234</v>
      </c>
      <c r="S65" t="s">
        <v>106</v>
      </c>
      <c r="T65" t="s">
        <v>107</v>
      </c>
      <c r="U65" t="s">
        <v>108</v>
      </c>
      <c r="V65" t="s">
        <v>235</v>
      </c>
      <c r="W65" s="98"/>
      <c r="X65" s="130"/>
      <c r="Y65" s="98"/>
      <c r="Z65" s="98"/>
      <c r="AA65" s="86"/>
      <c r="AB65" s="127"/>
      <c r="AC65" s="1"/>
      <c r="AD65" s="1"/>
      <c r="AE65" s="1"/>
    </row>
    <row r="66" spans="1:31" x14ac:dyDescent="0.25">
      <c r="A66" s="100"/>
      <c r="B66" s="9">
        <v>345</v>
      </c>
      <c r="C66" s="9" t="s">
        <v>394</v>
      </c>
      <c r="D66" s="9" t="b">
        <v>0</v>
      </c>
      <c r="E66" s="9" t="s">
        <v>426</v>
      </c>
      <c r="F66" s="9" t="s">
        <v>332</v>
      </c>
      <c r="G66" s="9" t="s">
        <v>106</v>
      </c>
      <c r="H66" s="9"/>
      <c r="I66" s="9"/>
      <c r="J66" s="9">
        <v>22.853849411010742</v>
      </c>
      <c r="K66" s="9">
        <v>18.554037094116211</v>
      </c>
      <c r="L66" s="11"/>
      <c r="M66" s="104">
        <f t="shared" ref="M66:N66" si="151">AVERAGE(J66:J69)</f>
        <v>22.862873554229736</v>
      </c>
      <c r="N66" s="104">
        <f t="shared" si="151"/>
        <v>18.527228832244873</v>
      </c>
      <c r="O66" s="104"/>
      <c r="P66" s="89">
        <f t="shared" ref="P66" si="152">GEOMEAN(M66,N66)</f>
        <v>20.581197489502255</v>
      </c>
      <c r="Q66" t="s">
        <v>426</v>
      </c>
      <c r="R66" t="s">
        <v>234</v>
      </c>
      <c r="S66" t="s">
        <v>106</v>
      </c>
      <c r="T66" t="s">
        <v>107</v>
      </c>
      <c r="U66" t="s">
        <v>108</v>
      </c>
      <c r="V66" s="3">
        <v>32.000923156738281</v>
      </c>
      <c r="W66" s="96">
        <f t="shared" ref="W66" si="153">_xlfn.STDEV.S(V66:V69)</f>
        <v>0.51855798418201338</v>
      </c>
      <c r="X66" s="128">
        <f t="shared" ref="X66" si="154">AVERAGE(V66:V69)</f>
        <v>32.136981964111328</v>
      </c>
      <c r="Y66" s="96">
        <f t="shared" ref="Y66" si="155">X66-P66</f>
        <v>11.555784474609073</v>
      </c>
      <c r="Z66" s="96" t="e">
        <f t="shared" ref="Z66" si="156">Y66-$AE$6</f>
        <v>#DIV/0!</v>
      </c>
      <c r="AA66" s="84" t="e">
        <f t="shared" ref="AA66" si="157">2^-Z66</f>
        <v>#DIV/0!</v>
      </c>
      <c r="AB66" s="119"/>
      <c r="AC66" s="1" t="e">
        <f t="shared" ref="AC66" si="158">LOG(AA66,2)</f>
        <v>#DIV/0!</v>
      </c>
      <c r="AD66" s="1"/>
      <c r="AE66" s="1"/>
    </row>
    <row r="67" spans="1:31" x14ac:dyDescent="0.25">
      <c r="A67" s="101"/>
      <c r="B67" s="1">
        <v>369</v>
      </c>
      <c r="C67" s="1" t="s">
        <v>406</v>
      </c>
      <c r="D67" s="1" t="b">
        <v>0</v>
      </c>
      <c r="E67" s="1" t="s">
        <v>426</v>
      </c>
      <c r="F67" s="1" t="s">
        <v>332</v>
      </c>
      <c r="G67" s="1" t="s">
        <v>106</v>
      </c>
      <c r="H67" s="1"/>
      <c r="I67" s="1"/>
      <c r="J67" s="1">
        <v>22.905683517456055</v>
      </c>
      <c r="K67" s="1">
        <v>18.587224960327148</v>
      </c>
      <c r="L67" s="14"/>
      <c r="M67" s="105"/>
      <c r="N67" s="105"/>
      <c r="O67" s="105"/>
      <c r="P67" s="90"/>
      <c r="Q67" t="s">
        <v>426</v>
      </c>
      <c r="R67" t="s">
        <v>234</v>
      </c>
      <c r="S67" t="s">
        <v>106</v>
      </c>
      <c r="T67" t="s">
        <v>107</v>
      </c>
      <c r="U67" t="s">
        <v>108</v>
      </c>
      <c r="V67" s="3">
        <v>32.680736541748047</v>
      </c>
      <c r="W67" s="97"/>
      <c r="X67" s="129"/>
      <c r="Y67" s="97"/>
      <c r="Z67" s="97"/>
      <c r="AA67" s="85"/>
      <c r="AB67" s="119"/>
      <c r="AC67" s="1"/>
      <c r="AD67" s="1"/>
      <c r="AE67" s="1"/>
    </row>
    <row r="68" spans="1:31" x14ac:dyDescent="0.25">
      <c r="A68" s="101"/>
      <c r="B68" s="1">
        <v>346</v>
      </c>
      <c r="C68" s="1" t="s">
        <v>395</v>
      </c>
      <c r="D68" s="1" t="b">
        <v>0</v>
      </c>
      <c r="E68" s="1" t="s">
        <v>426</v>
      </c>
      <c r="F68" s="1" t="s">
        <v>332</v>
      </c>
      <c r="G68" s="1" t="s">
        <v>106</v>
      </c>
      <c r="H68" s="1"/>
      <c r="I68" s="1"/>
      <c r="J68" s="1">
        <v>22.859567642211914</v>
      </c>
      <c r="K68" s="1">
        <v>18.580108642578125</v>
      </c>
      <c r="L68" s="14"/>
      <c r="M68" s="105"/>
      <c r="N68" s="105"/>
      <c r="O68" s="105"/>
      <c r="P68" s="90"/>
      <c r="Q68" t="s">
        <v>426</v>
      </c>
      <c r="R68" t="s">
        <v>234</v>
      </c>
      <c r="S68" t="s">
        <v>106</v>
      </c>
      <c r="T68" t="s">
        <v>107</v>
      </c>
      <c r="U68" t="s">
        <v>108</v>
      </c>
      <c r="V68" s="3">
        <v>32.385581970214844</v>
      </c>
      <c r="W68" s="97"/>
      <c r="X68" s="129"/>
      <c r="Y68" s="97"/>
      <c r="Z68" s="97"/>
      <c r="AA68" s="85"/>
      <c r="AB68" s="119"/>
      <c r="AC68" s="1"/>
      <c r="AD68" s="1"/>
      <c r="AE68" s="1"/>
    </row>
    <row r="69" spans="1:31" ht="15.75" thickBot="1" x14ac:dyDescent="0.3">
      <c r="A69" s="107"/>
      <c r="B69" s="83">
        <v>370</v>
      </c>
      <c r="C69" s="83" t="s">
        <v>407</v>
      </c>
      <c r="D69" s="83" t="b">
        <v>0</v>
      </c>
      <c r="E69" s="83" t="s">
        <v>426</v>
      </c>
      <c r="F69" s="83" t="s">
        <v>332</v>
      </c>
      <c r="G69" s="83" t="s">
        <v>106</v>
      </c>
      <c r="H69" s="83">
        <f t="shared" ref="H69" si="159">_xlfn.STDEV.S(K66:K69)</f>
        <v>9.4209285529769315E-2</v>
      </c>
      <c r="I69" s="83">
        <f t="shared" ref="I69" si="160">_xlfn.STDEV.S(J66:J69)</f>
        <v>3.0844134815735145E-2</v>
      </c>
      <c r="J69" s="83">
        <v>22.832393646240234</v>
      </c>
      <c r="K69" s="83">
        <v>18.387544631958008</v>
      </c>
      <c r="L69" s="17"/>
      <c r="M69" s="108"/>
      <c r="N69" s="108"/>
      <c r="O69" s="108"/>
      <c r="P69" s="109"/>
      <c r="Q69" t="s">
        <v>426</v>
      </c>
      <c r="R69" t="s">
        <v>234</v>
      </c>
      <c r="S69" t="s">
        <v>106</v>
      </c>
      <c r="T69" t="s">
        <v>107</v>
      </c>
      <c r="U69" t="s">
        <v>108</v>
      </c>
      <c r="V69" s="3">
        <v>31.480686187744141</v>
      </c>
      <c r="W69" s="98"/>
      <c r="X69" s="130"/>
      <c r="Y69" s="98"/>
      <c r="Z69" s="98"/>
      <c r="AA69" s="86"/>
      <c r="AB69" s="119"/>
      <c r="AC69" s="1"/>
      <c r="AD69" s="1"/>
      <c r="AE69" s="1"/>
    </row>
    <row r="70" spans="1:31" x14ac:dyDescent="0.25">
      <c r="A70" s="100"/>
      <c r="B70" s="9">
        <v>347</v>
      </c>
      <c r="C70" s="9" t="s">
        <v>396</v>
      </c>
      <c r="D70" s="9" t="b">
        <v>0</v>
      </c>
      <c r="E70" s="9" t="s">
        <v>427</v>
      </c>
      <c r="F70" s="9" t="s">
        <v>332</v>
      </c>
      <c r="G70" s="9" t="s">
        <v>106</v>
      </c>
      <c r="H70" s="9"/>
      <c r="I70" s="9"/>
      <c r="J70" s="9">
        <v>22.899017333984375</v>
      </c>
      <c r="K70" s="9">
        <v>18.637588500976563</v>
      </c>
      <c r="L70" s="11"/>
      <c r="M70" s="104">
        <f t="shared" ref="M70:N70" si="161">AVERAGE(J70:J73)</f>
        <v>23.081553936004639</v>
      </c>
      <c r="N70" s="104">
        <f t="shared" si="161"/>
        <v>18.681993961334229</v>
      </c>
      <c r="O70" s="104"/>
      <c r="P70" s="89">
        <f t="shared" ref="P70" si="162">GEOMEAN(M70,N70)</f>
        <v>20.765583335188275</v>
      </c>
      <c r="Q70" t="s">
        <v>427</v>
      </c>
      <c r="R70" t="s">
        <v>234</v>
      </c>
      <c r="S70" t="s">
        <v>106</v>
      </c>
      <c r="T70" t="s">
        <v>107</v>
      </c>
      <c r="U70" t="s">
        <v>108</v>
      </c>
      <c r="V70" s="3">
        <v>31.869455337524414</v>
      </c>
      <c r="W70" s="96">
        <f t="shared" ref="W70" si="163">_xlfn.STDEV.S(V70:V73)</f>
        <v>1.259550456557502</v>
      </c>
      <c r="X70" s="128">
        <f t="shared" ref="X70" si="164">AVERAGE(V70:V73)</f>
        <v>32.777587413787842</v>
      </c>
      <c r="Y70" s="96">
        <f t="shared" ref="Y70" si="165">X70-P70</f>
        <v>12.012004078599567</v>
      </c>
      <c r="Z70" s="96" t="e">
        <f t="shared" ref="Z70" si="166">Y70-$AE$6</f>
        <v>#DIV/0!</v>
      </c>
      <c r="AA70" s="84" t="e">
        <f t="shared" ref="AA70" si="167">2^-Z70</f>
        <v>#DIV/0!</v>
      </c>
      <c r="AB70" s="119"/>
      <c r="AC70" s="1" t="e">
        <f t="shared" ref="AC70" si="168">LOG(AA70,2)</f>
        <v>#DIV/0!</v>
      </c>
      <c r="AD70" s="1"/>
      <c r="AE70" s="1"/>
    </row>
    <row r="71" spans="1:31" x14ac:dyDescent="0.25">
      <c r="A71" s="101"/>
      <c r="B71" s="1">
        <v>371</v>
      </c>
      <c r="C71" s="1" t="s">
        <v>408</v>
      </c>
      <c r="D71" s="1" t="b">
        <v>0</v>
      </c>
      <c r="E71" s="1" t="s">
        <v>427</v>
      </c>
      <c r="F71" s="1" t="s">
        <v>332</v>
      </c>
      <c r="G71" s="1" t="s">
        <v>106</v>
      </c>
      <c r="H71" s="1"/>
      <c r="I71" s="1"/>
      <c r="J71" s="1">
        <v>22.754722595214844</v>
      </c>
      <c r="K71" s="1">
        <v>18.74791145324707</v>
      </c>
      <c r="L71" s="14"/>
      <c r="M71" s="105"/>
      <c r="N71" s="105"/>
      <c r="O71" s="105"/>
      <c r="P71" s="90"/>
      <c r="Q71" t="s">
        <v>427</v>
      </c>
      <c r="R71" t="s">
        <v>234</v>
      </c>
      <c r="S71" t="s">
        <v>106</v>
      </c>
      <c r="T71" t="s">
        <v>107</v>
      </c>
      <c r="U71" t="s">
        <v>108</v>
      </c>
      <c r="V71" s="3">
        <v>34.61431884765625</v>
      </c>
      <c r="W71" s="97"/>
      <c r="X71" s="129"/>
      <c r="Y71" s="97"/>
      <c r="Z71" s="97"/>
      <c r="AA71" s="85"/>
      <c r="AB71" s="119"/>
      <c r="AC71" s="1"/>
      <c r="AD71" s="1"/>
      <c r="AE71" s="1"/>
    </row>
    <row r="72" spans="1:31" x14ac:dyDescent="0.25">
      <c r="A72" s="101"/>
      <c r="B72" s="1">
        <v>348</v>
      </c>
      <c r="C72" s="1" t="s">
        <v>397</v>
      </c>
      <c r="D72" s="1" t="b">
        <v>0</v>
      </c>
      <c r="E72" s="1" t="s">
        <v>427</v>
      </c>
      <c r="F72" s="1" t="s">
        <v>332</v>
      </c>
      <c r="G72" s="1" t="s">
        <v>106</v>
      </c>
      <c r="H72" s="1"/>
      <c r="I72" s="1"/>
      <c r="J72" s="1">
        <v>22.944528579711914</v>
      </c>
      <c r="K72" s="1">
        <v>18.6053466796875</v>
      </c>
      <c r="L72" s="14"/>
      <c r="M72" s="105"/>
      <c r="N72" s="105"/>
      <c r="O72" s="105"/>
      <c r="P72" s="90"/>
      <c r="Q72" t="s">
        <v>427</v>
      </c>
      <c r="R72" t="s">
        <v>234</v>
      </c>
      <c r="S72" t="s">
        <v>106</v>
      </c>
      <c r="T72" t="s">
        <v>107</v>
      </c>
      <c r="U72" t="s">
        <v>108</v>
      </c>
      <c r="V72" s="3">
        <v>32.568206787109375</v>
      </c>
      <c r="W72" s="97"/>
      <c r="X72" s="129"/>
      <c r="Y72" s="97"/>
      <c r="Z72" s="97"/>
      <c r="AA72" s="85"/>
      <c r="AB72" s="119"/>
      <c r="AC72" s="1"/>
      <c r="AD72" s="1"/>
      <c r="AE72" s="1"/>
    </row>
    <row r="73" spans="1:31" ht="15.75" thickBot="1" x14ac:dyDescent="0.3">
      <c r="A73" s="107"/>
      <c r="B73" s="83">
        <v>372</v>
      </c>
      <c r="C73" s="83" t="s">
        <v>409</v>
      </c>
      <c r="D73" s="83" t="b">
        <v>0</v>
      </c>
      <c r="E73" s="83" t="s">
        <v>427</v>
      </c>
      <c r="F73" s="83" t="s">
        <v>332</v>
      </c>
      <c r="G73" s="83" t="s">
        <v>106</v>
      </c>
      <c r="H73" s="83">
        <f t="shared" ref="H73" si="169">_xlfn.STDEV.S(K70:K73)</f>
        <v>7.1254619116112514E-2</v>
      </c>
      <c r="I73" s="83">
        <f t="shared" ref="I73" si="170">_xlfn.STDEV.S(J70:J73)</f>
        <v>0.43845888510846998</v>
      </c>
      <c r="J73" s="83">
        <v>23.727947235107422</v>
      </c>
      <c r="K73" s="83">
        <v>18.737129211425781</v>
      </c>
      <c r="L73" s="17"/>
      <c r="M73" s="108"/>
      <c r="N73" s="108"/>
      <c r="O73" s="108"/>
      <c r="P73" s="109"/>
      <c r="Q73" t="s">
        <v>427</v>
      </c>
      <c r="R73" t="s">
        <v>234</v>
      </c>
      <c r="S73" t="s">
        <v>106</v>
      </c>
      <c r="T73" t="s">
        <v>107</v>
      </c>
      <c r="U73" t="s">
        <v>108</v>
      </c>
      <c r="V73" s="3">
        <v>32.058368682861328</v>
      </c>
      <c r="W73" s="98"/>
      <c r="X73" s="130"/>
      <c r="Y73" s="98"/>
      <c r="Z73" s="98"/>
      <c r="AA73" s="86"/>
      <c r="AB73" s="119"/>
      <c r="AC73" s="1"/>
      <c r="AD73" s="1"/>
      <c r="AE73" s="1"/>
    </row>
    <row r="74" spans="1:31" x14ac:dyDescent="0.25">
      <c r="A74" s="100"/>
      <c r="B74" s="11"/>
      <c r="C74" s="11"/>
      <c r="D74" s="11"/>
      <c r="E74" s="11"/>
      <c r="F74" s="11"/>
      <c r="G74" s="11"/>
      <c r="H74" s="96"/>
      <c r="I74" s="96"/>
      <c r="J74" s="22"/>
      <c r="K74" s="27"/>
      <c r="L74" s="11"/>
      <c r="M74" s="104"/>
      <c r="N74" s="104"/>
      <c r="O74" s="104"/>
      <c r="P74" s="89"/>
      <c r="Q74" s="13"/>
      <c r="R74" s="11"/>
      <c r="S74" s="11"/>
      <c r="T74" s="11"/>
      <c r="U74" s="11"/>
      <c r="V74" s="29"/>
      <c r="W74" s="96"/>
      <c r="X74" s="124"/>
      <c r="Y74" s="96"/>
      <c r="Z74" s="96"/>
      <c r="AA74" s="96"/>
      <c r="AB74" s="119"/>
      <c r="AC74" s="1"/>
      <c r="AD74" s="1"/>
      <c r="AE74" s="1"/>
    </row>
    <row r="75" spans="1:31" x14ac:dyDescent="0.25">
      <c r="A75" s="101"/>
      <c r="B75" s="14"/>
      <c r="C75" s="14"/>
      <c r="D75" s="14"/>
      <c r="E75" s="14"/>
      <c r="F75" s="14"/>
      <c r="G75" s="14"/>
      <c r="H75" s="97"/>
      <c r="I75" s="97"/>
      <c r="J75" s="24"/>
      <c r="K75" s="30"/>
      <c r="L75" s="14"/>
      <c r="M75" s="105"/>
      <c r="N75" s="105"/>
      <c r="O75" s="105"/>
      <c r="P75" s="90"/>
      <c r="Q75" s="16"/>
      <c r="R75" s="14"/>
      <c r="S75" s="14"/>
      <c r="T75" s="14"/>
      <c r="U75" s="14"/>
      <c r="V75" s="26"/>
      <c r="W75" s="97"/>
      <c r="X75" s="125"/>
      <c r="Y75" s="97"/>
      <c r="Z75" s="97"/>
      <c r="AA75" s="97"/>
      <c r="AB75" s="119"/>
      <c r="AC75" s="1"/>
      <c r="AD75" s="1"/>
      <c r="AE75" s="1"/>
    </row>
    <row r="76" spans="1:31" x14ac:dyDescent="0.25">
      <c r="A76" s="101"/>
      <c r="B76" s="14"/>
      <c r="C76" s="14"/>
      <c r="D76" s="14"/>
      <c r="E76" s="14"/>
      <c r="F76" s="14"/>
      <c r="G76" s="14"/>
      <c r="H76" s="97"/>
      <c r="I76" s="97"/>
      <c r="J76" s="31"/>
      <c r="K76" s="32"/>
      <c r="L76" s="14"/>
      <c r="M76" s="105"/>
      <c r="N76" s="105"/>
      <c r="O76" s="105"/>
      <c r="P76" s="90"/>
      <c r="Q76" s="16"/>
      <c r="R76" s="14"/>
      <c r="S76" s="14"/>
      <c r="T76" s="14"/>
      <c r="U76" s="14"/>
      <c r="V76" s="26"/>
      <c r="W76" s="97"/>
      <c r="X76" s="125"/>
      <c r="Y76" s="97"/>
      <c r="Z76" s="97"/>
      <c r="AA76" s="97"/>
      <c r="AB76" s="119"/>
      <c r="AC76" s="1"/>
      <c r="AD76" s="1"/>
      <c r="AE76" s="1"/>
    </row>
    <row r="77" spans="1:31" ht="15.75" thickBot="1" x14ac:dyDescent="0.3">
      <c r="A77" s="107"/>
      <c r="B77" s="17"/>
      <c r="C77" s="17"/>
      <c r="D77" s="17"/>
      <c r="E77" s="17"/>
      <c r="F77" s="17"/>
      <c r="G77" s="17"/>
      <c r="H77" s="98"/>
      <c r="I77" s="98"/>
      <c r="J77" s="33"/>
      <c r="K77" s="20"/>
      <c r="L77" s="17"/>
      <c r="M77" s="108"/>
      <c r="N77" s="108"/>
      <c r="O77" s="108"/>
      <c r="P77" s="109"/>
      <c r="Q77" s="18"/>
      <c r="R77" s="17"/>
      <c r="S77" s="17"/>
      <c r="T77" s="17"/>
      <c r="U77" s="17"/>
      <c r="V77" s="34"/>
      <c r="W77" s="98"/>
      <c r="X77" s="126"/>
      <c r="Y77" s="98"/>
      <c r="Z77" s="98"/>
      <c r="AA77" s="98"/>
      <c r="AB77" s="119"/>
      <c r="AC77" s="1"/>
      <c r="AD77" s="1"/>
      <c r="AE77" s="1"/>
    </row>
    <row r="78" spans="1:31" x14ac:dyDescent="0.25">
      <c r="A78" s="100"/>
      <c r="B78" s="11"/>
      <c r="C78" s="11"/>
      <c r="D78" s="11"/>
      <c r="E78" s="11"/>
      <c r="F78" s="11"/>
      <c r="G78" s="11"/>
      <c r="H78" s="92"/>
      <c r="I78" s="96"/>
      <c r="J78" s="35"/>
      <c r="K78" s="36"/>
      <c r="L78" s="11"/>
      <c r="M78" s="104"/>
      <c r="N78" s="104"/>
      <c r="O78" s="104"/>
      <c r="P78" s="89"/>
      <c r="Q78" s="13"/>
      <c r="R78" s="11"/>
      <c r="S78" s="11"/>
      <c r="T78" s="11"/>
      <c r="U78" s="11"/>
      <c r="V78" s="37"/>
      <c r="W78" s="96"/>
      <c r="X78" s="121"/>
      <c r="Y78" s="96"/>
      <c r="Z78" s="96"/>
      <c r="AA78" s="96"/>
      <c r="AB78" s="119"/>
      <c r="AC78" s="1"/>
      <c r="AD78" s="1"/>
      <c r="AE78" s="1"/>
    </row>
    <row r="79" spans="1:31" x14ac:dyDescent="0.25">
      <c r="A79" s="101"/>
      <c r="B79" s="14"/>
      <c r="C79" s="14"/>
      <c r="D79" s="14"/>
      <c r="E79" s="14"/>
      <c r="F79" s="14"/>
      <c r="G79" s="14"/>
      <c r="H79" s="93"/>
      <c r="I79" s="97"/>
      <c r="J79" s="38"/>
      <c r="K79" s="39"/>
      <c r="L79" s="14"/>
      <c r="M79" s="105"/>
      <c r="N79" s="105"/>
      <c r="O79" s="105"/>
      <c r="P79" s="90"/>
      <c r="Q79" s="16"/>
      <c r="R79" s="14"/>
      <c r="S79" s="14"/>
      <c r="T79" s="14"/>
      <c r="U79" s="14"/>
      <c r="V79" s="40"/>
      <c r="W79" s="97"/>
      <c r="X79" s="122"/>
      <c r="Y79" s="97"/>
      <c r="Z79" s="97"/>
      <c r="AA79" s="97"/>
      <c r="AB79" s="119"/>
      <c r="AC79" s="1"/>
      <c r="AD79" s="1"/>
      <c r="AE79" s="1"/>
    </row>
    <row r="80" spans="1:31" x14ac:dyDescent="0.25">
      <c r="A80" s="101"/>
      <c r="B80" s="14"/>
      <c r="C80" s="14"/>
      <c r="D80" s="14"/>
      <c r="E80" s="14"/>
      <c r="F80" s="14"/>
      <c r="G80" s="14"/>
      <c r="H80" s="93"/>
      <c r="I80" s="97"/>
      <c r="J80" s="41"/>
      <c r="K80" s="42"/>
      <c r="L80" s="14"/>
      <c r="M80" s="105"/>
      <c r="N80" s="105"/>
      <c r="O80" s="105"/>
      <c r="P80" s="90"/>
      <c r="Q80" s="16"/>
      <c r="R80" s="14"/>
      <c r="S80" s="14"/>
      <c r="T80" s="14"/>
      <c r="U80" s="14"/>
      <c r="V80" s="15"/>
      <c r="W80" s="97"/>
      <c r="X80" s="122"/>
      <c r="Y80" s="97"/>
      <c r="Z80" s="97"/>
      <c r="AA80" s="97"/>
      <c r="AB80" s="119"/>
      <c r="AC80" s="1"/>
      <c r="AD80" s="1"/>
      <c r="AE80" s="1"/>
    </row>
    <row r="81" spans="1:31" ht="15.75" thickBot="1" x14ac:dyDescent="0.3">
      <c r="A81" s="107"/>
      <c r="B81" s="17"/>
      <c r="C81" s="17"/>
      <c r="D81" s="17"/>
      <c r="E81" s="17"/>
      <c r="F81" s="17"/>
      <c r="G81" s="17"/>
      <c r="H81" s="120"/>
      <c r="I81" s="98"/>
      <c r="J81" s="43"/>
      <c r="K81" s="44"/>
      <c r="L81" s="17"/>
      <c r="M81" s="108"/>
      <c r="N81" s="108"/>
      <c r="O81" s="108"/>
      <c r="P81" s="109"/>
      <c r="Q81" s="18"/>
      <c r="R81" s="17"/>
      <c r="S81" s="17"/>
      <c r="T81" s="17"/>
      <c r="U81" s="17"/>
      <c r="V81" s="45"/>
      <c r="W81" s="98"/>
      <c r="X81" s="123"/>
      <c r="Y81" s="98"/>
      <c r="Z81" s="98"/>
      <c r="AA81" s="98"/>
      <c r="AB81" s="119"/>
      <c r="AC81" s="1"/>
      <c r="AD81" s="1"/>
      <c r="AE81" s="1"/>
    </row>
    <row r="82" spans="1:31" x14ac:dyDescent="0.25">
      <c r="A82" s="100"/>
      <c r="B82" s="11"/>
      <c r="C82" s="11"/>
      <c r="D82" s="11"/>
      <c r="E82" s="11"/>
      <c r="F82" s="11"/>
      <c r="G82" s="11"/>
      <c r="H82" s="96"/>
      <c r="I82" s="96"/>
      <c r="J82" s="46"/>
      <c r="K82" s="47"/>
      <c r="L82" s="11"/>
      <c r="M82" s="104"/>
      <c r="N82" s="104"/>
      <c r="O82" s="104"/>
      <c r="P82" s="89"/>
      <c r="Q82" s="13"/>
      <c r="R82" s="11"/>
      <c r="S82" s="11"/>
      <c r="T82" s="11"/>
      <c r="U82" s="11"/>
      <c r="V82" s="29"/>
      <c r="W82" s="96"/>
      <c r="X82" s="116"/>
      <c r="Y82" s="96"/>
      <c r="Z82" s="96"/>
      <c r="AA82" s="96"/>
      <c r="AB82" s="99"/>
      <c r="AC82" s="1"/>
      <c r="AD82" s="1"/>
      <c r="AE82" s="1"/>
    </row>
    <row r="83" spans="1:31" x14ac:dyDescent="0.25">
      <c r="A83" s="101"/>
      <c r="B83" s="14"/>
      <c r="C83" s="14"/>
      <c r="D83" s="14"/>
      <c r="E83" s="14"/>
      <c r="F83" s="14"/>
      <c r="G83" s="14"/>
      <c r="H83" s="97"/>
      <c r="I83" s="97"/>
      <c r="J83" s="48"/>
      <c r="K83" s="49"/>
      <c r="L83" s="14"/>
      <c r="M83" s="105"/>
      <c r="N83" s="105"/>
      <c r="O83" s="105"/>
      <c r="P83" s="90"/>
      <c r="Q83" s="16"/>
      <c r="R83" s="14"/>
      <c r="S83" s="14"/>
      <c r="T83" s="14"/>
      <c r="U83" s="14"/>
      <c r="V83" s="50"/>
      <c r="W83" s="97"/>
      <c r="X83" s="117"/>
      <c r="Y83" s="97"/>
      <c r="Z83" s="97"/>
      <c r="AA83" s="97"/>
      <c r="AB83" s="99"/>
      <c r="AC83" s="1"/>
      <c r="AD83" s="1"/>
      <c r="AE83" s="1"/>
    </row>
    <row r="84" spans="1:31" x14ac:dyDescent="0.25">
      <c r="A84" s="101"/>
      <c r="B84" s="14"/>
      <c r="C84" s="14"/>
      <c r="D84" s="14"/>
      <c r="E84" s="14"/>
      <c r="F84" s="14"/>
      <c r="G84" s="14"/>
      <c r="H84" s="97"/>
      <c r="I84" s="97"/>
      <c r="J84" s="21"/>
      <c r="K84" s="12"/>
      <c r="L84" s="14"/>
      <c r="M84" s="105"/>
      <c r="N84" s="105"/>
      <c r="O84" s="105"/>
      <c r="P84" s="90"/>
      <c r="Q84" s="16"/>
      <c r="R84" s="14"/>
      <c r="S84" s="14"/>
      <c r="T84" s="14"/>
      <c r="U84" s="14"/>
      <c r="V84" s="51"/>
      <c r="W84" s="97"/>
      <c r="X84" s="117"/>
      <c r="Y84" s="97"/>
      <c r="Z84" s="97"/>
      <c r="AA84" s="97"/>
      <c r="AB84" s="99"/>
      <c r="AC84" s="1"/>
      <c r="AD84" s="1"/>
      <c r="AE84" s="1"/>
    </row>
    <row r="85" spans="1:31" ht="15.75" thickBot="1" x14ac:dyDescent="0.3">
      <c r="A85" s="107"/>
      <c r="B85" s="17"/>
      <c r="C85" s="17"/>
      <c r="D85" s="17"/>
      <c r="E85" s="17"/>
      <c r="F85" s="17"/>
      <c r="G85" s="17"/>
      <c r="H85" s="98"/>
      <c r="I85" s="98"/>
      <c r="J85" s="52"/>
      <c r="K85" s="49"/>
      <c r="L85" s="17"/>
      <c r="M85" s="108"/>
      <c r="N85" s="108"/>
      <c r="O85" s="108"/>
      <c r="P85" s="109"/>
      <c r="Q85" s="18"/>
      <c r="R85" s="17"/>
      <c r="S85" s="17"/>
      <c r="T85" s="17"/>
      <c r="U85" s="17"/>
      <c r="V85" s="53"/>
      <c r="W85" s="98"/>
      <c r="X85" s="118"/>
      <c r="Y85" s="98"/>
      <c r="Z85" s="98"/>
      <c r="AA85" s="98"/>
      <c r="AB85" s="99"/>
      <c r="AC85" s="1"/>
      <c r="AD85" s="1"/>
      <c r="AE85" s="1"/>
    </row>
    <row r="86" spans="1:31" x14ac:dyDescent="0.25">
      <c r="A86" s="100"/>
      <c r="B86" s="11"/>
      <c r="C86" s="11"/>
      <c r="D86" s="11"/>
      <c r="E86" s="11"/>
      <c r="F86" s="11"/>
      <c r="G86" s="11"/>
      <c r="H86" s="96"/>
      <c r="I86" s="96"/>
      <c r="J86" s="37"/>
      <c r="K86" s="54"/>
      <c r="L86" s="11"/>
      <c r="M86" s="104"/>
      <c r="N86" s="104"/>
      <c r="O86" s="104"/>
      <c r="P86" s="89"/>
      <c r="Q86" s="13"/>
      <c r="R86" s="11"/>
      <c r="S86" s="11"/>
      <c r="T86" s="11"/>
      <c r="U86" s="11"/>
      <c r="V86" s="55"/>
      <c r="W86" s="96"/>
      <c r="X86" s="113"/>
      <c r="Y86" s="96"/>
      <c r="Z86" s="96"/>
      <c r="AA86" s="96"/>
      <c r="AB86" s="99"/>
      <c r="AC86" s="1"/>
      <c r="AD86" s="1"/>
      <c r="AE86" s="1"/>
    </row>
    <row r="87" spans="1:31" x14ac:dyDescent="0.25">
      <c r="A87" s="101"/>
      <c r="B87" s="14"/>
      <c r="C87" s="14"/>
      <c r="D87" s="14"/>
      <c r="E87" s="14"/>
      <c r="F87" s="14"/>
      <c r="G87" s="14"/>
      <c r="H87" s="97"/>
      <c r="I87" s="97"/>
      <c r="J87" s="56"/>
      <c r="K87" s="32"/>
      <c r="L87" s="14"/>
      <c r="M87" s="105"/>
      <c r="N87" s="105"/>
      <c r="O87" s="105"/>
      <c r="P87" s="90"/>
      <c r="Q87" s="16"/>
      <c r="R87" s="14"/>
      <c r="S87" s="14"/>
      <c r="T87" s="14"/>
      <c r="U87" s="14"/>
      <c r="V87" s="57"/>
      <c r="W87" s="97"/>
      <c r="X87" s="114"/>
      <c r="Y87" s="97"/>
      <c r="Z87" s="97"/>
      <c r="AA87" s="97"/>
      <c r="AB87" s="99"/>
      <c r="AC87" s="1"/>
      <c r="AD87" s="1"/>
      <c r="AE87" s="1"/>
    </row>
    <row r="88" spans="1:31" x14ac:dyDescent="0.25">
      <c r="A88" s="101"/>
      <c r="B88" s="14"/>
      <c r="C88" s="14"/>
      <c r="D88" s="14"/>
      <c r="E88" s="14"/>
      <c r="F88" s="14"/>
      <c r="G88" s="14"/>
      <c r="H88" s="97"/>
      <c r="I88" s="97"/>
      <c r="J88" s="58"/>
      <c r="K88" s="59"/>
      <c r="L88" s="14"/>
      <c r="M88" s="105"/>
      <c r="N88" s="105"/>
      <c r="O88" s="105"/>
      <c r="P88" s="90"/>
      <c r="Q88" s="16"/>
      <c r="R88" s="14"/>
      <c r="S88" s="14"/>
      <c r="T88" s="14"/>
      <c r="U88" s="14"/>
      <c r="V88" s="60"/>
      <c r="W88" s="97"/>
      <c r="X88" s="114"/>
      <c r="Y88" s="97"/>
      <c r="Z88" s="97"/>
      <c r="AA88" s="97"/>
      <c r="AB88" s="99"/>
      <c r="AC88" s="1"/>
      <c r="AD88" s="1"/>
      <c r="AE88" s="1"/>
    </row>
    <row r="89" spans="1:31" ht="15.75" thickBot="1" x14ac:dyDescent="0.3">
      <c r="A89" s="107"/>
      <c r="B89" s="17"/>
      <c r="C89" s="17"/>
      <c r="D89" s="17"/>
      <c r="E89" s="17"/>
      <c r="F89" s="17"/>
      <c r="G89" s="17"/>
      <c r="H89" s="98"/>
      <c r="I89" s="98"/>
      <c r="J89" s="61"/>
      <c r="K89" s="25"/>
      <c r="L89" s="17"/>
      <c r="M89" s="108"/>
      <c r="N89" s="108"/>
      <c r="O89" s="108"/>
      <c r="P89" s="109"/>
      <c r="Q89" s="18"/>
      <c r="R89" s="17"/>
      <c r="S89" s="17"/>
      <c r="T89" s="17"/>
      <c r="U89" s="17"/>
      <c r="V89" s="62"/>
      <c r="W89" s="98"/>
      <c r="X89" s="115"/>
      <c r="Y89" s="98"/>
      <c r="Z89" s="98"/>
      <c r="AA89" s="98"/>
      <c r="AB89" s="99"/>
      <c r="AC89" s="1"/>
      <c r="AD89" s="1"/>
      <c r="AE89" s="1"/>
    </row>
    <row r="90" spans="1:31" x14ac:dyDescent="0.25">
      <c r="A90" s="100"/>
      <c r="B90" s="11"/>
      <c r="C90" s="11"/>
      <c r="D90" s="11"/>
      <c r="E90" s="11"/>
      <c r="F90" s="11"/>
      <c r="G90" s="11"/>
      <c r="H90" s="96"/>
      <c r="I90" s="96"/>
      <c r="J90" s="63"/>
      <c r="K90" s="64"/>
      <c r="L90" s="11"/>
      <c r="M90" s="104"/>
      <c r="N90" s="104"/>
      <c r="O90" s="104"/>
      <c r="P90" s="89"/>
      <c r="Q90" s="13"/>
      <c r="R90" s="11"/>
      <c r="S90" s="11"/>
      <c r="T90" s="11"/>
      <c r="U90" s="11"/>
      <c r="V90" s="35"/>
      <c r="W90" s="96"/>
      <c r="X90" s="110"/>
      <c r="Y90" s="96"/>
      <c r="Z90" s="96"/>
      <c r="AA90" s="96"/>
      <c r="AB90" s="99"/>
      <c r="AC90" s="1"/>
      <c r="AD90" s="1"/>
      <c r="AE90" s="1"/>
    </row>
    <row r="91" spans="1:31" x14ac:dyDescent="0.25">
      <c r="A91" s="101"/>
      <c r="B91" s="14"/>
      <c r="C91" s="14"/>
      <c r="D91" s="14"/>
      <c r="E91" s="14"/>
      <c r="F91" s="14"/>
      <c r="G91" s="14"/>
      <c r="H91" s="97"/>
      <c r="I91" s="97"/>
      <c r="J91" s="65"/>
      <c r="K91" s="23"/>
      <c r="L91" s="14"/>
      <c r="M91" s="105"/>
      <c r="N91" s="105"/>
      <c r="O91" s="105"/>
      <c r="P91" s="90"/>
      <c r="Q91" s="16"/>
      <c r="R91" s="14"/>
      <c r="S91" s="14"/>
      <c r="T91" s="14"/>
      <c r="U91" s="14"/>
      <c r="V91" s="66"/>
      <c r="W91" s="97"/>
      <c r="X91" s="111"/>
      <c r="Y91" s="97"/>
      <c r="Z91" s="97"/>
      <c r="AA91" s="97"/>
      <c r="AB91" s="99"/>
      <c r="AC91" s="1"/>
      <c r="AD91" s="1"/>
      <c r="AE91" s="1"/>
    </row>
    <row r="92" spans="1:31" x14ac:dyDescent="0.25">
      <c r="A92" s="101"/>
      <c r="B92" s="14"/>
      <c r="C92" s="14"/>
      <c r="D92" s="14"/>
      <c r="E92" s="14"/>
      <c r="F92" s="14"/>
      <c r="G92" s="14"/>
      <c r="H92" s="97"/>
      <c r="I92" s="97"/>
      <c r="J92" s="67"/>
      <c r="K92" s="28"/>
      <c r="L92" s="14"/>
      <c r="M92" s="105"/>
      <c r="N92" s="105"/>
      <c r="O92" s="105"/>
      <c r="P92" s="90"/>
      <c r="Q92" s="16"/>
      <c r="R92" s="14"/>
      <c r="S92" s="14"/>
      <c r="T92" s="14"/>
      <c r="U92" s="14"/>
      <c r="V92" s="68"/>
      <c r="W92" s="97"/>
      <c r="X92" s="111"/>
      <c r="Y92" s="97"/>
      <c r="Z92" s="97"/>
      <c r="AA92" s="97"/>
      <c r="AB92" s="99"/>
      <c r="AC92" s="1"/>
      <c r="AD92" s="1"/>
      <c r="AE92" s="1"/>
    </row>
    <row r="93" spans="1:31" ht="15.75" thickBot="1" x14ac:dyDescent="0.3">
      <c r="A93" s="107"/>
      <c r="B93" s="17"/>
      <c r="C93" s="17"/>
      <c r="D93" s="17"/>
      <c r="E93" s="17"/>
      <c r="F93" s="17"/>
      <c r="G93" s="17"/>
      <c r="H93" s="98"/>
      <c r="I93" s="98"/>
      <c r="J93" s="69"/>
      <c r="K93" s="19"/>
      <c r="L93" s="17"/>
      <c r="M93" s="108"/>
      <c r="N93" s="108"/>
      <c r="O93" s="108"/>
      <c r="P93" s="109"/>
      <c r="Q93" s="18"/>
      <c r="R93" s="17"/>
      <c r="S93" s="17"/>
      <c r="T93" s="17"/>
      <c r="U93" s="17"/>
      <c r="V93" s="70"/>
      <c r="W93" s="98"/>
      <c r="X93" s="112"/>
      <c r="Y93" s="98"/>
      <c r="Z93" s="98"/>
      <c r="AA93" s="98"/>
      <c r="AB93" s="99"/>
      <c r="AC93" s="1"/>
      <c r="AD93" s="1"/>
      <c r="AE93" s="1"/>
    </row>
    <row r="94" spans="1:31" x14ac:dyDescent="0.25">
      <c r="A94" s="100"/>
      <c r="B94" s="11"/>
      <c r="C94" s="11"/>
      <c r="D94" s="11"/>
      <c r="E94" s="11"/>
      <c r="F94" s="11"/>
      <c r="G94" s="11"/>
      <c r="H94" s="96"/>
      <c r="I94" s="96"/>
      <c r="J94" s="71"/>
      <c r="K94" s="72"/>
      <c r="L94" s="11"/>
      <c r="M94" s="104"/>
      <c r="N94" s="104"/>
      <c r="O94" s="104"/>
      <c r="P94" s="89"/>
      <c r="Q94" s="13"/>
      <c r="R94" s="11"/>
      <c r="S94" s="11"/>
      <c r="T94" s="11"/>
      <c r="U94" s="11"/>
      <c r="V94" s="73"/>
      <c r="W94" s="92"/>
      <c r="X94" s="94"/>
      <c r="Y94" s="96"/>
      <c r="Z94" s="96"/>
      <c r="AA94" s="96"/>
      <c r="AB94" s="99"/>
      <c r="AC94" s="1"/>
      <c r="AD94" s="1"/>
      <c r="AE94" s="1"/>
    </row>
    <row r="95" spans="1:31" x14ac:dyDescent="0.25">
      <c r="A95" s="101"/>
      <c r="B95" s="14"/>
      <c r="C95" s="14"/>
      <c r="D95" s="14"/>
      <c r="E95" s="14"/>
      <c r="F95" s="14"/>
      <c r="G95" s="14"/>
      <c r="H95" s="97"/>
      <c r="I95" s="97"/>
      <c r="J95" s="74"/>
      <c r="K95" s="75"/>
      <c r="L95" s="14"/>
      <c r="M95" s="105"/>
      <c r="N95" s="105"/>
      <c r="O95" s="105"/>
      <c r="P95" s="90"/>
      <c r="Q95" s="16"/>
      <c r="R95" s="14"/>
      <c r="S95" s="14"/>
      <c r="T95" s="14"/>
      <c r="U95" s="14"/>
      <c r="V95" s="76"/>
      <c r="W95" s="93"/>
      <c r="X95" s="95"/>
      <c r="Y95" s="97"/>
      <c r="Z95" s="97"/>
      <c r="AA95" s="97"/>
      <c r="AB95" s="99"/>
      <c r="AC95" s="1"/>
      <c r="AD95" s="1"/>
      <c r="AE95" s="1"/>
    </row>
    <row r="96" spans="1:31" x14ac:dyDescent="0.25">
      <c r="A96" s="101"/>
      <c r="B96" s="14"/>
      <c r="C96" s="14"/>
      <c r="D96" s="14"/>
      <c r="E96" s="14"/>
      <c r="F96" s="14"/>
      <c r="G96" s="14"/>
      <c r="H96" s="97"/>
      <c r="I96" s="97"/>
      <c r="J96" s="77"/>
      <c r="K96" s="78"/>
      <c r="L96" s="14"/>
      <c r="M96" s="105"/>
      <c r="N96" s="105"/>
      <c r="O96" s="105"/>
      <c r="P96" s="90"/>
      <c r="Q96" s="16"/>
      <c r="R96" s="14"/>
      <c r="S96" s="14"/>
      <c r="T96" s="14"/>
      <c r="U96" s="14"/>
      <c r="V96" s="79"/>
      <c r="W96" s="93"/>
      <c r="X96" s="95"/>
      <c r="Y96" s="97"/>
      <c r="Z96" s="97"/>
      <c r="AA96" s="97"/>
      <c r="AB96" s="99"/>
      <c r="AC96" s="1"/>
      <c r="AD96" s="1"/>
      <c r="AE96" s="1"/>
    </row>
    <row r="97" spans="1:31" ht="15.75" thickBot="1" x14ac:dyDescent="0.3">
      <c r="A97" s="102"/>
      <c r="B97" s="17"/>
      <c r="C97" s="17"/>
      <c r="D97" s="17"/>
      <c r="E97" s="17"/>
      <c r="F97" s="17"/>
      <c r="G97" s="17"/>
      <c r="H97" s="103"/>
      <c r="I97" s="103"/>
      <c r="J97" s="80"/>
      <c r="K97" s="81"/>
      <c r="L97" s="17"/>
      <c r="M97" s="106"/>
      <c r="N97" s="106"/>
      <c r="O97" s="106"/>
      <c r="P97" s="91"/>
      <c r="Q97" s="18"/>
      <c r="R97" s="17"/>
      <c r="S97" s="17"/>
      <c r="T97" s="17"/>
      <c r="U97" s="17"/>
      <c r="V97" s="82"/>
      <c r="W97" s="93"/>
      <c r="X97" s="95"/>
      <c r="Y97" s="97"/>
      <c r="Z97" s="97"/>
      <c r="AA97" s="97"/>
      <c r="AB97" s="99"/>
      <c r="AC97" s="1"/>
      <c r="AD97" s="1"/>
      <c r="AE97" s="1"/>
    </row>
    <row r="98" spans="1:31" x14ac:dyDescent="0.25">
      <c r="A98" s="1"/>
      <c r="B98" s="1"/>
      <c r="C98" s="88"/>
      <c r="D98" s="8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5">
      <c r="A99" s="1"/>
      <c r="B99" s="1"/>
      <c r="C99" s="87"/>
      <c r="D99" s="8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5">
      <c r="A100" s="1"/>
      <c r="B100" s="1"/>
      <c r="C100" s="87"/>
      <c r="D100" s="8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5">
      <c r="A101" s="1"/>
      <c r="B101" s="1"/>
      <c r="C101" s="87"/>
      <c r="D101" s="8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25">
      <c r="A102" s="1"/>
      <c r="B102" s="1"/>
      <c r="C102" s="87"/>
      <c r="D102" s="8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25">
      <c r="A103" s="1"/>
      <c r="B103" s="1"/>
      <c r="C103" s="87"/>
      <c r="D103" s="8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25">
      <c r="A104" s="1"/>
      <c r="B104" s="1"/>
      <c r="C104" s="87"/>
      <c r="D104" s="8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25">
      <c r="A105" s="1"/>
      <c r="B105" s="1"/>
      <c r="C105" s="87"/>
      <c r="D105" s="8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25">
      <c r="A106" s="1"/>
      <c r="B106" s="1"/>
      <c r="C106" s="87"/>
      <c r="D106" s="8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s="1"/>
      <c r="B107" s="1"/>
      <c r="C107" s="87"/>
      <c r="D107" s="8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25">
      <c r="A108" s="1"/>
      <c r="B108" s="1"/>
      <c r="C108" s="87"/>
      <c r="D108" s="8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x14ac:dyDescent="0.25">
      <c r="A109" s="1"/>
      <c r="B109" s="1"/>
      <c r="C109" s="87"/>
      <c r="D109" s="8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25">
      <c r="A110" s="1"/>
      <c r="B110" s="1"/>
      <c r="C110" s="87"/>
      <c r="D110" s="8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x14ac:dyDescent="0.25">
      <c r="A111" s="1"/>
      <c r="B111" s="1"/>
      <c r="C111" s="87"/>
      <c r="D111" s="8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x14ac:dyDescent="0.25">
      <c r="A112" s="1"/>
      <c r="B112" s="1"/>
      <c r="C112" s="87"/>
      <c r="D112" s="8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x14ac:dyDescent="0.25">
      <c r="A113" s="1"/>
      <c r="B113" s="1"/>
      <c r="C113" s="87"/>
      <c r="D113" s="8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</sheetData>
  <mergeCells count="302">
    <mergeCell ref="X2:X5"/>
    <mergeCell ref="Y2:Y5"/>
    <mergeCell ref="Z2:Z5"/>
    <mergeCell ref="AB2:AB5"/>
    <mergeCell ref="AD2:AD3"/>
    <mergeCell ref="AE2:AE3"/>
    <mergeCell ref="AD4:AD5"/>
    <mergeCell ref="AE4:AE5"/>
    <mergeCell ref="A2:A5"/>
    <mergeCell ref="M2:M5"/>
    <mergeCell ref="N2:N5"/>
    <mergeCell ref="O2:O5"/>
    <mergeCell ref="P2:P5"/>
    <mergeCell ref="W2:W5"/>
    <mergeCell ref="X6:X9"/>
    <mergeCell ref="Y6:Y9"/>
    <mergeCell ref="Z6:Z9"/>
    <mergeCell ref="AB6:AB9"/>
    <mergeCell ref="AD6:AD7"/>
    <mergeCell ref="AE6:AE7"/>
    <mergeCell ref="AD8:AD9"/>
    <mergeCell ref="AE8:AE9"/>
    <mergeCell ref="A6:A9"/>
    <mergeCell ref="M6:M9"/>
    <mergeCell ref="N6:N9"/>
    <mergeCell ref="O6:O9"/>
    <mergeCell ref="P6:P9"/>
    <mergeCell ref="W6:W9"/>
    <mergeCell ref="X10:X13"/>
    <mergeCell ref="Y10:Y13"/>
    <mergeCell ref="Z10:Z13"/>
    <mergeCell ref="AB10:AB13"/>
    <mergeCell ref="AD10:AD11"/>
    <mergeCell ref="AE10:AE11"/>
    <mergeCell ref="AD12:AD13"/>
    <mergeCell ref="AE12:AE13"/>
    <mergeCell ref="A10:A13"/>
    <mergeCell ref="M10:M13"/>
    <mergeCell ref="N10:N13"/>
    <mergeCell ref="O10:O13"/>
    <mergeCell ref="P10:P13"/>
    <mergeCell ref="W10:W13"/>
    <mergeCell ref="X14:X17"/>
    <mergeCell ref="Y14:Y17"/>
    <mergeCell ref="Z14:Z17"/>
    <mergeCell ref="AB14:AB17"/>
    <mergeCell ref="AD14:AD15"/>
    <mergeCell ref="AE14:AE15"/>
    <mergeCell ref="AD16:AD17"/>
    <mergeCell ref="AE16:AE17"/>
    <mergeCell ref="A14:A17"/>
    <mergeCell ref="M14:M17"/>
    <mergeCell ref="N14:N17"/>
    <mergeCell ref="O14:O17"/>
    <mergeCell ref="P14:P17"/>
    <mergeCell ref="W14:W17"/>
    <mergeCell ref="X18:X21"/>
    <mergeCell ref="Y18:Y21"/>
    <mergeCell ref="Z18:Z21"/>
    <mergeCell ref="AB18:AB21"/>
    <mergeCell ref="AD18:AD19"/>
    <mergeCell ref="AE18:AE19"/>
    <mergeCell ref="AD20:AD21"/>
    <mergeCell ref="AE20:AE21"/>
    <mergeCell ref="A18:A21"/>
    <mergeCell ref="M18:M21"/>
    <mergeCell ref="N18:N21"/>
    <mergeCell ref="O18:O21"/>
    <mergeCell ref="P18:P21"/>
    <mergeCell ref="W18:W21"/>
    <mergeCell ref="X22:X25"/>
    <mergeCell ref="Y22:Y25"/>
    <mergeCell ref="Z22:Z25"/>
    <mergeCell ref="AB22:AB25"/>
    <mergeCell ref="AD22:AD23"/>
    <mergeCell ref="AE22:AE23"/>
    <mergeCell ref="AD24:AD25"/>
    <mergeCell ref="AE24:AE25"/>
    <mergeCell ref="A22:A25"/>
    <mergeCell ref="M22:M25"/>
    <mergeCell ref="N22:N25"/>
    <mergeCell ref="O22:O25"/>
    <mergeCell ref="P22:P25"/>
    <mergeCell ref="W22:W25"/>
    <mergeCell ref="X26:X29"/>
    <mergeCell ref="Y26:Y29"/>
    <mergeCell ref="Z26:Z29"/>
    <mergeCell ref="AB26:AB29"/>
    <mergeCell ref="AD26:AD27"/>
    <mergeCell ref="AE26:AE27"/>
    <mergeCell ref="AD28:AD29"/>
    <mergeCell ref="AE28:AE29"/>
    <mergeCell ref="A26:A29"/>
    <mergeCell ref="M26:M29"/>
    <mergeCell ref="N26:N29"/>
    <mergeCell ref="O26:O29"/>
    <mergeCell ref="P26:P29"/>
    <mergeCell ref="W26:W29"/>
    <mergeCell ref="X30:X33"/>
    <mergeCell ref="Y30:Y33"/>
    <mergeCell ref="Z30:Z33"/>
    <mergeCell ref="AB30:AB33"/>
    <mergeCell ref="A34:A37"/>
    <mergeCell ref="M34:M37"/>
    <mergeCell ref="N34:N37"/>
    <mergeCell ref="O34:O37"/>
    <mergeCell ref="P34:P37"/>
    <mergeCell ref="W34:W37"/>
    <mergeCell ref="A30:A33"/>
    <mergeCell ref="M30:M33"/>
    <mergeCell ref="N30:N33"/>
    <mergeCell ref="O30:O33"/>
    <mergeCell ref="P30:P33"/>
    <mergeCell ref="W30:W33"/>
    <mergeCell ref="X34:X37"/>
    <mergeCell ref="Y34:Y37"/>
    <mergeCell ref="Z34:Z37"/>
    <mergeCell ref="AB34:AB37"/>
    <mergeCell ref="AB38:AB41"/>
    <mergeCell ref="A42:A45"/>
    <mergeCell ref="M42:M45"/>
    <mergeCell ref="N42:N45"/>
    <mergeCell ref="O42:O45"/>
    <mergeCell ref="P42:P45"/>
    <mergeCell ref="W42:W45"/>
    <mergeCell ref="X42:X45"/>
    <mergeCell ref="Y42:Y45"/>
    <mergeCell ref="Z42:Z45"/>
    <mergeCell ref="AB42:AB45"/>
    <mergeCell ref="A38:A41"/>
    <mergeCell ref="M38:M41"/>
    <mergeCell ref="N38:N41"/>
    <mergeCell ref="O38:O41"/>
    <mergeCell ref="P38:P41"/>
    <mergeCell ref="W38:W41"/>
    <mergeCell ref="X38:X41"/>
    <mergeCell ref="Y38:Y41"/>
    <mergeCell ref="Z38:Z41"/>
    <mergeCell ref="AB46:AB49"/>
    <mergeCell ref="A50:A53"/>
    <mergeCell ref="M50:M53"/>
    <mergeCell ref="N50:N53"/>
    <mergeCell ref="O50:O53"/>
    <mergeCell ref="P50:P53"/>
    <mergeCell ref="W50:W53"/>
    <mergeCell ref="X50:X53"/>
    <mergeCell ref="Y50:Y53"/>
    <mergeCell ref="Z50:Z53"/>
    <mergeCell ref="AB50:AB53"/>
    <mergeCell ref="A46:A49"/>
    <mergeCell ref="M46:M49"/>
    <mergeCell ref="N46:N49"/>
    <mergeCell ref="O46:O49"/>
    <mergeCell ref="P46:P49"/>
    <mergeCell ref="W46:W49"/>
    <mergeCell ref="X46:X49"/>
    <mergeCell ref="Y46:Y49"/>
    <mergeCell ref="Z46:Z49"/>
    <mergeCell ref="AB54:AB57"/>
    <mergeCell ref="A58:A61"/>
    <mergeCell ref="M58:M61"/>
    <mergeCell ref="N58:N61"/>
    <mergeCell ref="O58:O61"/>
    <mergeCell ref="P58:P61"/>
    <mergeCell ref="W58:W61"/>
    <mergeCell ref="X58:X61"/>
    <mergeCell ref="Y58:Y61"/>
    <mergeCell ref="Z58:Z61"/>
    <mergeCell ref="AB58:AB61"/>
    <mergeCell ref="A54:A57"/>
    <mergeCell ref="M54:M57"/>
    <mergeCell ref="N54:N57"/>
    <mergeCell ref="O54:O57"/>
    <mergeCell ref="P54:P57"/>
    <mergeCell ref="W54:W57"/>
    <mergeCell ref="X54:X57"/>
    <mergeCell ref="Y54:Y57"/>
    <mergeCell ref="Z54:Z57"/>
    <mergeCell ref="AB62:AB65"/>
    <mergeCell ref="A66:A69"/>
    <mergeCell ref="M66:M69"/>
    <mergeCell ref="N66:N69"/>
    <mergeCell ref="O66:O69"/>
    <mergeCell ref="P66:P69"/>
    <mergeCell ref="W66:W69"/>
    <mergeCell ref="X66:X69"/>
    <mergeCell ref="Y66:Y69"/>
    <mergeCell ref="Z66:Z69"/>
    <mergeCell ref="AB66:AB69"/>
    <mergeCell ref="A62:A65"/>
    <mergeCell ref="M62:M65"/>
    <mergeCell ref="N62:N65"/>
    <mergeCell ref="O62:O65"/>
    <mergeCell ref="P62:P65"/>
    <mergeCell ref="W62:W65"/>
    <mergeCell ref="X62:X65"/>
    <mergeCell ref="Y62:Y65"/>
    <mergeCell ref="Z62:Z65"/>
    <mergeCell ref="A70:A73"/>
    <mergeCell ref="M70:M73"/>
    <mergeCell ref="N70:N73"/>
    <mergeCell ref="O70:O73"/>
    <mergeCell ref="P70:P73"/>
    <mergeCell ref="W70:W73"/>
    <mergeCell ref="X70:X73"/>
    <mergeCell ref="Y70:Y73"/>
    <mergeCell ref="Z70:Z73"/>
    <mergeCell ref="AB70:AB73"/>
    <mergeCell ref="A74:A77"/>
    <mergeCell ref="H74:H77"/>
    <mergeCell ref="I74:I77"/>
    <mergeCell ref="M74:M77"/>
    <mergeCell ref="N74:N77"/>
    <mergeCell ref="O74:O77"/>
    <mergeCell ref="AB74:AB77"/>
    <mergeCell ref="A78:A81"/>
    <mergeCell ref="H78:H81"/>
    <mergeCell ref="I78:I81"/>
    <mergeCell ref="M78:M81"/>
    <mergeCell ref="N78:N81"/>
    <mergeCell ref="O78:O81"/>
    <mergeCell ref="P78:P81"/>
    <mergeCell ref="W78:W81"/>
    <mergeCell ref="X78:X81"/>
    <mergeCell ref="P74:P77"/>
    <mergeCell ref="W74:W77"/>
    <mergeCell ref="X74:X77"/>
    <mergeCell ref="Y74:Y77"/>
    <mergeCell ref="Z74:Z77"/>
    <mergeCell ref="AA74:AA77"/>
    <mergeCell ref="Y78:Y81"/>
    <mergeCell ref="Z78:Z81"/>
    <mergeCell ref="AA78:AA81"/>
    <mergeCell ref="AB78:AB81"/>
    <mergeCell ref="A82:A85"/>
    <mergeCell ref="H82:H85"/>
    <mergeCell ref="I82:I85"/>
    <mergeCell ref="M82:M85"/>
    <mergeCell ref="N82:N85"/>
    <mergeCell ref="O82:O85"/>
    <mergeCell ref="AB82:AB85"/>
    <mergeCell ref="P82:P85"/>
    <mergeCell ref="W82:W85"/>
    <mergeCell ref="X82:X85"/>
    <mergeCell ref="Y82:Y85"/>
    <mergeCell ref="Z82:Z85"/>
    <mergeCell ref="AA82:AA85"/>
    <mergeCell ref="Y86:Y89"/>
    <mergeCell ref="Z86:Z89"/>
    <mergeCell ref="AA86:AA89"/>
    <mergeCell ref="AB86:AB89"/>
    <mergeCell ref="A90:A93"/>
    <mergeCell ref="H90:H93"/>
    <mergeCell ref="I90:I93"/>
    <mergeCell ref="M90:M93"/>
    <mergeCell ref="N90:N93"/>
    <mergeCell ref="O90:O93"/>
    <mergeCell ref="A86:A89"/>
    <mergeCell ref="H86:H89"/>
    <mergeCell ref="I86:I89"/>
    <mergeCell ref="M86:M89"/>
    <mergeCell ref="N86:N89"/>
    <mergeCell ref="O86:O89"/>
    <mergeCell ref="P86:P89"/>
    <mergeCell ref="W86:W89"/>
    <mergeCell ref="X86:X89"/>
    <mergeCell ref="Y94:Y97"/>
    <mergeCell ref="Z94:Z97"/>
    <mergeCell ref="AA94:AA97"/>
    <mergeCell ref="AB94:AB97"/>
    <mergeCell ref="C98:D98"/>
    <mergeCell ref="C99:D99"/>
    <mergeCell ref="AB90:AB93"/>
    <mergeCell ref="A94:A97"/>
    <mergeCell ref="H94:H97"/>
    <mergeCell ref="I94:I97"/>
    <mergeCell ref="M94:M97"/>
    <mergeCell ref="N94:N97"/>
    <mergeCell ref="O94:O97"/>
    <mergeCell ref="P94:P97"/>
    <mergeCell ref="W94:W97"/>
    <mergeCell ref="X94:X97"/>
    <mergeCell ref="P90:P93"/>
    <mergeCell ref="W90:W93"/>
    <mergeCell ref="X90:X93"/>
    <mergeCell ref="Y90:Y93"/>
    <mergeCell ref="Z90:Z93"/>
    <mergeCell ref="AA90:AA93"/>
    <mergeCell ref="C112:D112"/>
    <mergeCell ref="C113:D113"/>
    <mergeCell ref="C106:D106"/>
    <mergeCell ref="C107:D107"/>
    <mergeCell ref="C108:D108"/>
    <mergeCell ref="C109:D109"/>
    <mergeCell ref="C110:D110"/>
    <mergeCell ref="C111:D111"/>
    <mergeCell ref="C100:D100"/>
    <mergeCell ref="C101:D101"/>
    <mergeCell ref="C102:D102"/>
    <mergeCell ref="C103:D103"/>
    <mergeCell ref="C104:D104"/>
    <mergeCell ref="C105:D10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3A3A-FA05-4CB0-8E36-2BD79269DC01}">
  <dimension ref="A1:AN113"/>
  <sheetViews>
    <sheetView topLeftCell="P1" workbookViewId="0">
      <selection activeCell="AG6" sqref="AG6:AN8"/>
    </sheetView>
  </sheetViews>
  <sheetFormatPr defaultRowHeight="15" x14ac:dyDescent="0.25"/>
  <cols>
    <col min="5" max="5" width="49.42578125" customWidth="1"/>
    <col min="8" max="8" width="14" customWidth="1"/>
    <col min="9" max="9" width="18.28515625" customWidth="1"/>
    <col min="13" max="13" width="17.28515625" customWidth="1"/>
    <col min="17" max="17" width="36.28515625" customWidth="1"/>
    <col min="30" max="30" width="16.42578125" customWidth="1"/>
  </cols>
  <sheetData>
    <row r="1" spans="1:40" ht="15.75" thickBot="1" x14ac:dyDescent="0.3">
      <c r="A1" s="1"/>
      <c r="B1" s="4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6" t="s">
        <v>428</v>
      </c>
      <c r="I1" s="6" t="s">
        <v>429</v>
      </c>
      <c r="J1" s="7" t="s">
        <v>430</v>
      </c>
      <c r="K1" s="7" t="s">
        <v>431</v>
      </c>
      <c r="L1" s="8" t="s">
        <v>432</v>
      </c>
      <c r="M1" s="8" t="s">
        <v>433</v>
      </c>
      <c r="N1" s="4" t="s">
        <v>434</v>
      </c>
      <c r="O1" s="5"/>
      <c r="P1" s="5" t="s">
        <v>435</v>
      </c>
      <c r="Q1" s="5" t="s">
        <v>63</v>
      </c>
      <c r="R1" s="5" t="s">
        <v>64</v>
      </c>
      <c r="S1" s="5" t="s">
        <v>65</v>
      </c>
      <c r="T1" s="5" t="s">
        <v>66</v>
      </c>
      <c r="U1" s="5" t="s">
        <v>67</v>
      </c>
      <c r="V1" s="7" t="s">
        <v>68</v>
      </c>
      <c r="W1" s="5" t="s">
        <v>436</v>
      </c>
      <c r="X1" s="8" t="s">
        <v>437</v>
      </c>
      <c r="Y1" s="9" t="s">
        <v>438</v>
      </c>
      <c r="Z1" s="9" t="s">
        <v>439</v>
      </c>
      <c r="AA1" s="10" t="s">
        <v>440</v>
      </c>
      <c r="AB1" s="1"/>
      <c r="AC1" s="9" t="s">
        <v>441</v>
      </c>
      <c r="AD1" s="1"/>
      <c r="AE1" s="1"/>
    </row>
    <row r="2" spans="1:40" x14ac:dyDescent="0.25">
      <c r="A2" s="100"/>
      <c r="B2" s="9">
        <v>337</v>
      </c>
      <c r="C2" s="9" t="s">
        <v>386</v>
      </c>
      <c r="D2" s="9" t="s">
        <v>103</v>
      </c>
      <c r="E2" s="9" t="s">
        <v>104</v>
      </c>
      <c r="F2" s="9" t="s">
        <v>332</v>
      </c>
      <c r="G2" s="9" t="s">
        <v>106</v>
      </c>
      <c r="H2" s="9"/>
      <c r="I2" s="9"/>
      <c r="J2" s="9">
        <v>23.096</v>
      </c>
      <c r="K2" s="9">
        <v>18.398</v>
      </c>
      <c r="L2" s="11"/>
      <c r="M2" s="104">
        <f>AVERAGE(J2:J5)</f>
        <v>23.071750000000002</v>
      </c>
      <c r="N2" s="104">
        <f>AVERAGE(K2:K5)</f>
        <v>18.297750000000001</v>
      </c>
      <c r="O2" s="104"/>
      <c r="P2" s="89">
        <f>GEOMEAN(M2,N2)</f>
        <v>20.546559652713153</v>
      </c>
      <c r="Q2" s="1" t="s">
        <v>104</v>
      </c>
      <c r="R2" s="1" t="s">
        <v>158</v>
      </c>
      <c r="S2" s="1" t="s">
        <v>106</v>
      </c>
      <c r="T2" s="1" t="s">
        <v>107</v>
      </c>
      <c r="U2" s="1" t="s">
        <v>108</v>
      </c>
      <c r="V2" s="1">
        <v>16.344000000000001</v>
      </c>
      <c r="W2" s="96">
        <f>_xlfn.STDEV.S(V2:V5)</f>
        <v>0.11049886877248963</v>
      </c>
      <c r="X2" s="128">
        <f>AVERAGE(V2:V5)</f>
        <v>16.490000000000002</v>
      </c>
      <c r="Y2" s="96">
        <f>X2-P2</f>
        <v>-4.0565596527131511</v>
      </c>
      <c r="Z2" s="96">
        <f>Y2-$AE$2</f>
        <v>-2.5582461957270652E-2</v>
      </c>
      <c r="AA2" s="84">
        <f>2^-Z2</f>
        <v>1.0178905640102769</v>
      </c>
      <c r="AB2" s="150"/>
      <c r="AC2" s="1">
        <f>LOG(AA2,2)</f>
        <v>2.5582461957270704E-2</v>
      </c>
      <c r="AD2" s="153" t="s">
        <v>442</v>
      </c>
      <c r="AE2" s="155">
        <f>AVERAGE(Y2,Y6)</f>
        <v>-4.0309771907558805</v>
      </c>
      <c r="AG2">
        <f>AC2</f>
        <v>2.5582461957270704E-2</v>
      </c>
      <c r="AH2">
        <f>AC6</f>
        <v>-2.5582461957270774E-2</v>
      </c>
      <c r="AJ2">
        <f>AC26</f>
        <v>0.17545230835094841</v>
      </c>
      <c r="AK2">
        <f>AC30</f>
        <v>-0.17545230835094849</v>
      </c>
      <c r="AM2">
        <f>AC50</f>
        <v>2.7887725662969601E-2</v>
      </c>
      <c r="AN2">
        <f>AC54</f>
        <v>-2.7887725662969633E-2</v>
      </c>
    </row>
    <row r="3" spans="1:40" x14ac:dyDescent="0.25">
      <c r="A3" s="101"/>
      <c r="B3" s="1">
        <v>361</v>
      </c>
      <c r="C3" s="1" t="s">
        <v>398</v>
      </c>
      <c r="D3" s="1" t="s">
        <v>103</v>
      </c>
      <c r="E3" s="1" t="s">
        <v>104</v>
      </c>
      <c r="F3" s="1" t="s">
        <v>332</v>
      </c>
      <c r="G3" s="1" t="s">
        <v>106</v>
      </c>
      <c r="H3" s="1"/>
      <c r="I3" s="1"/>
      <c r="J3" s="1">
        <v>23.042999999999999</v>
      </c>
      <c r="K3" s="1">
        <v>18.263999999999999</v>
      </c>
      <c r="L3" s="14"/>
      <c r="M3" s="105"/>
      <c r="N3" s="105"/>
      <c r="O3" s="105"/>
      <c r="P3" s="90"/>
      <c r="Q3" s="1" t="s">
        <v>104</v>
      </c>
      <c r="R3" s="1" t="s">
        <v>158</v>
      </c>
      <c r="S3" s="1" t="s">
        <v>106</v>
      </c>
      <c r="T3" s="1" t="s">
        <v>107</v>
      </c>
      <c r="U3" s="1" t="s">
        <v>108</v>
      </c>
      <c r="V3" s="1">
        <v>16.472999999999999</v>
      </c>
      <c r="W3" s="97"/>
      <c r="X3" s="129"/>
      <c r="Y3" s="97"/>
      <c r="Z3" s="97"/>
      <c r="AA3" s="85"/>
      <c r="AB3" s="151"/>
      <c r="AC3" s="1"/>
      <c r="AD3" s="154"/>
      <c r="AE3" s="156"/>
      <c r="AG3">
        <f>AC10</f>
        <v>-2.8631239689015544</v>
      </c>
      <c r="AH3">
        <f>AC14</f>
        <v>-3.0023267252929746</v>
      </c>
      <c r="AJ3">
        <f>AC34</f>
        <v>-3.194718022373443</v>
      </c>
      <c r="AK3">
        <f>AC38</f>
        <v>-3.2670789036090189</v>
      </c>
      <c r="AM3">
        <f>AC58</f>
        <v>-2.325585214244823</v>
      </c>
      <c r="AN3">
        <f>AC62</f>
        <v>-2.3755556120287888</v>
      </c>
    </row>
    <row r="4" spans="1:40" x14ac:dyDescent="0.25">
      <c r="A4" s="101"/>
      <c r="B4" s="1">
        <v>338</v>
      </c>
      <c r="C4" s="1" t="s">
        <v>387</v>
      </c>
      <c r="D4" s="1" t="s">
        <v>103</v>
      </c>
      <c r="E4" s="1" t="s">
        <v>104</v>
      </c>
      <c r="F4" s="1" t="s">
        <v>332</v>
      </c>
      <c r="G4" s="1" t="s">
        <v>106</v>
      </c>
      <c r="H4" s="1"/>
      <c r="I4" s="1"/>
      <c r="J4" s="1">
        <v>23.064</v>
      </c>
      <c r="K4" s="1">
        <v>18.318999999999999</v>
      </c>
      <c r="L4" s="14"/>
      <c r="M4" s="105"/>
      <c r="N4" s="105"/>
      <c r="O4" s="105"/>
      <c r="P4" s="90"/>
      <c r="Q4" s="1" t="s">
        <v>104</v>
      </c>
      <c r="R4" s="1" t="s">
        <v>158</v>
      </c>
      <c r="S4" s="1" t="s">
        <v>106</v>
      </c>
      <c r="T4" s="1" t="s">
        <v>107</v>
      </c>
      <c r="U4" s="1" t="s">
        <v>108</v>
      </c>
      <c r="V4" s="1">
        <v>16.542000000000002</v>
      </c>
      <c r="W4" s="97"/>
      <c r="X4" s="129"/>
      <c r="Y4" s="97"/>
      <c r="Z4" s="97"/>
      <c r="AA4" s="85"/>
      <c r="AB4" s="151"/>
      <c r="AC4" s="1"/>
      <c r="AD4" s="153" t="s">
        <v>443</v>
      </c>
      <c r="AE4" s="155">
        <f>AVERAGE(Y26,Y30)</f>
        <v>-4.2945390278639941</v>
      </c>
      <c r="AG4">
        <f>AC18</f>
        <v>-0.68398531152271846</v>
      </c>
      <c r="AH4">
        <f>AC22</f>
        <v>-0.59184168419665195</v>
      </c>
      <c r="AJ4">
        <f>AC42</f>
        <v>-1.6858924282304883</v>
      </c>
      <c r="AK4">
        <f>AC46</f>
        <v>-1.0056583562102901</v>
      </c>
      <c r="AM4">
        <f>AC66</f>
        <v>-0.45202100806382894</v>
      </c>
      <c r="AN4">
        <f>AC70</f>
        <v>-0.33322602083728187</v>
      </c>
    </row>
    <row r="5" spans="1:40" ht="15.75" thickBot="1" x14ac:dyDescent="0.3">
      <c r="A5" s="107"/>
      <c r="B5" s="83">
        <v>362</v>
      </c>
      <c r="C5" s="83" t="s">
        <v>399</v>
      </c>
      <c r="D5" s="83" t="s">
        <v>103</v>
      </c>
      <c r="E5" s="83" t="s">
        <v>104</v>
      </c>
      <c r="F5" s="83" t="s">
        <v>332</v>
      </c>
      <c r="G5" s="83" t="s">
        <v>106</v>
      </c>
      <c r="H5" s="83">
        <f>_xlfn.STDEV.S(K2:K5)</f>
        <v>8.0292693731538217E-2</v>
      </c>
      <c r="I5" s="83">
        <f>_xlfn.STDEV.S(J2:J5)</f>
        <v>2.3271943050234237E-2</v>
      </c>
      <c r="J5" s="83">
        <v>23.084</v>
      </c>
      <c r="K5" s="83">
        <v>18.21</v>
      </c>
      <c r="L5" s="17"/>
      <c r="M5" s="108"/>
      <c r="N5" s="108"/>
      <c r="O5" s="108"/>
      <c r="P5" s="109"/>
      <c r="Q5" s="1" t="s">
        <v>104</v>
      </c>
      <c r="R5" s="1" t="s">
        <v>158</v>
      </c>
      <c r="S5" s="1" t="s">
        <v>106</v>
      </c>
      <c r="T5" s="1" t="s">
        <v>107</v>
      </c>
      <c r="U5" s="1" t="s">
        <v>108</v>
      </c>
      <c r="V5" s="1">
        <v>16.600999999999999</v>
      </c>
      <c r="W5" s="98"/>
      <c r="X5" s="130"/>
      <c r="Y5" s="98"/>
      <c r="Z5" s="98"/>
      <c r="AA5" s="86"/>
      <c r="AB5" s="152"/>
      <c r="AC5" s="1"/>
      <c r="AD5" s="154"/>
      <c r="AE5" s="156"/>
      <c r="AF5">
        <v>75</v>
      </c>
      <c r="AI5">
        <v>100</v>
      </c>
      <c r="AL5">
        <v>150</v>
      </c>
    </row>
    <row r="6" spans="1:40" x14ac:dyDescent="0.25">
      <c r="A6" s="101"/>
      <c r="B6" s="9">
        <v>339</v>
      </c>
      <c r="C6" s="9" t="s">
        <v>388</v>
      </c>
      <c r="D6" s="9" t="s">
        <v>103</v>
      </c>
      <c r="E6" s="9" t="s">
        <v>114</v>
      </c>
      <c r="F6" s="9" t="s">
        <v>332</v>
      </c>
      <c r="G6" s="9" t="s">
        <v>106</v>
      </c>
      <c r="H6" s="9"/>
      <c r="I6" s="9"/>
      <c r="J6" s="9">
        <v>22.887</v>
      </c>
      <c r="K6" s="9">
        <v>18.141999999999999</v>
      </c>
      <c r="L6" s="11"/>
      <c r="M6" s="104">
        <f t="shared" ref="M6:N6" si="0">AVERAGE(J6:J9)</f>
        <v>22.817999999999998</v>
      </c>
      <c r="N6" s="104">
        <f t="shared" si="0"/>
        <v>18.093499999999999</v>
      </c>
      <c r="O6" s="104"/>
      <c r="P6" s="89">
        <f t="shared" ref="P6" si="1">GEOMEAN(M6,N6)</f>
        <v>20.318894728798611</v>
      </c>
      <c r="Q6" s="1" t="s">
        <v>114</v>
      </c>
      <c r="R6" s="1" t="s">
        <v>158</v>
      </c>
      <c r="S6" s="1" t="s">
        <v>106</v>
      </c>
      <c r="T6" s="1" t="s">
        <v>107</v>
      </c>
      <c r="U6" s="1" t="s">
        <v>108</v>
      </c>
      <c r="V6" s="1">
        <v>16.225000000000001</v>
      </c>
      <c r="W6" s="96">
        <f t="shared" ref="W6" si="2">_xlfn.STDEV.S(V6:V9)</f>
        <v>7.2399355429911535E-2</v>
      </c>
      <c r="X6" s="128">
        <f t="shared" ref="X6" si="3">AVERAGE(V6:V9)</f>
        <v>16.313500000000001</v>
      </c>
      <c r="Y6" s="96">
        <f t="shared" ref="Y6" si="4">X6-P6</f>
        <v>-4.0053947287986098</v>
      </c>
      <c r="Z6" s="96">
        <f t="shared" ref="Z6" si="5">Y6-$AE$2</f>
        <v>2.5582461957270652E-2</v>
      </c>
      <c r="AA6" s="84">
        <f t="shared" ref="AA6" si="6">2^-Z6</f>
        <v>0.98242388264236202</v>
      </c>
      <c r="AB6" s="157"/>
      <c r="AC6" s="1">
        <f t="shared" ref="AC6" si="7">LOG(AA6,2)</f>
        <v>-2.5582461957270774E-2</v>
      </c>
      <c r="AD6" s="153" t="s">
        <v>444</v>
      </c>
      <c r="AE6" s="159">
        <f>AVERAGE(Y50,Y54)</f>
        <v>-3.9260865395582716</v>
      </c>
      <c r="AG6">
        <f>AM2</f>
        <v>2.7887725662969601E-2</v>
      </c>
      <c r="AH6">
        <f>AN2</f>
        <v>-2.7887725662969633E-2</v>
      </c>
      <c r="AJ6">
        <f>AG2</f>
        <v>2.5582461957270704E-2</v>
      </c>
      <c r="AK6">
        <f>AH2</f>
        <v>-2.5582461957270774E-2</v>
      </c>
      <c r="AM6">
        <f>AJ2</f>
        <v>0.17545230835094841</v>
      </c>
      <c r="AN6">
        <f>AK2</f>
        <v>-0.17545230835094849</v>
      </c>
    </row>
    <row r="7" spans="1:40" x14ac:dyDescent="0.25">
      <c r="A7" s="101"/>
      <c r="B7" s="1">
        <v>363</v>
      </c>
      <c r="C7" s="1" t="s">
        <v>400</v>
      </c>
      <c r="D7" s="1" t="s">
        <v>103</v>
      </c>
      <c r="E7" s="1" t="s">
        <v>114</v>
      </c>
      <c r="F7" s="1" t="s">
        <v>332</v>
      </c>
      <c r="G7" s="1" t="s">
        <v>106</v>
      </c>
      <c r="H7" s="1"/>
      <c r="I7" s="1"/>
      <c r="J7" s="1">
        <v>22.777999999999999</v>
      </c>
      <c r="K7" s="1">
        <v>18.074000000000002</v>
      </c>
      <c r="L7" s="14"/>
      <c r="M7" s="105"/>
      <c r="N7" s="105"/>
      <c r="O7" s="105"/>
      <c r="P7" s="90"/>
      <c r="Q7" s="1" t="s">
        <v>114</v>
      </c>
      <c r="R7" s="1" t="s">
        <v>158</v>
      </c>
      <c r="S7" s="1" t="s">
        <v>106</v>
      </c>
      <c r="T7" s="1" t="s">
        <v>107</v>
      </c>
      <c r="U7" s="1" t="s">
        <v>108</v>
      </c>
      <c r="V7" s="1">
        <v>16.353999999999999</v>
      </c>
      <c r="W7" s="97"/>
      <c r="X7" s="129"/>
      <c r="Y7" s="97"/>
      <c r="Z7" s="97"/>
      <c r="AA7" s="85"/>
      <c r="AB7" s="157"/>
      <c r="AC7" s="1"/>
      <c r="AD7" s="154"/>
      <c r="AE7" s="142"/>
      <c r="AG7">
        <f t="shared" ref="AG7:AH8" si="8">AM3</f>
        <v>-2.325585214244823</v>
      </c>
      <c r="AH7">
        <f t="shared" si="8"/>
        <v>-2.3755556120287888</v>
      </c>
      <c r="AJ7">
        <f t="shared" ref="AJ7:AK8" si="9">AG3</f>
        <v>-2.8631239689015544</v>
      </c>
      <c r="AK7">
        <f t="shared" si="9"/>
        <v>-3.0023267252929746</v>
      </c>
      <c r="AM7">
        <f t="shared" ref="AM7:AN8" si="10">AJ3</f>
        <v>-3.194718022373443</v>
      </c>
      <c r="AN7">
        <f t="shared" si="10"/>
        <v>-3.2670789036090189</v>
      </c>
    </row>
    <row r="8" spans="1:40" x14ac:dyDescent="0.25">
      <c r="A8" s="101"/>
      <c r="B8" s="1">
        <v>340</v>
      </c>
      <c r="C8" s="1" t="s">
        <v>389</v>
      </c>
      <c r="D8" s="1" t="s">
        <v>103</v>
      </c>
      <c r="E8" s="1" t="s">
        <v>114</v>
      </c>
      <c r="F8" s="1" t="s">
        <v>332</v>
      </c>
      <c r="G8" s="1" t="s">
        <v>106</v>
      </c>
      <c r="H8" s="1"/>
      <c r="I8" s="1"/>
      <c r="J8" s="1">
        <v>22.84</v>
      </c>
      <c r="K8" s="1">
        <v>18.117000000000001</v>
      </c>
      <c r="L8" s="14"/>
      <c r="M8" s="105"/>
      <c r="N8" s="105"/>
      <c r="O8" s="105"/>
      <c r="P8" s="90"/>
      <c r="Q8" s="1" t="s">
        <v>114</v>
      </c>
      <c r="R8" s="1" t="s">
        <v>158</v>
      </c>
      <c r="S8" s="1" t="s">
        <v>106</v>
      </c>
      <c r="T8" s="1" t="s">
        <v>107</v>
      </c>
      <c r="U8" s="1" t="s">
        <v>108</v>
      </c>
      <c r="V8" s="1">
        <v>16.286999999999999</v>
      </c>
      <c r="W8" s="97"/>
      <c r="X8" s="129"/>
      <c r="Y8" s="97"/>
      <c r="Z8" s="97"/>
      <c r="AA8" s="85"/>
      <c r="AB8" s="157"/>
      <c r="AC8" s="1"/>
      <c r="AD8" s="143"/>
      <c r="AE8" s="142"/>
      <c r="AG8">
        <f t="shared" si="8"/>
        <v>-0.45202100806382894</v>
      </c>
      <c r="AH8">
        <f t="shared" si="8"/>
        <v>-0.33322602083728187</v>
      </c>
      <c r="AJ8">
        <f t="shared" si="9"/>
        <v>-0.68398531152271846</v>
      </c>
      <c r="AK8">
        <f t="shared" si="9"/>
        <v>-0.59184168419665195</v>
      </c>
      <c r="AM8">
        <f t="shared" si="10"/>
        <v>-1.6858924282304883</v>
      </c>
      <c r="AN8">
        <f t="shared" si="10"/>
        <v>-1.0056583562102901</v>
      </c>
    </row>
    <row r="9" spans="1:40" ht="15.75" thickBot="1" x14ac:dyDescent="0.3">
      <c r="A9" s="107"/>
      <c r="B9" s="83">
        <v>364</v>
      </c>
      <c r="C9" s="83" t="s">
        <v>401</v>
      </c>
      <c r="D9" s="83" t="s">
        <v>103</v>
      </c>
      <c r="E9" s="83" t="s">
        <v>114</v>
      </c>
      <c r="F9" s="83" t="s">
        <v>332</v>
      </c>
      <c r="G9" s="83" t="s">
        <v>106</v>
      </c>
      <c r="H9" s="83">
        <f t="shared" ref="H9" si="11">_xlfn.STDEV.S(K6:K9)</f>
        <v>4.4873897386639251E-2</v>
      </c>
      <c r="I9" s="83">
        <f t="shared" ref="I9" si="12">_xlfn.STDEV.S(J6:J9)</f>
        <v>5.6112981266964762E-2</v>
      </c>
      <c r="J9" s="83">
        <v>22.766999999999999</v>
      </c>
      <c r="K9" s="83">
        <v>18.041</v>
      </c>
      <c r="L9" s="17"/>
      <c r="M9" s="108"/>
      <c r="N9" s="108"/>
      <c r="O9" s="108"/>
      <c r="P9" s="109"/>
      <c r="Q9" s="1" t="s">
        <v>114</v>
      </c>
      <c r="R9" s="1" t="s">
        <v>158</v>
      </c>
      <c r="S9" s="1" t="s">
        <v>106</v>
      </c>
      <c r="T9" s="1" t="s">
        <v>107</v>
      </c>
      <c r="U9" s="1" t="s">
        <v>108</v>
      </c>
      <c r="V9" s="1">
        <v>16.388000000000002</v>
      </c>
      <c r="W9" s="98"/>
      <c r="X9" s="130"/>
      <c r="Y9" s="98"/>
      <c r="Z9" s="98"/>
      <c r="AA9" s="86"/>
      <c r="AB9" s="158"/>
      <c r="AC9" s="1"/>
      <c r="AD9" s="143"/>
      <c r="AE9" s="142"/>
    </row>
    <row r="10" spans="1:40" x14ac:dyDescent="0.25">
      <c r="A10" s="100"/>
      <c r="B10" s="9">
        <v>341</v>
      </c>
      <c r="C10" s="9" t="s">
        <v>390</v>
      </c>
      <c r="D10" s="9" t="s">
        <v>103</v>
      </c>
      <c r="E10" s="9" t="s">
        <v>117</v>
      </c>
      <c r="F10" s="9" t="s">
        <v>332</v>
      </c>
      <c r="G10" s="9" t="s">
        <v>106</v>
      </c>
      <c r="H10" s="9"/>
      <c r="I10" s="9"/>
      <c r="J10" s="9">
        <v>22.46</v>
      </c>
      <c r="K10" s="9">
        <v>17.544</v>
      </c>
      <c r="L10" s="11"/>
      <c r="M10" s="104">
        <f t="shared" ref="M10:N10" si="13">AVERAGE(J10:J13)</f>
        <v>22.5335</v>
      </c>
      <c r="N10" s="104">
        <f t="shared" si="13"/>
        <v>17.604499999999998</v>
      </c>
      <c r="O10" s="104"/>
      <c r="P10" s="89">
        <f t="shared" ref="P10" si="14">GEOMEAN(M10,N10)</f>
        <v>19.917103221854326</v>
      </c>
      <c r="Q10" s="1" t="s">
        <v>117</v>
      </c>
      <c r="R10" s="1" t="s">
        <v>158</v>
      </c>
      <c r="S10" s="1" t="s">
        <v>106</v>
      </c>
      <c r="T10" s="1" t="s">
        <v>107</v>
      </c>
      <c r="U10" s="1" t="s">
        <v>108</v>
      </c>
      <c r="V10" s="1">
        <v>18.847999999999999</v>
      </c>
      <c r="W10" s="96">
        <f t="shared" ref="W10" si="15">_xlfn.STDEV.S(V10:V13)</f>
        <v>8.6125393080863269E-2</v>
      </c>
      <c r="X10" s="128">
        <f t="shared" ref="X10" si="16">AVERAGE(V10:V13)</f>
        <v>18.74925</v>
      </c>
      <c r="Y10" s="96">
        <f t="shared" ref="Y10" si="17">X10-P10</f>
        <v>-1.1678532218543261</v>
      </c>
      <c r="Z10" s="96">
        <f t="shared" ref="Z10" si="18">Y10-$AE$2</f>
        <v>2.8631239689015544</v>
      </c>
      <c r="AA10" s="84">
        <f t="shared" ref="AA10" si="19">2^-Z10</f>
        <v>0.13744020809922688</v>
      </c>
      <c r="AB10" s="147"/>
      <c r="AC10" s="1">
        <f t="shared" ref="AC10" si="20">LOG(AA10,2)</f>
        <v>-2.8631239689015544</v>
      </c>
      <c r="AD10" s="143"/>
      <c r="AE10" s="142"/>
    </row>
    <row r="11" spans="1:40" x14ac:dyDescent="0.25">
      <c r="A11" s="101"/>
      <c r="B11" s="1">
        <v>365</v>
      </c>
      <c r="C11" s="1" t="s">
        <v>402</v>
      </c>
      <c r="D11" s="1" t="s">
        <v>103</v>
      </c>
      <c r="E11" s="1" t="s">
        <v>117</v>
      </c>
      <c r="F11" s="1" t="s">
        <v>332</v>
      </c>
      <c r="G11" s="1" t="s">
        <v>106</v>
      </c>
      <c r="H11" s="1"/>
      <c r="I11" s="1"/>
      <c r="J11" s="1">
        <v>22.52</v>
      </c>
      <c r="K11" s="1">
        <v>17.760999999999999</v>
      </c>
      <c r="L11" s="14"/>
      <c r="M11" s="105"/>
      <c r="N11" s="105"/>
      <c r="O11" s="105"/>
      <c r="P11" s="90"/>
      <c r="Q11" s="1" t="s">
        <v>117</v>
      </c>
      <c r="R11" s="1" t="s">
        <v>158</v>
      </c>
      <c r="S11" s="1" t="s">
        <v>106</v>
      </c>
      <c r="T11" s="1" t="s">
        <v>107</v>
      </c>
      <c r="U11" s="1" t="s">
        <v>108</v>
      </c>
      <c r="V11" s="1">
        <v>18.785</v>
      </c>
      <c r="W11" s="97"/>
      <c r="X11" s="129"/>
      <c r="Y11" s="97"/>
      <c r="Z11" s="97"/>
      <c r="AA11" s="85"/>
      <c r="AB11" s="148"/>
      <c r="AC11" s="1"/>
      <c r="AD11" s="143"/>
      <c r="AE11" s="142"/>
    </row>
    <row r="12" spans="1:40" x14ac:dyDescent="0.25">
      <c r="A12" s="101"/>
      <c r="B12" s="1">
        <v>342</v>
      </c>
      <c r="C12" s="1" t="s">
        <v>391</v>
      </c>
      <c r="D12" s="1" t="s">
        <v>103</v>
      </c>
      <c r="E12" s="1" t="s">
        <v>117</v>
      </c>
      <c r="F12" s="1" t="s">
        <v>332</v>
      </c>
      <c r="G12" s="1" t="s">
        <v>106</v>
      </c>
      <c r="H12" s="1"/>
      <c r="I12" s="1"/>
      <c r="J12" s="1">
        <v>22.559000000000001</v>
      </c>
      <c r="K12" s="1">
        <v>17.477</v>
      </c>
      <c r="L12" s="14"/>
      <c r="M12" s="105"/>
      <c r="N12" s="105"/>
      <c r="O12" s="105"/>
      <c r="P12" s="90"/>
      <c r="Q12" s="1" t="s">
        <v>117</v>
      </c>
      <c r="R12" s="1" t="s">
        <v>158</v>
      </c>
      <c r="S12" s="1" t="s">
        <v>106</v>
      </c>
      <c r="T12" s="1" t="s">
        <v>107</v>
      </c>
      <c r="U12" s="1" t="s">
        <v>108</v>
      </c>
      <c r="V12" s="1">
        <v>18.715</v>
      </c>
      <c r="W12" s="97"/>
      <c r="X12" s="129"/>
      <c r="Y12" s="97"/>
      <c r="Z12" s="97"/>
      <c r="AA12" s="85"/>
      <c r="AB12" s="148"/>
      <c r="AC12" s="1"/>
      <c r="AD12" s="143"/>
      <c r="AE12" s="142"/>
    </row>
    <row r="13" spans="1:40" ht="15.75" thickBot="1" x14ac:dyDescent="0.3">
      <c r="A13" s="107"/>
      <c r="B13" s="83">
        <v>366</v>
      </c>
      <c r="C13" s="83" t="s">
        <v>403</v>
      </c>
      <c r="D13" s="83" t="s">
        <v>103</v>
      </c>
      <c r="E13" s="83" t="s">
        <v>117</v>
      </c>
      <c r="F13" s="83" t="s">
        <v>332</v>
      </c>
      <c r="G13" s="83" t="s">
        <v>106</v>
      </c>
      <c r="H13" s="83">
        <f t="shared" ref="H13" si="21">_xlfn.STDEV.S(K10:K13)</f>
        <v>0.12301896872704846</v>
      </c>
      <c r="I13" s="83">
        <f t="shared" ref="I13" si="22">_xlfn.STDEV.S(J10:J13)</f>
        <v>5.7784080852774096E-2</v>
      </c>
      <c r="J13" s="83">
        <v>22.594999999999999</v>
      </c>
      <c r="K13" s="83">
        <v>17.635999999999999</v>
      </c>
      <c r="L13" s="17"/>
      <c r="M13" s="108"/>
      <c r="N13" s="108"/>
      <c r="O13" s="108"/>
      <c r="P13" s="109"/>
      <c r="Q13" s="1" t="s">
        <v>117</v>
      </c>
      <c r="R13" s="1" t="s">
        <v>158</v>
      </c>
      <c r="S13" s="1" t="s">
        <v>106</v>
      </c>
      <c r="T13" s="1" t="s">
        <v>107</v>
      </c>
      <c r="U13" s="1" t="s">
        <v>108</v>
      </c>
      <c r="V13" s="1">
        <v>18.649000000000001</v>
      </c>
      <c r="W13" s="98"/>
      <c r="X13" s="130"/>
      <c r="Y13" s="98"/>
      <c r="Z13" s="98"/>
      <c r="AA13" s="86"/>
      <c r="AB13" s="149"/>
      <c r="AC13" s="1"/>
      <c r="AD13" s="143"/>
      <c r="AE13" s="142"/>
    </row>
    <row r="14" spans="1:40" x14ac:dyDescent="0.25">
      <c r="A14" s="100"/>
      <c r="B14" s="9">
        <v>343</v>
      </c>
      <c r="C14" s="9" t="s">
        <v>392</v>
      </c>
      <c r="D14" s="9" t="s">
        <v>103</v>
      </c>
      <c r="E14" s="9" t="s">
        <v>120</v>
      </c>
      <c r="F14" s="9" t="s">
        <v>332</v>
      </c>
      <c r="G14" s="9" t="s">
        <v>106</v>
      </c>
      <c r="H14" s="9"/>
      <c r="I14" s="9"/>
      <c r="J14" s="9">
        <v>22.733000000000001</v>
      </c>
      <c r="K14" s="9">
        <v>17.564</v>
      </c>
      <c r="L14" s="11"/>
      <c r="M14" s="104">
        <f t="shared" ref="M14:N14" si="23">AVERAGE(J14:J17)</f>
        <v>22.652999999999999</v>
      </c>
      <c r="N14" s="104">
        <f t="shared" si="23"/>
        <v>17.67475</v>
      </c>
      <c r="O14" s="104"/>
      <c r="P14" s="89">
        <f t="shared" ref="P14" si="24">GEOMEAN(M14,N14)</f>
        <v>20.009650465462908</v>
      </c>
      <c r="Q14" s="1" t="s">
        <v>120</v>
      </c>
      <c r="R14" s="1" t="s">
        <v>158</v>
      </c>
      <c r="S14" s="1" t="s">
        <v>106</v>
      </c>
      <c r="T14" s="1" t="s">
        <v>107</v>
      </c>
      <c r="U14" s="1" t="s">
        <v>108</v>
      </c>
      <c r="V14" s="1">
        <v>18.881</v>
      </c>
      <c r="W14" s="96">
        <f t="shared" ref="W14" si="25">_xlfn.STDEV.S(V14:V17)</f>
        <v>9.7049815387081892E-2</v>
      </c>
      <c r="X14" s="128">
        <f t="shared" ref="X14" si="26">AVERAGE(V14:V17)</f>
        <v>18.981000000000002</v>
      </c>
      <c r="Y14" s="96">
        <f t="shared" ref="Y14" si="27">X14-P14</f>
        <v>-1.0286504654629063</v>
      </c>
      <c r="Z14" s="96">
        <f t="shared" ref="Z14" si="28">Y14-$AE$2</f>
        <v>3.0023267252929742</v>
      </c>
      <c r="AA14" s="84">
        <f t="shared" ref="AA14" si="29">2^-Z14</f>
        <v>0.1247985670908445</v>
      </c>
      <c r="AB14" s="147"/>
      <c r="AC14" s="1">
        <f t="shared" ref="AC14" si="30">LOG(AA14,2)</f>
        <v>-3.0023267252929746</v>
      </c>
      <c r="AD14" s="143"/>
      <c r="AE14" s="142"/>
    </row>
    <row r="15" spans="1:40" x14ac:dyDescent="0.25">
      <c r="A15" s="101"/>
      <c r="B15" s="1">
        <v>367</v>
      </c>
      <c r="C15" s="1" t="s">
        <v>404</v>
      </c>
      <c r="D15" s="1" t="s">
        <v>103</v>
      </c>
      <c r="E15" s="1" t="s">
        <v>120</v>
      </c>
      <c r="F15" s="1" t="s">
        <v>332</v>
      </c>
      <c r="G15" s="1" t="s">
        <v>106</v>
      </c>
      <c r="H15" s="1"/>
      <c r="I15" s="1"/>
      <c r="J15" s="1">
        <v>22.678000000000001</v>
      </c>
      <c r="K15" s="1">
        <v>17.535</v>
      </c>
      <c r="L15" s="14"/>
      <c r="M15" s="105"/>
      <c r="N15" s="105"/>
      <c r="O15" s="105"/>
      <c r="P15" s="90"/>
      <c r="Q15" s="1" t="s">
        <v>120</v>
      </c>
      <c r="R15" s="1" t="s">
        <v>158</v>
      </c>
      <c r="S15" s="1" t="s">
        <v>106</v>
      </c>
      <c r="T15" s="1" t="s">
        <v>107</v>
      </c>
      <c r="U15" s="1" t="s">
        <v>108</v>
      </c>
      <c r="V15" s="1">
        <v>19.004999999999999</v>
      </c>
      <c r="W15" s="97"/>
      <c r="X15" s="129"/>
      <c r="Y15" s="97"/>
      <c r="Z15" s="97"/>
      <c r="AA15" s="85"/>
      <c r="AB15" s="148"/>
      <c r="AC15" s="1"/>
      <c r="AD15" s="143"/>
      <c r="AE15" s="142"/>
    </row>
    <row r="16" spans="1:40" x14ac:dyDescent="0.25">
      <c r="A16" s="101"/>
      <c r="B16" s="1">
        <v>344</v>
      </c>
      <c r="C16" s="1" t="s">
        <v>393</v>
      </c>
      <c r="D16" s="1" t="s">
        <v>103</v>
      </c>
      <c r="E16" s="1" t="s">
        <v>120</v>
      </c>
      <c r="F16" s="1" t="s">
        <v>332</v>
      </c>
      <c r="G16" s="1" t="s">
        <v>106</v>
      </c>
      <c r="H16" s="1"/>
      <c r="I16" s="1"/>
      <c r="J16" s="1">
        <v>22.619</v>
      </c>
      <c r="K16" s="1">
        <v>17.882999999999999</v>
      </c>
      <c r="L16" s="14"/>
      <c r="M16" s="105"/>
      <c r="N16" s="105"/>
      <c r="O16" s="105"/>
      <c r="P16" s="90"/>
      <c r="Q16" s="1" t="s">
        <v>120</v>
      </c>
      <c r="R16" s="1" t="s">
        <v>158</v>
      </c>
      <c r="S16" s="1" t="s">
        <v>106</v>
      </c>
      <c r="T16" s="1" t="s">
        <v>107</v>
      </c>
      <c r="U16" s="1" t="s">
        <v>108</v>
      </c>
      <c r="V16" s="1">
        <v>19.105</v>
      </c>
      <c r="W16" s="97"/>
      <c r="X16" s="129"/>
      <c r="Y16" s="97"/>
      <c r="Z16" s="97"/>
      <c r="AA16" s="85"/>
      <c r="AB16" s="148"/>
      <c r="AC16" s="1"/>
      <c r="AD16" s="143"/>
      <c r="AE16" s="142"/>
    </row>
    <row r="17" spans="1:31" ht="15.75" thickBot="1" x14ac:dyDescent="0.3">
      <c r="A17" s="107"/>
      <c r="B17" s="83">
        <v>368</v>
      </c>
      <c r="C17" s="83" t="s">
        <v>405</v>
      </c>
      <c r="D17" s="83" t="s">
        <v>103</v>
      </c>
      <c r="E17" s="83" t="s">
        <v>120</v>
      </c>
      <c r="F17" s="83" t="s">
        <v>332</v>
      </c>
      <c r="G17" s="83" t="s">
        <v>106</v>
      </c>
      <c r="H17" s="83">
        <f t="shared" ref="H17" si="31">_xlfn.STDEV.S(K14:K17)</f>
        <v>0.16015487296155917</v>
      </c>
      <c r="I17" s="83">
        <f t="shared" ref="I17" si="32">_xlfn.STDEV.S(J14:J17)</f>
        <v>6.6387749874004212E-2</v>
      </c>
      <c r="J17" s="83">
        <v>22.582000000000001</v>
      </c>
      <c r="K17" s="83">
        <v>17.716999999999999</v>
      </c>
      <c r="L17" s="17"/>
      <c r="M17" s="108"/>
      <c r="N17" s="108"/>
      <c r="O17" s="108"/>
      <c r="P17" s="109"/>
      <c r="Q17" s="1" t="s">
        <v>120</v>
      </c>
      <c r="R17" s="1" t="s">
        <v>158</v>
      </c>
      <c r="S17" s="1" t="s">
        <v>106</v>
      </c>
      <c r="T17" s="1" t="s">
        <v>107</v>
      </c>
      <c r="U17" s="1" t="s">
        <v>108</v>
      </c>
      <c r="V17" s="1">
        <v>18.933</v>
      </c>
      <c r="W17" s="98"/>
      <c r="X17" s="130"/>
      <c r="Y17" s="98"/>
      <c r="Z17" s="98"/>
      <c r="AA17" s="86"/>
      <c r="AB17" s="149"/>
      <c r="AC17" s="1"/>
      <c r="AD17" s="143"/>
      <c r="AE17" s="142"/>
    </row>
    <row r="18" spans="1:31" x14ac:dyDescent="0.25">
      <c r="A18" s="100"/>
      <c r="B18" s="9">
        <v>345</v>
      </c>
      <c r="C18" s="9" t="s">
        <v>394</v>
      </c>
      <c r="D18" s="9" t="s">
        <v>103</v>
      </c>
      <c r="E18" s="9" t="s">
        <v>123</v>
      </c>
      <c r="F18" s="9" t="s">
        <v>332</v>
      </c>
      <c r="G18" s="9" t="s">
        <v>106</v>
      </c>
      <c r="H18" s="9"/>
      <c r="I18" s="9"/>
      <c r="J18" s="9">
        <v>23.177</v>
      </c>
      <c r="K18" s="9">
        <v>18.623999999999999</v>
      </c>
      <c r="L18" s="11"/>
      <c r="M18" s="104">
        <f t="shared" ref="M18:N18" si="33">AVERAGE(J18:J21)</f>
        <v>23.083500000000001</v>
      </c>
      <c r="N18" s="104">
        <f t="shared" si="33"/>
        <v>18.561250000000001</v>
      </c>
      <c r="O18" s="104"/>
      <c r="P18" s="89">
        <f t="shared" ref="P18" si="34">GEOMEAN(M18,N18)</f>
        <v>20.699241879233163</v>
      </c>
      <c r="Q18" s="1" t="s">
        <v>123</v>
      </c>
      <c r="R18" s="1" t="s">
        <v>158</v>
      </c>
      <c r="S18" s="1" t="s">
        <v>106</v>
      </c>
      <c r="T18" s="1" t="s">
        <v>107</v>
      </c>
      <c r="U18" s="1" t="s">
        <v>108</v>
      </c>
      <c r="V18" s="1">
        <v>17.315000000000001</v>
      </c>
      <c r="W18" s="96">
        <f t="shared" ref="W18" si="35">_xlfn.STDEV.S(V18:V21)</f>
        <v>0.12418098351465379</v>
      </c>
      <c r="X18" s="128">
        <f t="shared" ref="X18" si="36">AVERAGE(V18:V21)</f>
        <v>17.352250000000002</v>
      </c>
      <c r="Y18" s="96">
        <f t="shared" ref="Y18" si="37">X18-P18</f>
        <v>-3.3469918792331619</v>
      </c>
      <c r="Z18" s="96">
        <f t="shared" ref="Z18" si="38">Y18-$AE$2</f>
        <v>0.68398531152271858</v>
      </c>
      <c r="AA18" s="84">
        <f t="shared" ref="AA18" si="39">2^-Z18</f>
        <v>0.62244345492781594</v>
      </c>
      <c r="AB18" s="144"/>
      <c r="AC18" s="1">
        <f t="shared" ref="AC18" si="40">LOG(AA18,2)</f>
        <v>-0.68398531152271846</v>
      </c>
      <c r="AD18" s="143"/>
      <c r="AE18" s="142"/>
    </row>
    <row r="19" spans="1:31" x14ac:dyDescent="0.25">
      <c r="A19" s="101"/>
      <c r="B19" s="1">
        <v>369</v>
      </c>
      <c r="C19" s="1" t="s">
        <v>406</v>
      </c>
      <c r="D19" s="1" t="s">
        <v>103</v>
      </c>
      <c r="E19" s="1" t="s">
        <v>123</v>
      </c>
      <c r="F19" s="1" t="s">
        <v>332</v>
      </c>
      <c r="G19" s="1" t="s">
        <v>106</v>
      </c>
      <c r="H19" s="1"/>
      <c r="I19" s="1"/>
      <c r="J19" s="1">
        <v>23.096</v>
      </c>
      <c r="K19" s="1">
        <v>18.565999999999999</v>
      </c>
      <c r="L19" s="14"/>
      <c r="M19" s="105"/>
      <c r="N19" s="105"/>
      <c r="O19" s="105"/>
      <c r="P19" s="90"/>
      <c r="Q19" s="1" t="s">
        <v>123</v>
      </c>
      <c r="R19" s="1" t="s">
        <v>158</v>
      </c>
      <c r="S19" s="1" t="s">
        <v>106</v>
      </c>
      <c r="T19" s="1" t="s">
        <v>107</v>
      </c>
      <c r="U19" s="1" t="s">
        <v>108</v>
      </c>
      <c r="V19" s="1">
        <v>17.506</v>
      </c>
      <c r="W19" s="97"/>
      <c r="X19" s="129"/>
      <c r="Y19" s="97"/>
      <c r="Z19" s="97"/>
      <c r="AA19" s="85"/>
      <c r="AB19" s="145"/>
      <c r="AC19" s="1"/>
      <c r="AD19" s="143"/>
      <c r="AE19" s="142"/>
    </row>
    <row r="20" spans="1:31" x14ac:dyDescent="0.25">
      <c r="A20" s="101"/>
      <c r="B20" s="1">
        <v>346</v>
      </c>
      <c r="C20" s="1" t="s">
        <v>395</v>
      </c>
      <c r="D20" s="1" t="s">
        <v>103</v>
      </c>
      <c r="E20" s="1" t="s">
        <v>123</v>
      </c>
      <c r="F20" s="1" t="s">
        <v>332</v>
      </c>
      <c r="G20" s="1" t="s">
        <v>106</v>
      </c>
      <c r="H20" s="1"/>
      <c r="I20" s="1"/>
      <c r="J20" s="1">
        <v>22.966999999999999</v>
      </c>
      <c r="K20" s="1">
        <v>18.457000000000001</v>
      </c>
      <c r="L20" s="14"/>
      <c r="M20" s="105"/>
      <c r="N20" s="105"/>
      <c r="O20" s="105"/>
      <c r="P20" s="90"/>
      <c r="Q20" s="1" t="s">
        <v>123</v>
      </c>
      <c r="R20" s="1" t="s">
        <v>158</v>
      </c>
      <c r="S20" s="1" t="s">
        <v>106</v>
      </c>
      <c r="T20" s="1" t="s">
        <v>107</v>
      </c>
      <c r="U20" s="1" t="s">
        <v>108</v>
      </c>
      <c r="V20" s="1">
        <v>17.379000000000001</v>
      </c>
      <c r="W20" s="97"/>
      <c r="X20" s="129"/>
      <c r="Y20" s="97"/>
      <c r="Z20" s="97"/>
      <c r="AA20" s="85"/>
      <c r="AB20" s="145"/>
      <c r="AC20" s="1"/>
      <c r="AD20" s="143"/>
      <c r="AE20" s="142"/>
    </row>
    <row r="21" spans="1:31" ht="15.75" thickBot="1" x14ac:dyDescent="0.3">
      <c r="A21" s="107"/>
      <c r="B21" s="83">
        <v>370</v>
      </c>
      <c r="C21" s="83" t="s">
        <v>407</v>
      </c>
      <c r="D21" s="83" t="s">
        <v>103</v>
      </c>
      <c r="E21" s="83" t="s">
        <v>123</v>
      </c>
      <c r="F21" s="83" t="s">
        <v>332</v>
      </c>
      <c r="G21" s="83" t="s">
        <v>106</v>
      </c>
      <c r="H21" s="83">
        <f t="shared" ref="H21" si="41">_xlfn.STDEV.S(K18:K21)</f>
        <v>7.3436480489376232E-2</v>
      </c>
      <c r="I21" s="83">
        <f t="shared" ref="I21" si="42">_xlfn.STDEV.S(J18:J21)</f>
        <v>8.675828490697636E-2</v>
      </c>
      <c r="J21" s="83">
        <v>23.094000000000001</v>
      </c>
      <c r="K21" s="83">
        <v>18.597999999999999</v>
      </c>
      <c r="L21" s="17"/>
      <c r="M21" s="108"/>
      <c r="N21" s="108"/>
      <c r="O21" s="108"/>
      <c r="P21" s="109"/>
      <c r="Q21" s="1" t="s">
        <v>123</v>
      </c>
      <c r="R21" s="1" t="s">
        <v>158</v>
      </c>
      <c r="S21" s="1" t="s">
        <v>106</v>
      </c>
      <c r="T21" s="1" t="s">
        <v>107</v>
      </c>
      <c r="U21" s="1" t="s">
        <v>108</v>
      </c>
      <c r="V21" s="1">
        <v>17.209</v>
      </c>
      <c r="W21" s="98"/>
      <c r="X21" s="130"/>
      <c r="Y21" s="98"/>
      <c r="Z21" s="98"/>
      <c r="AA21" s="86"/>
      <c r="AB21" s="146"/>
      <c r="AC21" s="1"/>
      <c r="AD21" s="143"/>
      <c r="AE21" s="142"/>
    </row>
    <row r="22" spans="1:31" x14ac:dyDescent="0.25">
      <c r="A22" s="100"/>
      <c r="B22" s="9">
        <v>347</v>
      </c>
      <c r="C22" s="9" t="s">
        <v>396</v>
      </c>
      <c r="D22" s="9" t="s">
        <v>103</v>
      </c>
      <c r="E22" s="9" t="s">
        <v>126</v>
      </c>
      <c r="F22" s="9" t="s">
        <v>332</v>
      </c>
      <c r="G22" s="9" t="s">
        <v>106</v>
      </c>
      <c r="H22" s="9"/>
      <c r="I22" s="9"/>
      <c r="J22" s="9">
        <v>22.98</v>
      </c>
      <c r="K22" s="9">
        <v>18.567</v>
      </c>
      <c r="L22" s="11"/>
      <c r="M22" s="104">
        <f t="shared" ref="M22:N22" si="43">AVERAGE(J22:J25)</f>
        <v>22.962500000000002</v>
      </c>
      <c r="N22" s="104">
        <f t="shared" si="43"/>
        <v>18.500999999999998</v>
      </c>
      <c r="O22" s="104"/>
      <c r="P22" s="89">
        <f t="shared" ref="P22" si="44">GEOMEAN(M22,N22)</f>
        <v>20.61138550655923</v>
      </c>
      <c r="Q22" s="1" t="s">
        <v>126</v>
      </c>
      <c r="R22" s="1" t="s">
        <v>158</v>
      </c>
      <c r="S22" s="1" t="s">
        <v>106</v>
      </c>
      <c r="T22" s="1" t="s">
        <v>107</v>
      </c>
      <c r="U22" s="1" t="s">
        <v>108</v>
      </c>
      <c r="V22" s="1">
        <v>17.221</v>
      </c>
      <c r="W22" s="96">
        <f t="shared" ref="W22" si="45">_xlfn.STDEV.S(V22:V25)</f>
        <v>8.0404705500777274E-2</v>
      </c>
      <c r="X22" s="128">
        <f t="shared" ref="X22" si="46">AVERAGE(V22:V25)</f>
        <v>17.172250000000002</v>
      </c>
      <c r="Y22" s="96">
        <f t="shared" ref="Y22" si="47">X22-P22</f>
        <v>-3.4391355065592286</v>
      </c>
      <c r="Z22" s="96">
        <f t="shared" ref="Z22" si="48">Y22-$AE$2</f>
        <v>0.59184168419665184</v>
      </c>
      <c r="AA22" s="84">
        <f t="shared" ref="AA22" si="49">2^-Z22</f>
        <v>0.66349537573369999</v>
      </c>
      <c r="AB22" s="144"/>
      <c r="AC22" s="1">
        <f t="shared" ref="AC22" si="50">LOG(AA22,2)</f>
        <v>-0.59184168419665195</v>
      </c>
      <c r="AD22" s="143"/>
      <c r="AE22" s="142"/>
    </row>
    <row r="23" spans="1:31" x14ac:dyDescent="0.25">
      <c r="A23" s="101"/>
      <c r="B23" s="1">
        <v>371</v>
      </c>
      <c r="C23" s="1" t="s">
        <v>408</v>
      </c>
      <c r="D23" s="1" t="s">
        <v>103</v>
      </c>
      <c r="E23" s="1" t="s">
        <v>126</v>
      </c>
      <c r="F23" s="1" t="s">
        <v>332</v>
      </c>
      <c r="G23" s="1" t="s">
        <v>106</v>
      </c>
      <c r="H23" s="1"/>
      <c r="I23" s="1"/>
      <c r="J23" s="1">
        <v>22.972000000000001</v>
      </c>
      <c r="K23" s="1">
        <v>18.613</v>
      </c>
      <c r="L23" s="14"/>
      <c r="M23" s="105"/>
      <c r="N23" s="105"/>
      <c r="O23" s="105"/>
      <c r="P23" s="90"/>
      <c r="Q23" s="1" t="s">
        <v>126</v>
      </c>
      <c r="R23" s="1" t="s">
        <v>158</v>
      </c>
      <c r="S23" s="1" t="s">
        <v>106</v>
      </c>
      <c r="T23" s="1" t="s">
        <v>107</v>
      </c>
      <c r="U23" s="1" t="s">
        <v>108</v>
      </c>
      <c r="V23" s="1">
        <v>17.259</v>
      </c>
      <c r="W23" s="97"/>
      <c r="X23" s="129"/>
      <c r="Y23" s="97"/>
      <c r="Z23" s="97"/>
      <c r="AA23" s="85"/>
      <c r="AB23" s="145"/>
      <c r="AC23" s="1"/>
      <c r="AD23" s="143"/>
      <c r="AE23" s="142"/>
    </row>
    <row r="24" spans="1:31" x14ac:dyDescent="0.25">
      <c r="A24" s="101"/>
      <c r="B24" s="1">
        <v>348</v>
      </c>
      <c r="C24" s="1" t="s">
        <v>397</v>
      </c>
      <c r="D24" s="1" t="s">
        <v>103</v>
      </c>
      <c r="E24" s="1" t="s">
        <v>126</v>
      </c>
      <c r="F24" s="1" t="s">
        <v>332</v>
      </c>
      <c r="G24" s="1" t="s">
        <v>106</v>
      </c>
      <c r="H24" s="1"/>
      <c r="I24" s="1"/>
      <c r="J24" s="1">
        <v>22.96</v>
      </c>
      <c r="K24" s="1">
        <v>18.332999999999998</v>
      </c>
      <c r="L24" s="14"/>
      <c r="M24" s="105"/>
      <c r="N24" s="105"/>
      <c r="O24" s="105"/>
      <c r="P24" s="90"/>
      <c r="Q24" s="1" t="s">
        <v>126</v>
      </c>
      <c r="R24" s="1" t="s">
        <v>158</v>
      </c>
      <c r="S24" s="1" t="s">
        <v>106</v>
      </c>
      <c r="T24" s="1" t="s">
        <v>107</v>
      </c>
      <c r="U24" s="1" t="s">
        <v>108</v>
      </c>
      <c r="V24" s="1">
        <v>17.117000000000001</v>
      </c>
      <c r="W24" s="97"/>
      <c r="X24" s="129"/>
      <c r="Y24" s="97"/>
      <c r="Z24" s="97"/>
      <c r="AA24" s="85"/>
      <c r="AB24" s="145"/>
      <c r="AC24" s="1"/>
      <c r="AD24" s="143"/>
      <c r="AE24" s="142"/>
    </row>
    <row r="25" spans="1:31" ht="15.75" thickBot="1" x14ac:dyDescent="0.3">
      <c r="A25" s="107"/>
      <c r="B25" s="83">
        <v>372</v>
      </c>
      <c r="C25" s="83" t="s">
        <v>409</v>
      </c>
      <c r="D25" s="83" t="s">
        <v>103</v>
      </c>
      <c r="E25" s="83" t="s">
        <v>126</v>
      </c>
      <c r="F25" s="83" t="s">
        <v>332</v>
      </c>
      <c r="G25" s="83" t="s">
        <v>106</v>
      </c>
      <c r="H25" s="83">
        <f t="shared" ref="H25" si="51">_xlfn.STDEV.S(K22:K25)</f>
        <v>0.12277893413231286</v>
      </c>
      <c r="I25" s="83">
        <f t="shared" ref="I25" si="52">_xlfn.STDEV.S(J22:J25)</f>
        <v>1.8284784202537482E-2</v>
      </c>
      <c r="J25" s="83">
        <v>22.937999999999999</v>
      </c>
      <c r="K25" s="83">
        <v>18.491</v>
      </c>
      <c r="L25" s="17"/>
      <c r="M25" s="108"/>
      <c r="N25" s="108"/>
      <c r="O25" s="108"/>
      <c r="P25" s="109"/>
      <c r="Q25" s="1" t="s">
        <v>126</v>
      </c>
      <c r="R25" s="1" t="s">
        <v>158</v>
      </c>
      <c r="S25" s="1" t="s">
        <v>106</v>
      </c>
      <c r="T25" s="1" t="s">
        <v>107</v>
      </c>
      <c r="U25" s="1" t="s">
        <v>108</v>
      </c>
      <c r="V25" s="1">
        <v>17.091999999999999</v>
      </c>
      <c r="W25" s="98"/>
      <c r="X25" s="130"/>
      <c r="Y25" s="98"/>
      <c r="Z25" s="98"/>
      <c r="AA25" s="86"/>
      <c r="AB25" s="146"/>
      <c r="AC25" s="1"/>
      <c r="AD25" s="143"/>
      <c r="AE25" s="142"/>
    </row>
    <row r="26" spans="1:31" x14ac:dyDescent="0.25">
      <c r="A26" s="100"/>
      <c r="B26" s="9">
        <v>337</v>
      </c>
      <c r="C26" s="9" t="s">
        <v>386</v>
      </c>
      <c r="D26" s="9" t="s">
        <v>103</v>
      </c>
      <c r="E26" s="9" t="s">
        <v>416</v>
      </c>
      <c r="F26" s="9" t="s">
        <v>332</v>
      </c>
      <c r="G26" s="9" t="s">
        <v>106</v>
      </c>
      <c r="H26" s="9"/>
      <c r="I26" s="9"/>
      <c r="J26" s="9">
        <v>22.983000000000001</v>
      </c>
      <c r="K26" s="9">
        <v>18.667000000000002</v>
      </c>
      <c r="L26" s="11"/>
      <c r="M26" s="104">
        <f t="shared" ref="M26:N26" si="53">AVERAGE(J26:J29)</f>
        <v>23.02</v>
      </c>
      <c r="N26" s="104">
        <f t="shared" si="53"/>
        <v>18.7575</v>
      </c>
      <c r="O26" s="104"/>
      <c r="P26" s="89">
        <f t="shared" ref="P26" si="54">GEOMEAN(M26,N26)</f>
        <v>20.779741336214943</v>
      </c>
      <c r="Q26" s="1" t="s">
        <v>416</v>
      </c>
      <c r="R26" s="1" t="s">
        <v>158</v>
      </c>
      <c r="S26" s="1" t="s">
        <v>106</v>
      </c>
      <c r="T26" s="1" t="s">
        <v>107</v>
      </c>
      <c r="U26" s="1" t="s">
        <v>108</v>
      </c>
      <c r="V26" s="1">
        <v>16.262</v>
      </c>
      <c r="W26" s="96">
        <f t="shared" ref="W26" si="55">_xlfn.STDEV.S(V26:V29)</f>
        <v>6.3373890522832793E-2</v>
      </c>
      <c r="X26" s="128">
        <f t="shared" ref="X26" si="56">AVERAGE(V26:V29)</f>
        <v>16.309750000000001</v>
      </c>
      <c r="Y26" s="96">
        <f t="shared" ref="Y26" si="57">X26-P26</f>
        <v>-4.4699913362149424</v>
      </c>
      <c r="Z26" s="96">
        <f>Y26-$AE$4</f>
        <v>-0.17545230835094827</v>
      </c>
      <c r="AA26" s="84">
        <f t="shared" ref="AA26" si="58">2^-Z26</f>
        <v>1.1293184089921053</v>
      </c>
      <c r="AB26" s="139"/>
      <c r="AC26" s="1">
        <f t="shared" ref="AC26" si="59">LOG(AA26,2)</f>
        <v>0.17545230835094841</v>
      </c>
      <c r="AD26" s="143"/>
      <c r="AE26" s="142"/>
    </row>
    <row r="27" spans="1:31" x14ac:dyDescent="0.25">
      <c r="A27" s="101"/>
      <c r="B27" s="1">
        <v>361</v>
      </c>
      <c r="C27" s="1" t="s">
        <v>398</v>
      </c>
      <c r="D27" s="1" t="s">
        <v>103</v>
      </c>
      <c r="E27" s="1" t="s">
        <v>416</v>
      </c>
      <c r="F27" s="1" t="s">
        <v>332</v>
      </c>
      <c r="G27" s="1" t="s">
        <v>106</v>
      </c>
      <c r="H27" s="1"/>
      <c r="I27" s="1"/>
      <c r="J27" s="1">
        <v>22.923999999999999</v>
      </c>
      <c r="K27" s="1">
        <v>18.940000000000001</v>
      </c>
      <c r="L27" s="14"/>
      <c r="M27" s="105"/>
      <c r="N27" s="105"/>
      <c r="O27" s="105"/>
      <c r="P27" s="90"/>
      <c r="Q27" s="1" t="s">
        <v>416</v>
      </c>
      <c r="R27" s="1" t="s">
        <v>158</v>
      </c>
      <c r="S27" s="1" t="s">
        <v>106</v>
      </c>
      <c r="T27" s="1" t="s">
        <v>107</v>
      </c>
      <c r="U27" s="1" t="s">
        <v>108</v>
      </c>
      <c r="V27" s="1">
        <v>16.349</v>
      </c>
      <c r="W27" s="97"/>
      <c r="X27" s="129"/>
      <c r="Y27" s="97"/>
      <c r="Z27" s="97"/>
      <c r="AA27" s="85"/>
      <c r="AB27" s="140"/>
      <c r="AC27" s="1"/>
      <c r="AD27" s="143"/>
      <c r="AE27" s="142"/>
    </row>
    <row r="28" spans="1:31" x14ac:dyDescent="0.25">
      <c r="A28" s="101"/>
      <c r="B28" s="1">
        <v>338</v>
      </c>
      <c r="C28" s="1" t="s">
        <v>387</v>
      </c>
      <c r="D28" s="1" t="s">
        <v>103</v>
      </c>
      <c r="E28" s="1" t="s">
        <v>416</v>
      </c>
      <c r="F28" s="1" t="s">
        <v>332</v>
      </c>
      <c r="G28" s="1" t="s">
        <v>106</v>
      </c>
      <c r="H28" s="1"/>
      <c r="I28" s="1"/>
      <c r="J28" s="1">
        <v>23.096</v>
      </c>
      <c r="K28" s="1">
        <v>18.649000000000001</v>
      </c>
      <c r="L28" s="14"/>
      <c r="M28" s="105"/>
      <c r="N28" s="105"/>
      <c r="O28" s="105"/>
      <c r="P28" s="90"/>
      <c r="Q28" s="1" t="s">
        <v>416</v>
      </c>
      <c r="R28" s="1" t="s">
        <v>158</v>
      </c>
      <c r="S28" s="1" t="s">
        <v>106</v>
      </c>
      <c r="T28" s="1" t="s">
        <v>107</v>
      </c>
      <c r="U28" s="1" t="s">
        <v>108</v>
      </c>
      <c r="V28" s="1">
        <v>16.378</v>
      </c>
      <c r="W28" s="97"/>
      <c r="X28" s="129"/>
      <c r="Y28" s="97"/>
      <c r="Z28" s="97"/>
      <c r="AA28" s="85"/>
      <c r="AB28" s="140"/>
      <c r="AC28" s="1"/>
      <c r="AD28" s="143"/>
      <c r="AE28" s="142"/>
    </row>
    <row r="29" spans="1:31" ht="15.75" thickBot="1" x14ac:dyDescent="0.3">
      <c r="A29" s="107"/>
      <c r="B29" s="83">
        <v>362</v>
      </c>
      <c r="C29" s="83" t="s">
        <v>399</v>
      </c>
      <c r="D29" s="83" t="s">
        <v>103</v>
      </c>
      <c r="E29" s="83" t="s">
        <v>416</v>
      </c>
      <c r="F29" s="83" t="s">
        <v>332</v>
      </c>
      <c r="G29" s="83" t="s">
        <v>106</v>
      </c>
      <c r="H29" s="83">
        <f t="shared" ref="H29" si="60">_xlfn.STDEV.S(K26:K29)</f>
        <v>0.13359266446927393</v>
      </c>
      <c r="I29" s="83">
        <f t="shared" ref="I29" si="61">_xlfn.STDEV.S(J26:J29)</f>
        <v>8.0849654709632221E-2</v>
      </c>
      <c r="J29" s="83">
        <v>23.077000000000002</v>
      </c>
      <c r="K29" s="83">
        <v>18.774000000000001</v>
      </c>
      <c r="L29" s="17"/>
      <c r="M29" s="108"/>
      <c r="N29" s="108"/>
      <c r="O29" s="108"/>
      <c r="P29" s="109"/>
      <c r="Q29" s="1" t="s">
        <v>416</v>
      </c>
      <c r="R29" s="1" t="s">
        <v>158</v>
      </c>
      <c r="S29" s="1" t="s">
        <v>106</v>
      </c>
      <c r="T29" s="1" t="s">
        <v>107</v>
      </c>
      <c r="U29" s="1" t="s">
        <v>108</v>
      </c>
      <c r="V29" s="1">
        <v>16.25</v>
      </c>
      <c r="W29" s="98"/>
      <c r="X29" s="130"/>
      <c r="Y29" s="98"/>
      <c r="Z29" s="98"/>
      <c r="AA29" s="86"/>
      <c r="AB29" s="141"/>
      <c r="AC29" s="1"/>
      <c r="AD29" s="143"/>
      <c r="AE29" s="142"/>
    </row>
    <row r="30" spans="1:31" x14ac:dyDescent="0.25">
      <c r="A30" s="100"/>
      <c r="B30" s="9">
        <v>339</v>
      </c>
      <c r="C30" s="9" t="s">
        <v>388</v>
      </c>
      <c r="D30" s="9" t="s">
        <v>103</v>
      </c>
      <c r="E30" s="9" t="s">
        <v>417</v>
      </c>
      <c r="F30" s="9" t="s">
        <v>332</v>
      </c>
      <c r="G30" s="9" t="s">
        <v>106</v>
      </c>
      <c r="H30" s="9"/>
      <c r="I30" s="9"/>
      <c r="J30" s="9">
        <v>22.806000000000001</v>
      </c>
      <c r="K30" s="9">
        <v>18.515000000000001</v>
      </c>
      <c r="L30" s="11"/>
      <c r="M30" s="104">
        <f t="shared" ref="M30:N30" si="62">AVERAGE(J30:J33)</f>
        <v>22.781750000000002</v>
      </c>
      <c r="N30" s="104">
        <f t="shared" si="62"/>
        <v>18.29025</v>
      </c>
      <c r="O30" s="104"/>
      <c r="P30" s="89">
        <f t="shared" ref="P30" si="63">GEOMEAN(M30,N30)</f>
        <v>20.412836719513045</v>
      </c>
      <c r="Q30" s="1" t="s">
        <v>417</v>
      </c>
      <c r="R30" s="1" t="s">
        <v>158</v>
      </c>
      <c r="S30" s="1" t="s">
        <v>106</v>
      </c>
      <c r="T30" s="1" t="s">
        <v>107</v>
      </c>
      <c r="U30" s="1" t="s">
        <v>108</v>
      </c>
      <c r="V30" s="1">
        <v>16.212</v>
      </c>
      <c r="W30" s="96">
        <f t="shared" ref="W30" si="64">_xlfn.STDEV.S(V30:V33)</f>
        <v>0.14308127061219503</v>
      </c>
      <c r="X30" s="128">
        <f t="shared" ref="X30" si="65">AVERAGE(V30:V33)</f>
        <v>16.293749999999999</v>
      </c>
      <c r="Y30" s="96">
        <f t="shared" ref="Y30" si="66">X30-P30</f>
        <v>-4.1190867195130458</v>
      </c>
      <c r="Z30" s="96">
        <f t="shared" ref="Z30" si="67">Y30-$AE$4</f>
        <v>0.17545230835094827</v>
      </c>
      <c r="AA30" s="84">
        <f t="shared" ref="AA30" si="68">2^-Z30</f>
        <v>0.88548986011171149</v>
      </c>
      <c r="AB30" s="139"/>
      <c r="AC30" s="1">
        <f t="shared" ref="AC30" si="69">LOG(AA30,2)</f>
        <v>-0.17545230835094849</v>
      </c>
      <c r="AD30" s="1"/>
      <c r="AE30" s="1"/>
    </row>
    <row r="31" spans="1:31" x14ac:dyDescent="0.25">
      <c r="A31" s="101"/>
      <c r="B31" s="1">
        <v>363</v>
      </c>
      <c r="C31" s="1" t="s">
        <v>400</v>
      </c>
      <c r="D31" s="1" t="s">
        <v>103</v>
      </c>
      <c r="E31" s="1" t="s">
        <v>417</v>
      </c>
      <c r="F31" s="1" t="s">
        <v>332</v>
      </c>
      <c r="G31" s="1" t="s">
        <v>106</v>
      </c>
      <c r="H31" s="1"/>
      <c r="I31" s="1"/>
      <c r="J31" s="1">
        <v>22.748999999999999</v>
      </c>
      <c r="K31" s="1">
        <v>18.596</v>
      </c>
      <c r="L31" s="14"/>
      <c r="M31" s="105"/>
      <c r="N31" s="105"/>
      <c r="O31" s="105"/>
      <c r="P31" s="90"/>
      <c r="Q31" s="1" t="s">
        <v>417</v>
      </c>
      <c r="R31" s="1" t="s">
        <v>158</v>
      </c>
      <c r="S31" s="1" t="s">
        <v>106</v>
      </c>
      <c r="T31" s="1" t="s">
        <v>107</v>
      </c>
      <c r="U31" s="1" t="s">
        <v>108</v>
      </c>
      <c r="V31" s="1">
        <v>16.18</v>
      </c>
      <c r="W31" s="97"/>
      <c r="X31" s="129"/>
      <c r="Y31" s="97"/>
      <c r="Z31" s="97"/>
      <c r="AA31" s="85"/>
      <c r="AB31" s="140"/>
      <c r="AC31" s="1"/>
      <c r="AD31" s="1"/>
      <c r="AE31" s="1"/>
    </row>
    <row r="32" spans="1:31" x14ac:dyDescent="0.25">
      <c r="A32" s="101"/>
      <c r="B32" s="1">
        <v>340</v>
      </c>
      <c r="C32" s="1" t="s">
        <v>389</v>
      </c>
      <c r="D32" s="1" t="s">
        <v>103</v>
      </c>
      <c r="E32" s="1" t="s">
        <v>417</v>
      </c>
      <c r="F32" s="1" t="s">
        <v>332</v>
      </c>
      <c r="G32" s="1" t="s">
        <v>106</v>
      </c>
      <c r="H32" s="1"/>
      <c r="I32" s="1"/>
      <c r="J32" s="1">
        <v>22.742999999999999</v>
      </c>
      <c r="K32" s="1">
        <v>18.411999999999999</v>
      </c>
      <c r="L32" s="14"/>
      <c r="M32" s="105"/>
      <c r="N32" s="105"/>
      <c r="O32" s="105"/>
      <c r="P32" s="90"/>
      <c r="Q32" s="1" t="s">
        <v>417</v>
      </c>
      <c r="R32" s="1" t="s">
        <v>158</v>
      </c>
      <c r="S32" s="1" t="s">
        <v>106</v>
      </c>
      <c r="T32" s="1" t="s">
        <v>107</v>
      </c>
      <c r="U32" s="1" t="s">
        <v>108</v>
      </c>
      <c r="V32" s="1">
        <v>16.285</v>
      </c>
      <c r="W32" s="97"/>
      <c r="X32" s="129"/>
      <c r="Y32" s="97"/>
      <c r="Z32" s="97"/>
      <c r="AA32" s="85"/>
      <c r="AB32" s="140"/>
      <c r="AC32" s="1"/>
      <c r="AD32" s="1"/>
      <c r="AE32" s="1"/>
    </row>
    <row r="33" spans="1:31" ht="15.75" thickBot="1" x14ac:dyDescent="0.3">
      <c r="A33" s="107"/>
      <c r="B33" s="83">
        <v>364</v>
      </c>
      <c r="C33" s="83" t="s">
        <v>401</v>
      </c>
      <c r="D33" s="83" t="s">
        <v>103</v>
      </c>
      <c r="E33" s="83" t="s">
        <v>417</v>
      </c>
      <c r="F33" s="83" t="s">
        <v>332</v>
      </c>
      <c r="G33" s="83" t="s">
        <v>106</v>
      </c>
      <c r="H33" s="83">
        <f t="shared" ref="H33" si="70">_xlfn.STDEV.S(K30:K33)</f>
        <v>0.44130441118725816</v>
      </c>
      <c r="I33" s="83">
        <f t="shared" ref="I33" si="71">_xlfn.STDEV.S(J30:J33)</f>
        <v>4.2405777908206085E-2</v>
      </c>
      <c r="J33" s="83">
        <v>22.829000000000001</v>
      </c>
      <c r="K33" s="83">
        <v>17.638000000000002</v>
      </c>
      <c r="L33" s="17"/>
      <c r="M33" s="108"/>
      <c r="N33" s="108"/>
      <c r="O33" s="108"/>
      <c r="P33" s="109"/>
      <c r="Q33" s="1" t="s">
        <v>417</v>
      </c>
      <c r="R33" s="1" t="s">
        <v>158</v>
      </c>
      <c r="S33" s="1" t="s">
        <v>106</v>
      </c>
      <c r="T33" s="1" t="s">
        <v>107</v>
      </c>
      <c r="U33" s="1" t="s">
        <v>108</v>
      </c>
      <c r="V33" s="1">
        <v>16.498000000000001</v>
      </c>
      <c r="W33" s="98"/>
      <c r="X33" s="130"/>
      <c r="Y33" s="98"/>
      <c r="Z33" s="98"/>
      <c r="AA33" s="86"/>
      <c r="AB33" s="141"/>
      <c r="AC33" s="1"/>
      <c r="AD33" s="1"/>
      <c r="AE33" s="1"/>
    </row>
    <row r="34" spans="1:31" x14ac:dyDescent="0.25">
      <c r="A34" s="100"/>
      <c r="B34" s="9">
        <v>341</v>
      </c>
      <c r="C34" s="9" t="s">
        <v>390</v>
      </c>
      <c r="D34" s="9" t="s">
        <v>103</v>
      </c>
      <c r="E34" s="9" t="s">
        <v>418</v>
      </c>
      <c r="F34" s="9" t="s">
        <v>332</v>
      </c>
      <c r="G34" s="9" t="s">
        <v>106</v>
      </c>
      <c r="H34" s="9"/>
      <c r="I34" s="9"/>
      <c r="J34" s="9">
        <v>22.611000000000001</v>
      </c>
      <c r="K34" s="9">
        <v>18.010000000000002</v>
      </c>
      <c r="L34" s="11"/>
      <c r="M34" s="104">
        <f t="shared" ref="M34:N34" si="72">AVERAGE(J34:J37)</f>
        <v>22.61225</v>
      </c>
      <c r="N34" s="104">
        <f t="shared" si="72"/>
        <v>18.068000000000001</v>
      </c>
      <c r="O34" s="104"/>
      <c r="P34" s="89">
        <f t="shared" ref="P34" si="73">GEOMEAN(M34,N34)</f>
        <v>20.21282100549055</v>
      </c>
      <c r="Q34" s="1" t="s">
        <v>418</v>
      </c>
      <c r="R34" s="1" t="s">
        <v>158</v>
      </c>
      <c r="S34" s="1" t="s">
        <v>106</v>
      </c>
      <c r="T34" s="1" t="s">
        <v>107</v>
      </c>
      <c r="U34" s="1" t="s">
        <v>108</v>
      </c>
      <c r="V34" s="1">
        <v>19.164000000000001</v>
      </c>
      <c r="W34" s="96">
        <f t="shared" ref="W34" si="74">_xlfn.STDEV.S(V34:V37)</f>
        <v>5.3802106526294739E-2</v>
      </c>
      <c r="X34" s="128">
        <f t="shared" ref="X34" si="75">AVERAGE(V34:V37)</f>
        <v>19.113</v>
      </c>
      <c r="Y34" s="96">
        <f t="shared" ref="Y34" si="76">X34-P34</f>
        <v>-1.0998210054905506</v>
      </c>
      <c r="Z34" s="96">
        <f t="shared" ref="Z34" si="77">Y34-$AE$4</f>
        <v>3.1947180223734435</v>
      </c>
      <c r="AA34" s="84">
        <f t="shared" ref="AA34" si="78">2^-Z34</f>
        <v>0.10921795677131925</v>
      </c>
      <c r="AB34" s="136"/>
      <c r="AC34" s="1">
        <f t="shared" ref="AC34" si="79">LOG(AA34,2)</f>
        <v>-3.194718022373443</v>
      </c>
      <c r="AD34" s="1"/>
      <c r="AE34" s="1"/>
    </row>
    <row r="35" spans="1:31" x14ac:dyDescent="0.25">
      <c r="A35" s="101"/>
      <c r="B35" s="1">
        <v>365</v>
      </c>
      <c r="C35" s="1" t="s">
        <v>402</v>
      </c>
      <c r="D35" s="1" t="s">
        <v>103</v>
      </c>
      <c r="E35" s="1" t="s">
        <v>418</v>
      </c>
      <c r="F35" s="1" t="s">
        <v>332</v>
      </c>
      <c r="G35" s="1" t="s">
        <v>106</v>
      </c>
      <c r="H35" s="1"/>
      <c r="I35" s="1"/>
      <c r="J35" s="1">
        <v>22.594000000000001</v>
      </c>
      <c r="K35" s="1">
        <v>18.193000000000001</v>
      </c>
      <c r="L35" s="14"/>
      <c r="M35" s="105"/>
      <c r="N35" s="105"/>
      <c r="O35" s="105"/>
      <c r="P35" s="90"/>
      <c r="Q35" s="1" t="s">
        <v>418</v>
      </c>
      <c r="R35" s="1" t="s">
        <v>158</v>
      </c>
      <c r="S35" s="1" t="s">
        <v>106</v>
      </c>
      <c r="T35" s="1" t="s">
        <v>107</v>
      </c>
      <c r="U35" s="1" t="s">
        <v>108</v>
      </c>
      <c r="V35" s="1">
        <v>19.084</v>
      </c>
      <c r="W35" s="97"/>
      <c r="X35" s="129"/>
      <c r="Y35" s="97"/>
      <c r="Z35" s="97"/>
      <c r="AA35" s="85"/>
      <c r="AB35" s="137"/>
      <c r="AC35" s="1"/>
      <c r="AD35" s="1"/>
      <c r="AE35" s="1"/>
    </row>
    <row r="36" spans="1:31" x14ac:dyDescent="0.25">
      <c r="A36" s="101"/>
      <c r="B36" s="1">
        <v>342</v>
      </c>
      <c r="C36" s="1" t="s">
        <v>391</v>
      </c>
      <c r="D36" s="1" t="s">
        <v>103</v>
      </c>
      <c r="E36" s="1" t="s">
        <v>418</v>
      </c>
      <c r="F36" s="1" t="s">
        <v>332</v>
      </c>
      <c r="G36" s="1" t="s">
        <v>106</v>
      </c>
      <c r="H36" s="1"/>
      <c r="I36" s="1"/>
      <c r="J36" s="1">
        <v>22.55</v>
      </c>
      <c r="K36" s="1">
        <v>17.946000000000002</v>
      </c>
      <c r="L36" s="14"/>
      <c r="M36" s="105"/>
      <c r="N36" s="105"/>
      <c r="O36" s="105"/>
      <c r="P36" s="90"/>
      <c r="Q36" s="1" t="s">
        <v>418</v>
      </c>
      <c r="R36" s="1" t="s">
        <v>158</v>
      </c>
      <c r="S36" s="1" t="s">
        <v>106</v>
      </c>
      <c r="T36" s="1" t="s">
        <v>107</v>
      </c>
      <c r="U36" s="1" t="s">
        <v>108</v>
      </c>
      <c r="V36" s="1">
        <v>19.152000000000001</v>
      </c>
      <c r="W36" s="97"/>
      <c r="X36" s="129"/>
      <c r="Y36" s="97"/>
      <c r="Z36" s="97"/>
      <c r="AA36" s="85"/>
      <c r="AB36" s="137"/>
      <c r="AC36" s="1"/>
      <c r="AD36" s="1"/>
      <c r="AE36" s="1"/>
    </row>
    <row r="37" spans="1:31" ht="15.75" thickBot="1" x14ac:dyDescent="0.3">
      <c r="A37" s="107"/>
      <c r="B37" s="83">
        <v>366</v>
      </c>
      <c r="C37" s="83" t="s">
        <v>403</v>
      </c>
      <c r="D37" s="83" t="s">
        <v>103</v>
      </c>
      <c r="E37" s="83" t="s">
        <v>418</v>
      </c>
      <c r="F37" s="83" t="s">
        <v>332</v>
      </c>
      <c r="G37" s="83" t="s">
        <v>106</v>
      </c>
      <c r="H37" s="83">
        <f t="shared" ref="H37" si="80">_xlfn.STDEV.S(K34:K37)</f>
        <v>0.11090235945791824</v>
      </c>
      <c r="I37" s="83">
        <f t="shared" ref="I37" si="81">_xlfn.STDEV.S(J34:J37)</f>
        <v>6.0257088103115065E-2</v>
      </c>
      <c r="J37" s="83">
        <v>22.693999999999999</v>
      </c>
      <c r="K37" s="83">
        <v>18.123000000000001</v>
      </c>
      <c r="L37" s="17"/>
      <c r="M37" s="108"/>
      <c r="N37" s="108"/>
      <c r="O37" s="108"/>
      <c r="P37" s="109"/>
      <c r="Q37" s="1" t="s">
        <v>418</v>
      </c>
      <c r="R37" s="1" t="s">
        <v>158</v>
      </c>
      <c r="S37" s="1" t="s">
        <v>106</v>
      </c>
      <c r="T37" s="1" t="s">
        <v>107</v>
      </c>
      <c r="U37" s="1" t="s">
        <v>108</v>
      </c>
      <c r="V37" s="1">
        <v>19.052</v>
      </c>
      <c r="W37" s="98"/>
      <c r="X37" s="130"/>
      <c r="Y37" s="98"/>
      <c r="Z37" s="98"/>
      <c r="AA37" s="86"/>
      <c r="AB37" s="138"/>
      <c r="AC37" s="1"/>
      <c r="AD37" s="1"/>
      <c r="AE37" s="1"/>
    </row>
    <row r="38" spans="1:31" x14ac:dyDescent="0.25">
      <c r="A38" s="100"/>
      <c r="B38" s="9">
        <v>343</v>
      </c>
      <c r="C38" s="9" t="s">
        <v>392</v>
      </c>
      <c r="D38" s="9" t="s">
        <v>103</v>
      </c>
      <c r="E38" s="9" t="s">
        <v>419</v>
      </c>
      <c r="F38" s="9" t="s">
        <v>332</v>
      </c>
      <c r="G38" s="9" t="s">
        <v>106</v>
      </c>
      <c r="H38" s="9"/>
      <c r="I38" s="9"/>
      <c r="J38" s="9">
        <v>22.65</v>
      </c>
      <c r="K38" s="9">
        <v>17.954999999999998</v>
      </c>
      <c r="L38" s="11"/>
      <c r="M38" s="104">
        <f t="shared" ref="M38:N38" si="82">AVERAGE(J38:J41)</f>
        <v>22.660999999999998</v>
      </c>
      <c r="N38" s="104">
        <f t="shared" si="82"/>
        <v>17.9955</v>
      </c>
      <c r="O38" s="104"/>
      <c r="P38" s="89">
        <f t="shared" ref="P38" si="83">GEOMEAN(M38,N38)</f>
        <v>20.193960124254975</v>
      </c>
      <c r="Q38" s="1" t="s">
        <v>419</v>
      </c>
      <c r="R38" s="1" t="s">
        <v>158</v>
      </c>
      <c r="S38" s="1" t="s">
        <v>106</v>
      </c>
      <c r="T38" s="1" t="s">
        <v>107</v>
      </c>
      <c r="U38" s="1" t="s">
        <v>108</v>
      </c>
      <c r="V38" s="1">
        <v>19.113</v>
      </c>
      <c r="W38" s="96">
        <f t="shared" ref="W38" si="84">_xlfn.STDEV.S(V38:V41)</f>
        <v>8.8202418712112554E-2</v>
      </c>
      <c r="X38" s="128">
        <f t="shared" ref="X38" si="85">AVERAGE(V38:V41)</f>
        <v>19.166499999999999</v>
      </c>
      <c r="Y38" s="96">
        <f t="shared" ref="Y38" si="86">X38-P38</f>
        <v>-1.0274601242549757</v>
      </c>
      <c r="Z38" s="96">
        <f t="shared" ref="Z38" si="87">Y38-$AE$4</f>
        <v>3.2670789036090184</v>
      </c>
      <c r="AA38" s="84">
        <f t="shared" ref="AA38" si="88">2^-Z38</f>
        <v>0.10387505142884269</v>
      </c>
      <c r="AB38" s="136"/>
      <c r="AC38" s="1">
        <f t="shared" ref="AC38" si="89">LOG(AA38,2)</f>
        <v>-3.2670789036090189</v>
      </c>
      <c r="AD38" s="1"/>
      <c r="AE38" s="1"/>
    </row>
    <row r="39" spans="1:31" x14ac:dyDescent="0.25">
      <c r="A39" s="101"/>
      <c r="B39" s="1">
        <v>367</v>
      </c>
      <c r="C39" s="1" t="s">
        <v>404</v>
      </c>
      <c r="D39" s="1" t="s">
        <v>103</v>
      </c>
      <c r="E39" s="1" t="s">
        <v>419</v>
      </c>
      <c r="F39" s="1" t="s">
        <v>332</v>
      </c>
      <c r="G39" s="1" t="s">
        <v>106</v>
      </c>
      <c r="H39" s="1"/>
      <c r="I39" s="1"/>
      <c r="J39" s="1">
        <v>22.596</v>
      </c>
      <c r="K39" s="1">
        <v>18.097000000000001</v>
      </c>
      <c r="L39" s="14"/>
      <c r="M39" s="105"/>
      <c r="N39" s="105"/>
      <c r="O39" s="105"/>
      <c r="P39" s="90"/>
      <c r="Q39" s="1" t="s">
        <v>419</v>
      </c>
      <c r="R39" s="1" t="s">
        <v>158</v>
      </c>
      <c r="S39" s="1" t="s">
        <v>106</v>
      </c>
      <c r="T39" s="1" t="s">
        <v>107</v>
      </c>
      <c r="U39" s="1" t="s">
        <v>108</v>
      </c>
      <c r="V39" s="1">
        <v>19.152999999999999</v>
      </c>
      <c r="W39" s="97"/>
      <c r="X39" s="129"/>
      <c r="Y39" s="97"/>
      <c r="Z39" s="97"/>
      <c r="AA39" s="85"/>
      <c r="AB39" s="137"/>
      <c r="AC39" s="1"/>
      <c r="AD39" s="1"/>
      <c r="AE39" s="1"/>
    </row>
    <row r="40" spans="1:31" x14ac:dyDescent="0.25">
      <c r="A40" s="101"/>
      <c r="B40" s="1">
        <v>344</v>
      </c>
      <c r="C40" s="1" t="s">
        <v>393</v>
      </c>
      <c r="D40" s="1" t="s">
        <v>103</v>
      </c>
      <c r="E40" s="1" t="s">
        <v>419</v>
      </c>
      <c r="F40" s="1" t="s">
        <v>332</v>
      </c>
      <c r="G40" s="1" t="s">
        <v>106</v>
      </c>
      <c r="H40" s="1"/>
      <c r="I40" s="1"/>
      <c r="J40" s="1">
        <v>22.698</v>
      </c>
      <c r="K40" s="1">
        <v>17.888999999999999</v>
      </c>
      <c r="L40" s="14"/>
      <c r="M40" s="105"/>
      <c r="N40" s="105"/>
      <c r="O40" s="105"/>
      <c r="P40" s="90"/>
      <c r="Q40" s="1" t="s">
        <v>419</v>
      </c>
      <c r="R40" s="1" t="s">
        <v>158</v>
      </c>
      <c r="S40" s="1" t="s">
        <v>106</v>
      </c>
      <c r="T40" s="1" t="s">
        <v>107</v>
      </c>
      <c r="U40" s="1" t="s">
        <v>108</v>
      </c>
      <c r="V40" s="1">
        <v>19.295000000000002</v>
      </c>
      <c r="W40" s="97"/>
      <c r="X40" s="129"/>
      <c r="Y40" s="97"/>
      <c r="Z40" s="97"/>
      <c r="AA40" s="85"/>
      <c r="AB40" s="137"/>
      <c r="AC40" s="1"/>
      <c r="AD40" s="1"/>
      <c r="AE40" s="1"/>
    </row>
    <row r="41" spans="1:31" ht="15.75" thickBot="1" x14ac:dyDescent="0.3">
      <c r="A41" s="107"/>
      <c r="B41" s="83">
        <v>368</v>
      </c>
      <c r="C41" s="83" t="s">
        <v>405</v>
      </c>
      <c r="D41" s="83" t="s">
        <v>103</v>
      </c>
      <c r="E41" s="83" t="s">
        <v>419</v>
      </c>
      <c r="F41" s="83" t="s">
        <v>332</v>
      </c>
      <c r="G41" s="83" t="s">
        <v>106</v>
      </c>
      <c r="H41" s="83">
        <f t="shared" ref="H41" si="90">_xlfn.STDEV.S(K38:K41)</f>
        <v>9.1932946578834621E-2</v>
      </c>
      <c r="I41" s="83">
        <f t="shared" ref="I41" si="91">_xlfn.STDEV.S(J38:J41)</f>
        <v>4.911211663123468E-2</v>
      </c>
      <c r="J41" s="83">
        <v>22.7</v>
      </c>
      <c r="K41" s="83">
        <v>18.041</v>
      </c>
      <c r="L41" s="17"/>
      <c r="M41" s="108"/>
      <c r="N41" s="108"/>
      <c r="O41" s="108"/>
      <c r="P41" s="109"/>
      <c r="Q41" s="1" t="s">
        <v>419</v>
      </c>
      <c r="R41" s="1" t="s">
        <v>158</v>
      </c>
      <c r="S41" s="1" t="s">
        <v>106</v>
      </c>
      <c r="T41" s="1" t="s">
        <v>107</v>
      </c>
      <c r="U41" s="1" t="s">
        <v>108</v>
      </c>
      <c r="V41" s="1">
        <v>19.105</v>
      </c>
      <c r="W41" s="98"/>
      <c r="X41" s="130"/>
      <c r="Y41" s="98"/>
      <c r="Z41" s="98"/>
      <c r="AA41" s="86"/>
      <c r="AB41" s="138"/>
      <c r="AC41" s="1"/>
      <c r="AD41" s="1"/>
      <c r="AE41" s="1"/>
    </row>
    <row r="42" spans="1:31" x14ac:dyDescent="0.25">
      <c r="A42" s="100"/>
      <c r="B42" s="9">
        <v>345</v>
      </c>
      <c r="C42" s="9" t="s">
        <v>394</v>
      </c>
      <c r="D42" s="9" t="s">
        <v>103</v>
      </c>
      <c r="E42" s="9" t="s">
        <v>420</v>
      </c>
      <c r="F42" s="9" t="s">
        <v>332</v>
      </c>
      <c r="G42" s="9" t="s">
        <v>106</v>
      </c>
      <c r="H42" s="9"/>
      <c r="I42" s="9"/>
      <c r="J42" s="9">
        <v>24.039000000000001</v>
      </c>
      <c r="K42" s="9">
        <v>20.016999999999999</v>
      </c>
      <c r="L42" s="11"/>
      <c r="M42" s="104">
        <f t="shared" ref="M42:N42" si="92">AVERAGE(J42:J45)</f>
        <v>24.10125</v>
      </c>
      <c r="N42" s="104">
        <f t="shared" si="92"/>
        <v>19.996499999999997</v>
      </c>
      <c r="O42" s="104"/>
      <c r="P42" s="89">
        <f t="shared" ref="P42" si="93">GEOMEAN(M42,N42)</f>
        <v>21.953146599633502</v>
      </c>
      <c r="Q42" s="1" t="s">
        <v>420</v>
      </c>
      <c r="R42" s="1" t="s">
        <v>158</v>
      </c>
      <c r="S42" s="1" t="s">
        <v>106</v>
      </c>
      <c r="T42" s="1" t="s">
        <v>107</v>
      </c>
      <c r="U42" s="1" t="s">
        <v>108</v>
      </c>
      <c r="V42" s="1">
        <v>19.241</v>
      </c>
      <c r="W42" s="96">
        <f t="shared" ref="W42" si="94">_xlfn.STDEV.S(V42:V45)</f>
        <v>0.26725580754525452</v>
      </c>
      <c r="X42" s="128">
        <f t="shared" ref="X42" si="95">AVERAGE(V42:V45)</f>
        <v>19.344499999999996</v>
      </c>
      <c r="Y42" s="96">
        <f t="shared" ref="Y42" si="96">X42-P42</f>
        <v>-2.6086465996335058</v>
      </c>
      <c r="Z42" s="96">
        <f t="shared" ref="Z42" si="97">Y42-$AE$4</f>
        <v>1.6858924282304883</v>
      </c>
      <c r="AA42" s="84">
        <f t="shared" ref="AA42" si="98">2^-Z42</f>
        <v>0.31081059135349681</v>
      </c>
      <c r="AB42" s="132"/>
      <c r="AC42" s="1">
        <f t="shared" ref="AC42" si="99">LOG(AA42,2)</f>
        <v>-1.6858924282304883</v>
      </c>
      <c r="AD42" s="1"/>
      <c r="AE42" s="1"/>
    </row>
    <row r="43" spans="1:31" x14ac:dyDescent="0.25">
      <c r="A43" s="101"/>
      <c r="B43" s="1">
        <v>369</v>
      </c>
      <c r="C43" s="1" t="s">
        <v>406</v>
      </c>
      <c r="D43" s="1" t="s">
        <v>103</v>
      </c>
      <c r="E43" s="1" t="s">
        <v>420</v>
      </c>
      <c r="F43" s="1" t="s">
        <v>332</v>
      </c>
      <c r="G43" s="1" t="s">
        <v>106</v>
      </c>
      <c r="H43" s="1"/>
      <c r="I43" s="1"/>
      <c r="J43" s="1">
        <v>24.114999999999998</v>
      </c>
      <c r="K43" s="1">
        <v>20.026</v>
      </c>
      <c r="L43" s="14"/>
      <c r="M43" s="105"/>
      <c r="N43" s="105"/>
      <c r="O43" s="105"/>
      <c r="P43" s="90"/>
      <c r="Q43" s="1" t="s">
        <v>420</v>
      </c>
      <c r="R43" s="1" t="s">
        <v>158</v>
      </c>
      <c r="S43" s="1" t="s">
        <v>106</v>
      </c>
      <c r="T43" s="1" t="s">
        <v>107</v>
      </c>
      <c r="U43" s="1" t="s">
        <v>108</v>
      </c>
      <c r="V43" s="1">
        <v>19.172000000000001</v>
      </c>
      <c r="W43" s="97"/>
      <c r="X43" s="129"/>
      <c r="Y43" s="97"/>
      <c r="Z43" s="97"/>
      <c r="AA43" s="85"/>
      <c r="AB43" s="133"/>
      <c r="AC43" s="1"/>
      <c r="AD43" s="1"/>
      <c r="AE43" s="1"/>
    </row>
    <row r="44" spans="1:31" x14ac:dyDescent="0.25">
      <c r="A44" s="101"/>
      <c r="B44" s="1">
        <v>346</v>
      </c>
      <c r="C44" s="1" t="s">
        <v>395</v>
      </c>
      <c r="D44" s="1" t="s">
        <v>103</v>
      </c>
      <c r="E44" s="1" t="s">
        <v>420</v>
      </c>
      <c r="F44" s="1" t="s">
        <v>332</v>
      </c>
      <c r="G44" s="1" t="s">
        <v>106</v>
      </c>
      <c r="H44" s="1"/>
      <c r="I44" s="1"/>
      <c r="J44" s="1">
        <v>24.184000000000001</v>
      </c>
      <c r="K44" s="1">
        <v>19.843</v>
      </c>
      <c r="L44" s="14"/>
      <c r="M44" s="105"/>
      <c r="N44" s="105"/>
      <c r="O44" s="105"/>
      <c r="P44" s="90"/>
      <c r="Q44" s="1" t="s">
        <v>420</v>
      </c>
      <c r="R44" s="1" t="s">
        <v>158</v>
      </c>
      <c r="S44" s="1" t="s">
        <v>106</v>
      </c>
      <c r="T44" s="1" t="s">
        <v>107</v>
      </c>
      <c r="U44" s="1" t="s">
        <v>108</v>
      </c>
      <c r="V44" s="1">
        <v>19.742999999999999</v>
      </c>
      <c r="W44" s="97"/>
      <c r="X44" s="129"/>
      <c r="Y44" s="97"/>
      <c r="Z44" s="97"/>
      <c r="AA44" s="85"/>
      <c r="AB44" s="133"/>
      <c r="AC44" s="1"/>
      <c r="AD44" s="1"/>
      <c r="AE44" s="1"/>
    </row>
    <row r="45" spans="1:31" ht="15.75" thickBot="1" x14ac:dyDescent="0.3">
      <c r="A45" s="107"/>
      <c r="B45" s="83">
        <v>370</v>
      </c>
      <c r="C45" s="83" t="s">
        <v>407</v>
      </c>
      <c r="D45" s="83" t="s">
        <v>103</v>
      </c>
      <c r="E45" s="83" t="s">
        <v>420</v>
      </c>
      <c r="F45" s="83" t="s">
        <v>332</v>
      </c>
      <c r="G45" s="83" t="s">
        <v>106</v>
      </c>
      <c r="H45" s="83">
        <f t="shared" ref="H45" si="100">_xlfn.STDEV.S(K42:K45)</f>
        <v>0.1088806686239577</v>
      </c>
      <c r="I45" s="83">
        <f t="shared" ref="I45" si="101">_xlfn.STDEV.S(J42:J45)</f>
        <v>6.3468496122091766E-2</v>
      </c>
      <c r="J45" s="83">
        <v>24.067</v>
      </c>
      <c r="K45" s="83">
        <v>20.100000000000001</v>
      </c>
      <c r="L45" s="17"/>
      <c r="M45" s="108"/>
      <c r="N45" s="108"/>
      <c r="O45" s="108"/>
      <c r="P45" s="109"/>
      <c r="Q45" s="1" t="s">
        <v>420</v>
      </c>
      <c r="R45" s="1" t="s">
        <v>158</v>
      </c>
      <c r="S45" s="1" t="s">
        <v>106</v>
      </c>
      <c r="T45" s="1" t="s">
        <v>107</v>
      </c>
      <c r="U45" s="1" t="s">
        <v>108</v>
      </c>
      <c r="V45" s="1">
        <v>19.222000000000001</v>
      </c>
      <c r="W45" s="98"/>
      <c r="X45" s="130"/>
      <c r="Y45" s="98"/>
      <c r="Z45" s="98"/>
      <c r="AA45" s="86"/>
      <c r="AB45" s="135"/>
      <c r="AC45" s="1"/>
      <c r="AD45" s="1"/>
      <c r="AE45" s="1"/>
    </row>
    <row r="46" spans="1:31" x14ac:dyDescent="0.25">
      <c r="A46" s="100"/>
      <c r="B46" s="9">
        <v>347</v>
      </c>
      <c r="C46" s="9" t="s">
        <v>396</v>
      </c>
      <c r="D46" s="9" t="s">
        <v>103</v>
      </c>
      <c r="E46" s="9" t="s">
        <v>421</v>
      </c>
      <c r="F46" s="9" t="s">
        <v>332</v>
      </c>
      <c r="G46" s="9" t="s">
        <v>106</v>
      </c>
      <c r="H46" s="9"/>
      <c r="I46" s="9"/>
      <c r="J46" s="9">
        <v>23.227</v>
      </c>
      <c r="K46" s="9">
        <v>18.948</v>
      </c>
      <c r="L46" s="11"/>
      <c r="M46" s="104">
        <f t="shared" ref="M46:N46" si="102">AVERAGE(J46:J49)</f>
        <v>23.23875</v>
      </c>
      <c r="N46" s="104">
        <f t="shared" si="102"/>
        <v>18.911249999999999</v>
      </c>
      <c r="O46" s="104"/>
      <c r="P46" s="89">
        <f t="shared" ref="P46" si="103">GEOMEAN(M46,N46)</f>
        <v>20.963630671653704</v>
      </c>
      <c r="Q46" s="1" t="s">
        <v>421</v>
      </c>
      <c r="R46" s="1" t="s">
        <v>158</v>
      </c>
      <c r="S46" s="1" t="s">
        <v>106</v>
      </c>
      <c r="T46" s="1" t="s">
        <v>107</v>
      </c>
      <c r="U46" s="1" t="s">
        <v>108</v>
      </c>
      <c r="V46" s="1">
        <v>17.518000000000001</v>
      </c>
      <c r="W46" s="96">
        <f t="shared" ref="W46" si="104">_xlfn.STDEV.S(V46:V49)</f>
        <v>0.19665430752126031</v>
      </c>
      <c r="X46" s="128">
        <f t="shared" ref="X46" si="105">AVERAGE(V46:V49)</f>
        <v>17.67475</v>
      </c>
      <c r="Y46" s="96">
        <f t="shared" ref="Y46" si="106">X46-P46</f>
        <v>-3.288880671653704</v>
      </c>
      <c r="Z46" s="96">
        <f t="shared" ref="Z46" si="107">Y46-$AE$4</f>
        <v>1.0056583562102901</v>
      </c>
      <c r="AA46" s="84">
        <f t="shared" ref="AA46" si="108">2^-Z46</f>
        <v>0.498042803815818</v>
      </c>
      <c r="AB46" s="132"/>
      <c r="AC46" s="1">
        <f t="shared" ref="AC46" si="109">LOG(AA46,2)</f>
        <v>-1.0056583562102901</v>
      </c>
      <c r="AD46" s="1"/>
      <c r="AE46" s="1"/>
    </row>
    <row r="47" spans="1:31" x14ac:dyDescent="0.25">
      <c r="A47" s="101"/>
      <c r="B47" s="1">
        <v>371</v>
      </c>
      <c r="C47" s="1" t="s">
        <v>408</v>
      </c>
      <c r="D47" s="1" t="s">
        <v>103</v>
      </c>
      <c r="E47" s="1" t="s">
        <v>421</v>
      </c>
      <c r="F47" s="1" t="s">
        <v>332</v>
      </c>
      <c r="G47" s="1" t="s">
        <v>106</v>
      </c>
      <c r="H47" s="1"/>
      <c r="I47" s="1"/>
      <c r="J47" s="1">
        <v>23.309000000000001</v>
      </c>
      <c r="K47" s="1">
        <v>18.928999999999998</v>
      </c>
      <c r="L47" s="14"/>
      <c r="M47" s="105"/>
      <c r="N47" s="105"/>
      <c r="O47" s="105"/>
      <c r="P47" s="90"/>
      <c r="Q47" s="1" t="s">
        <v>421</v>
      </c>
      <c r="R47" s="1" t="s">
        <v>158</v>
      </c>
      <c r="S47" s="1" t="s">
        <v>106</v>
      </c>
      <c r="T47" s="1" t="s">
        <v>107</v>
      </c>
      <c r="U47" s="1" t="s">
        <v>108</v>
      </c>
      <c r="V47" s="1">
        <v>17.690000000000001</v>
      </c>
      <c r="W47" s="97"/>
      <c r="X47" s="129"/>
      <c r="Y47" s="97"/>
      <c r="Z47" s="97"/>
      <c r="AA47" s="85"/>
      <c r="AB47" s="133"/>
      <c r="AC47" s="1"/>
      <c r="AD47" s="1"/>
      <c r="AE47" s="1"/>
    </row>
    <row r="48" spans="1:31" x14ac:dyDescent="0.25">
      <c r="A48" s="101"/>
      <c r="B48" s="1">
        <v>348</v>
      </c>
      <c r="C48" s="1" t="s">
        <v>397</v>
      </c>
      <c r="D48" s="1" t="s">
        <v>103</v>
      </c>
      <c r="E48" s="1" t="s">
        <v>421</v>
      </c>
      <c r="F48" s="1" t="s">
        <v>332</v>
      </c>
      <c r="G48" s="1" t="s">
        <v>106</v>
      </c>
      <c r="H48" s="1"/>
      <c r="I48" s="1"/>
      <c r="J48" s="1">
        <v>23.308</v>
      </c>
      <c r="K48" s="1">
        <v>18.931000000000001</v>
      </c>
      <c r="L48" s="14"/>
      <c r="M48" s="105"/>
      <c r="N48" s="105"/>
      <c r="O48" s="105"/>
      <c r="P48" s="90"/>
      <c r="Q48" s="1" t="s">
        <v>421</v>
      </c>
      <c r="R48" s="1" t="s">
        <v>158</v>
      </c>
      <c r="S48" s="1" t="s">
        <v>106</v>
      </c>
      <c r="T48" s="1" t="s">
        <v>107</v>
      </c>
      <c r="U48" s="1" t="s">
        <v>108</v>
      </c>
      <c r="V48" s="1">
        <v>17.544</v>
      </c>
      <c r="W48" s="97"/>
      <c r="X48" s="129"/>
      <c r="Y48" s="97"/>
      <c r="Z48" s="97"/>
      <c r="AA48" s="85"/>
      <c r="AB48" s="133"/>
      <c r="AC48" s="1"/>
      <c r="AD48" s="1"/>
      <c r="AE48" s="1"/>
    </row>
    <row r="49" spans="1:31" ht="15.75" thickBot="1" x14ac:dyDescent="0.3">
      <c r="A49" s="107"/>
      <c r="B49" s="83">
        <v>372</v>
      </c>
      <c r="C49" s="83" t="s">
        <v>409</v>
      </c>
      <c r="D49" s="83" t="s">
        <v>103</v>
      </c>
      <c r="E49" s="83" t="s">
        <v>421</v>
      </c>
      <c r="F49" s="83" t="s">
        <v>332</v>
      </c>
      <c r="G49" s="83" t="s">
        <v>106</v>
      </c>
      <c r="H49" s="83">
        <f t="shared" ref="H49" si="110">_xlfn.STDEV.S(K46:K49)</f>
        <v>5.0228643886398958E-2</v>
      </c>
      <c r="I49" s="83">
        <f t="shared" ref="I49" si="111">_xlfn.STDEV.S(J46:J49)</f>
        <v>9.3432239261045852E-2</v>
      </c>
      <c r="J49" s="83">
        <v>23.111000000000001</v>
      </c>
      <c r="K49" s="83">
        <v>18.837</v>
      </c>
      <c r="L49" s="17"/>
      <c r="M49" s="108"/>
      <c r="N49" s="108"/>
      <c r="O49" s="108"/>
      <c r="P49" s="109"/>
      <c r="Q49" s="1" t="s">
        <v>421</v>
      </c>
      <c r="R49" s="1" t="s">
        <v>158</v>
      </c>
      <c r="S49" s="1" t="s">
        <v>106</v>
      </c>
      <c r="T49" s="1" t="s">
        <v>107</v>
      </c>
      <c r="U49" s="1" t="s">
        <v>108</v>
      </c>
      <c r="V49" s="1">
        <v>17.946999999999999</v>
      </c>
      <c r="W49" s="98"/>
      <c r="X49" s="130"/>
      <c r="Y49" s="98"/>
      <c r="Z49" s="98"/>
      <c r="AA49" s="86"/>
      <c r="AB49" s="134"/>
      <c r="AC49" s="1"/>
      <c r="AD49" s="1"/>
      <c r="AE49" s="1"/>
    </row>
    <row r="50" spans="1:31" x14ac:dyDescent="0.25">
      <c r="A50" s="100"/>
      <c r="B50" s="9">
        <v>337</v>
      </c>
      <c r="C50" s="9" t="s">
        <v>386</v>
      </c>
      <c r="D50" s="9" t="b">
        <v>0</v>
      </c>
      <c r="E50" s="9" t="s">
        <v>422</v>
      </c>
      <c r="F50" s="9" t="s">
        <v>332</v>
      </c>
      <c r="G50" s="9" t="s">
        <v>106</v>
      </c>
      <c r="H50" s="9"/>
      <c r="I50" s="9"/>
      <c r="J50" s="9">
        <v>22.439899444580078</v>
      </c>
      <c r="K50" s="9">
        <v>17.946588516235352</v>
      </c>
      <c r="L50" s="11"/>
      <c r="M50" s="104">
        <f t="shared" ref="M50:N50" si="112">AVERAGE(J50:J53)</f>
        <v>22.516579151153564</v>
      </c>
      <c r="N50" s="104">
        <f t="shared" si="112"/>
        <v>17.914458751678467</v>
      </c>
      <c r="O50" s="104"/>
      <c r="P50" s="89">
        <f t="shared" ref="P50" si="113">GEOMEAN(M50,N50)</f>
        <v>20.084131259087208</v>
      </c>
      <c r="Q50" t="s">
        <v>422</v>
      </c>
      <c r="R50" t="s">
        <v>158</v>
      </c>
      <c r="S50" t="s">
        <v>106</v>
      </c>
      <c r="T50" t="s">
        <v>107</v>
      </c>
      <c r="U50" t="s">
        <v>108</v>
      </c>
      <c r="V50" s="3">
        <v>16.201108932495117</v>
      </c>
      <c r="W50" s="96">
        <f t="shared" ref="W50" si="114">_xlfn.STDEV.S(V50:V53)</f>
        <v>7.2322428662267971E-2</v>
      </c>
      <c r="X50" s="128">
        <f t="shared" ref="X50" si="115">AVERAGE(V50:V53)</f>
        <v>16.130156993865967</v>
      </c>
      <c r="Y50" s="96">
        <f t="shared" ref="Y50" si="116">X50-P50</f>
        <v>-3.9539742652212411</v>
      </c>
      <c r="Z50" s="96">
        <f>Y50-$AE$6</f>
        <v>-2.7887725662969487E-2</v>
      </c>
      <c r="AA50" s="84">
        <f t="shared" ref="AA50" si="117">2^-Z50</f>
        <v>1.0195183383020436</v>
      </c>
      <c r="AB50" s="131"/>
      <c r="AC50" s="1">
        <f t="shared" ref="AC50" si="118">LOG(AA50,2)</f>
        <v>2.7887725662969601E-2</v>
      </c>
      <c r="AD50" s="1"/>
      <c r="AE50" s="1"/>
    </row>
    <row r="51" spans="1:31" x14ac:dyDescent="0.25">
      <c r="A51" s="101"/>
      <c r="B51" s="1">
        <v>361</v>
      </c>
      <c r="C51" s="1" t="s">
        <v>398</v>
      </c>
      <c r="D51" s="1" t="b">
        <v>0</v>
      </c>
      <c r="E51" s="1" t="s">
        <v>422</v>
      </c>
      <c r="F51" s="1" t="s">
        <v>332</v>
      </c>
      <c r="G51" s="1" t="s">
        <v>106</v>
      </c>
      <c r="H51" s="1"/>
      <c r="I51" s="1"/>
      <c r="J51" s="1">
        <v>22.503049850463867</v>
      </c>
      <c r="K51" s="1">
        <v>17.91816520690918</v>
      </c>
      <c r="L51" s="14"/>
      <c r="M51" s="105"/>
      <c r="N51" s="105"/>
      <c r="O51" s="105"/>
      <c r="P51" s="90"/>
      <c r="Q51" t="s">
        <v>422</v>
      </c>
      <c r="R51" t="s">
        <v>158</v>
      </c>
      <c r="S51" t="s">
        <v>106</v>
      </c>
      <c r="T51" t="s">
        <v>107</v>
      </c>
      <c r="U51" t="s">
        <v>108</v>
      </c>
      <c r="V51" s="3">
        <v>16.030067443847656</v>
      </c>
      <c r="W51" s="97"/>
      <c r="X51" s="129"/>
      <c r="Y51" s="97"/>
      <c r="Z51" s="97"/>
      <c r="AA51" s="85"/>
      <c r="AB51" s="127"/>
      <c r="AC51" s="1"/>
      <c r="AD51" s="1"/>
      <c r="AE51" s="1"/>
    </row>
    <row r="52" spans="1:31" x14ac:dyDescent="0.25">
      <c r="A52" s="101"/>
      <c r="B52" s="1">
        <v>338</v>
      </c>
      <c r="C52" s="1" t="s">
        <v>387</v>
      </c>
      <c r="D52" s="1" t="b">
        <v>0</v>
      </c>
      <c r="E52" s="1" t="s">
        <v>422</v>
      </c>
      <c r="F52" s="1" t="s">
        <v>332</v>
      </c>
      <c r="G52" s="1" t="s">
        <v>106</v>
      </c>
      <c r="H52" s="1"/>
      <c r="I52" s="1"/>
      <c r="J52" s="1">
        <v>22.497282028198242</v>
      </c>
      <c r="K52" s="1">
        <v>17.994478225708008</v>
      </c>
      <c r="L52" s="14"/>
      <c r="M52" s="105"/>
      <c r="N52" s="105"/>
      <c r="O52" s="105"/>
      <c r="P52" s="90"/>
      <c r="Q52" t="s">
        <v>422</v>
      </c>
      <c r="R52" t="s">
        <v>158</v>
      </c>
      <c r="S52" t="s">
        <v>106</v>
      </c>
      <c r="T52" t="s">
        <v>107</v>
      </c>
      <c r="U52" t="s">
        <v>108</v>
      </c>
      <c r="V52" s="3">
        <v>16.134357452392578</v>
      </c>
      <c r="W52" s="97"/>
      <c r="X52" s="129"/>
      <c r="Y52" s="97"/>
      <c r="Z52" s="97"/>
      <c r="AA52" s="85"/>
      <c r="AB52" s="127"/>
      <c r="AC52" s="1"/>
      <c r="AD52" s="1"/>
      <c r="AE52" s="1"/>
    </row>
    <row r="53" spans="1:31" ht="15.75" thickBot="1" x14ac:dyDescent="0.3">
      <c r="A53" s="107"/>
      <c r="B53" s="83">
        <v>362</v>
      </c>
      <c r="C53" s="83" t="s">
        <v>399</v>
      </c>
      <c r="D53" s="83" t="b">
        <v>0</v>
      </c>
      <c r="E53" s="83" t="s">
        <v>422</v>
      </c>
      <c r="F53" s="83" t="s">
        <v>332</v>
      </c>
      <c r="G53" s="83" t="s">
        <v>106</v>
      </c>
      <c r="H53" s="83">
        <f t="shared" ref="H53" si="119">_xlfn.STDEV.S(K50:K53)</f>
        <v>8.341006652811378E-2</v>
      </c>
      <c r="I53" s="83">
        <f t="shared" ref="I53" si="120">_xlfn.STDEV.S(J50:J53)</f>
        <v>7.8372594885230545E-2</v>
      </c>
      <c r="J53" s="83">
        <v>22.62608528137207</v>
      </c>
      <c r="K53" s="83">
        <v>17.798603057861328</v>
      </c>
      <c r="L53" s="17"/>
      <c r="M53" s="108"/>
      <c r="N53" s="108"/>
      <c r="O53" s="108"/>
      <c r="P53" s="109"/>
      <c r="Q53" t="s">
        <v>422</v>
      </c>
      <c r="R53" t="s">
        <v>158</v>
      </c>
      <c r="S53" t="s">
        <v>106</v>
      </c>
      <c r="T53" t="s">
        <v>107</v>
      </c>
      <c r="U53" t="s">
        <v>108</v>
      </c>
      <c r="V53" s="3">
        <v>16.155094146728516</v>
      </c>
      <c r="W53" s="98"/>
      <c r="X53" s="130"/>
      <c r="Y53" s="98"/>
      <c r="Z53" s="98"/>
      <c r="AA53" s="86"/>
      <c r="AB53" s="127"/>
      <c r="AC53" s="1"/>
      <c r="AD53" s="1"/>
      <c r="AE53" s="1"/>
    </row>
    <row r="54" spans="1:31" x14ac:dyDescent="0.25">
      <c r="A54" s="100"/>
      <c r="B54" s="9">
        <v>339</v>
      </c>
      <c r="C54" s="9" t="s">
        <v>388</v>
      </c>
      <c r="D54" s="9" t="b">
        <v>0</v>
      </c>
      <c r="E54" s="9" t="s">
        <v>424</v>
      </c>
      <c r="F54" s="9" t="s">
        <v>332</v>
      </c>
      <c r="G54" s="9" t="s">
        <v>106</v>
      </c>
      <c r="H54" s="9"/>
      <c r="I54" s="9"/>
      <c r="J54" s="9">
        <v>22.781806945800781</v>
      </c>
      <c r="K54" s="9">
        <v>18.156644821166992</v>
      </c>
      <c r="L54" s="11"/>
      <c r="M54" s="104">
        <f t="shared" ref="M54:N54" si="121">AVERAGE(J54:J57)</f>
        <v>22.707976341247559</v>
      </c>
      <c r="N54" s="104">
        <f t="shared" si="121"/>
        <v>18.165340423583984</v>
      </c>
      <c r="O54" s="104"/>
      <c r="P54" s="89">
        <f t="shared" ref="P54" si="122">GEOMEAN(M54,N54)</f>
        <v>20.310049743155556</v>
      </c>
      <c r="Q54" t="s">
        <v>424</v>
      </c>
      <c r="R54" t="s">
        <v>158</v>
      </c>
      <c r="S54" t="s">
        <v>106</v>
      </c>
      <c r="T54" t="s">
        <v>107</v>
      </c>
      <c r="U54" t="s">
        <v>108</v>
      </c>
      <c r="V54" s="3">
        <v>16.284313201904297</v>
      </c>
      <c r="W54" s="96">
        <f t="shared" ref="W54" si="123">_xlfn.STDEV.S(V54:V57)</f>
        <v>0.15992276479486883</v>
      </c>
      <c r="X54" s="128">
        <f t="shared" ref="X54" si="124">AVERAGE(V54:V57)</f>
        <v>16.411850929260254</v>
      </c>
      <c r="Y54" s="96">
        <f t="shared" ref="Y54" si="125">X54-P54</f>
        <v>-3.8981988138953021</v>
      </c>
      <c r="Z54" s="96">
        <f t="shared" ref="Z54" si="126">Y54-$AE$6</f>
        <v>2.7887725662969487E-2</v>
      </c>
      <c r="AA54" s="84">
        <f t="shared" ref="AA54" si="127">2^-Z54</f>
        <v>0.98085533377011103</v>
      </c>
      <c r="AB54" s="127"/>
      <c r="AC54" s="1">
        <f t="shared" ref="AC54" si="128">LOG(AA54,2)</f>
        <v>-2.7887725662969633E-2</v>
      </c>
      <c r="AD54" s="1"/>
      <c r="AE54" s="1"/>
    </row>
    <row r="55" spans="1:31" x14ac:dyDescent="0.25">
      <c r="A55" s="101"/>
      <c r="B55" s="1">
        <v>363</v>
      </c>
      <c r="C55" s="1" t="s">
        <v>400</v>
      </c>
      <c r="D55" s="1" t="b">
        <v>0</v>
      </c>
      <c r="E55" s="1" t="s">
        <v>424</v>
      </c>
      <c r="F55" s="1" t="s">
        <v>332</v>
      </c>
      <c r="G55" s="1" t="s">
        <v>106</v>
      </c>
      <c r="H55" s="1"/>
      <c r="I55" s="1"/>
      <c r="J55" s="1">
        <v>22.68287467956543</v>
      </c>
      <c r="K55" s="1">
        <v>19.030796051025391</v>
      </c>
      <c r="L55" s="14"/>
      <c r="M55" s="105"/>
      <c r="N55" s="105"/>
      <c r="O55" s="105"/>
      <c r="P55" s="90"/>
      <c r="Q55" t="s">
        <v>424</v>
      </c>
      <c r="R55" t="s">
        <v>158</v>
      </c>
      <c r="S55" t="s">
        <v>106</v>
      </c>
      <c r="T55" t="s">
        <v>107</v>
      </c>
      <c r="U55" t="s">
        <v>108</v>
      </c>
      <c r="V55" s="3">
        <v>16.324241638183594</v>
      </c>
      <c r="W55" s="97"/>
      <c r="X55" s="129"/>
      <c r="Y55" s="97"/>
      <c r="Z55" s="97"/>
      <c r="AA55" s="85"/>
      <c r="AB55" s="127"/>
      <c r="AC55" s="1"/>
      <c r="AD55" s="1"/>
      <c r="AE55" s="1"/>
    </row>
    <row r="56" spans="1:31" x14ac:dyDescent="0.25">
      <c r="A56" s="101"/>
      <c r="B56" s="1">
        <v>340</v>
      </c>
      <c r="C56" s="1" t="s">
        <v>389</v>
      </c>
      <c r="D56" s="1" t="b">
        <v>0</v>
      </c>
      <c r="E56" s="1" t="s">
        <v>424</v>
      </c>
      <c r="F56" s="1" t="s">
        <v>332</v>
      </c>
      <c r="G56" s="1" t="s">
        <v>106</v>
      </c>
      <c r="H56" s="1"/>
      <c r="I56" s="1"/>
      <c r="J56" s="1">
        <v>22.742557525634766</v>
      </c>
      <c r="K56" s="1">
        <v>18.100671768188477</v>
      </c>
      <c r="L56" s="14"/>
      <c r="M56" s="105"/>
      <c r="N56" s="105"/>
      <c r="O56" s="105"/>
      <c r="P56" s="90"/>
      <c r="Q56" t="s">
        <v>424</v>
      </c>
      <c r="R56" t="s">
        <v>158</v>
      </c>
      <c r="S56" t="s">
        <v>106</v>
      </c>
      <c r="T56" t="s">
        <v>107</v>
      </c>
      <c r="U56" t="s">
        <v>108</v>
      </c>
      <c r="V56" s="3">
        <v>16.641162872314453</v>
      </c>
      <c r="W56" s="97"/>
      <c r="X56" s="129"/>
      <c r="Y56" s="97"/>
      <c r="Z56" s="97"/>
      <c r="AA56" s="85"/>
      <c r="AB56" s="127"/>
      <c r="AC56" s="1"/>
      <c r="AD56" s="1"/>
      <c r="AE56" s="1"/>
    </row>
    <row r="57" spans="1:31" ht="15.75" thickBot="1" x14ac:dyDescent="0.3">
      <c r="A57" s="107"/>
      <c r="B57" s="83">
        <v>364</v>
      </c>
      <c r="C57" s="83" t="s">
        <v>401</v>
      </c>
      <c r="D57" s="83" t="b">
        <v>0</v>
      </c>
      <c r="E57" s="83" t="s">
        <v>424</v>
      </c>
      <c r="F57" s="83" t="s">
        <v>332</v>
      </c>
      <c r="G57" s="83" t="s">
        <v>106</v>
      </c>
      <c r="H57" s="83">
        <f t="shared" ref="H57" si="129">_xlfn.STDEV.S(K54:K57)</f>
        <v>0.67840003670465998</v>
      </c>
      <c r="I57" s="83">
        <f t="shared" ref="I57" si="130">_xlfn.STDEV.S(J54:J57)</f>
        <v>6.8841574660749597E-2</v>
      </c>
      <c r="J57" s="83">
        <v>22.624666213989258</v>
      </c>
      <c r="K57" s="83">
        <v>17.373249053955078</v>
      </c>
      <c r="L57" s="17"/>
      <c r="M57" s="108"/>
      <c r="N57" s="108"/>
      <c r="O57" s="108"/>
      <c r="P57" s="109"/>
      <c r="Q57" t="s">
        <v>424</v>
      </c>
      <c r="R57" t="s">
        <v>158</v>
      </c>
      <c r="S57" t="s">
        <v>106</v>
      </c>
      <c r="T57" t="s">
        <v>107</v>
      </c>
      <c r="U57" t="s">
        <v>108</v>
      </c>
      <c r="V57" s="3">
        <v>16.397686004638672</v>
      </c>
      <c r="W57" s="98"/>
      <c r="X57" s="130"/>
      <c r="Y57" s="98"/>
      <c r="Z57" s="98"/>
      <c r="AA57" s="86"/>
      <c r="AB57" s="127"/>
      <c r="AC57" s="1"/>
      <c r="AD57" s="1"/>
      <c r="AE57" s="1"/>
    </row>
    <row r="58" spans="1:31" x14ac:dyDescent="0.25">
      <c r="A58" s="100"/>
      <c r="B58" s="9">
        <v>341</v>
      </c>
      <c r="C58" s="9" t="s">
        <v>390</v>
      </c>
      <c r="D58" s="9" t="b">
        <v>0</v>
      </c>
      <c r="E58" s="9" t="s">
        <v>423</v>
      </c>
      <c r="F58" s="9" t="s">
        <v>332</v>
      </c>
      <c r="G58" s="9" t="s">
        <v>106</v>
      </c>
      <c r="H58" s="9"/>
      <c r="I58" s="9"/>
      <c r="J58" s="9">
        <v>22.543874740600586</v>
      </c>
      <c r="K58" s="9">
        <v>17.632972717285156</v>
      </c>
      <c r="L58" s="11"/>
      <c r="M58" s="104">
        <f t="shared" ref="M58:N58" si="131">AVERAGE(J58:J61)</f>
        <v>22.527778625488281</v>
      </c>
      <c r="N58" s="104">
        <f t="shared" si="131"/>
        <v>17.682387351989746</v>
      </c>
      <c r="O58" s="104"/>
      <c r="P58" s="89">
        <f t="shared" ref="P58" si="132">GEOMEAN(M58,N58)</f>
        <v>19.958579805080294</v>
      </c>
      <c r="Q58" t="s">
        <v>423</v>
      </c>
      <c r="R58" t="s">
        <v>158</v>
      </c>
      <c r="S58" t="s">
        <v>106</v>
      </c>
      <c r="T58" t="s">
        <v>107</v>
      </c>
      <c r="U58" t="s">
        <v>108</v>
      </c>
      <c r="V58" s="3">
        <v>18.398405075073242</v>
      </c>
      <c r="W58" s="96">
        <f t="shared" ref="W58" si="133">_xlfn.STDEV.S(V58:V61)</f>
        <v>3.2023134196783987E-2</v>
      </c>
      <c r="X58" s="128">
        <f t="shared" ref="X58" si="134">AVERAGE(V58:V61)</f>
        <v>18.358078479766846</v>
      </c>
      <c r="Y58" s="96">
        <f t="shared" ref="Y58" si="135">X58-P58</f>
        <v>-1.6005013253134486</v>
      </c>
      <c r="Z58" s="96">
        <f t="shared" ref="Z58" si="136">Y58-$AE$6</f>
        <v>2.325585214244823</v>
      </c>
      <c r="AA58" s="84">
        <f t="shared" ref="AA58" si="137">2^-Z58</f>
        <v>0.19949365764599924</v>
      </c>
      <c r="AB58" s="127"/>
      <c r="AC58" s="1">
        <f t="shared" ref="AC58" si="138">LOG(AA58,2)</f>
        <v>-2.325585214244823</v>
      </c>
      <c r="AD58" s="1"/>
      <c r="AE58" s="1"/>
    </row>
    <row r="59" spans="1:31" x14ac:dyDescent="0.25">
      <c r="A59" s="101"/>
      <c r="B59" s="1">
        <v>365</v>
      </c>
      <c r="C59" s="1" t="s">
        <v>402</v>
      </c>
      <c r="D59" s="1" t="b">
        <v>0</v>
      </c>
      <c r="E59" s="1" t="s">
        <v>423</v>
      </c>
      <c r="F59" s="1" t="s">
        <v>332</v>
      </c>
      <c r="G59" s="1" t="s">
        <v>106</v>
      </c>
      <c r="H59" s="1"/>
      <c r="I59" s="1"/>
      <c r="J59" s="1">
        <v>22.497089385986328</v>
      </c>
      <c r="K59" s="1">
        <v>17.797683715820313</v>
      </c>
      <c r="L59" s="14"/>
      <c r="M59" s="105"/>
      <c r="N59" s="105"/>
      <c r="O59" s="105"/>
      <c r="P59" s="90"/>
      <c r="Q59" t="s">
        <v>423</v>
      </c>
      <c r="R59" t="s">
        <v>158</v>
      </c>
      <c r="S59" t="s">
        <v>106</v>
      </c>
      <c r="T59" t="s">
        <v>107</v>
      </c>
      <c r="U59" t="s">
        <v>108</v>
      </c>
      <c r="V59" s="3">
        <v>18.346296310424805</v>
      </c>
      <c r="W59" s="97"/>
      <c r="X59" s="129"/>
      <c r="Y59" s="97"/>
      <c r="Z59" s="97"/>
      <c r="AA59" s="85"/>
      <c r="AB59" s="127"/>
      <c r="AC59" s="1"/>
      <c r="AD59" s="1"/>
      <c r="AE59" s="1"/>
    </row>
    <row r="60" spans="1:31" x14ac:dyDescent="0.25">
      <c r="A60" s="101"/>
      <c r="B60" s="1">
        <v>342</v>
      </c>
      <c r="C60" s="1" t="s">
        <v>391</v>
      </c>
      <c r="D60" s="1" t="b">
        <v>0</v>
      </c>
      <c r="E60" s="1" t="s">
        <v>423</v>
      </c>
      <c r="F60" s="1" t="s">
        <v>332</v>
      </c>
      <c r="G60" s="1" t="s">
        <v>106</v>
      </c>
      <c r="H60" s="1"/>
      <c r="I60" s="1"/>
      <c r="J60" s="1">
        <v>22.538244247436523</v>
      </c>
      <c r="K60" s="1">
        <v>17.612838745117188</v>
      </c>
      <c r="L60" s="14"/>
      <c r="M60" s="105"/>
      <c r="N60" s="105"/>
      <c r="O60" s="105"/>
      <c r="P60" s="90"/>
      <c r="Q60" t="s">
        <v>423</v>
      </c>
      <c r="R60" t="s">
        <v>158</v>
      </c>
      <c r="S60" t="s">
        <v>106</v>
      </c>
      <c r="T60" t="s">
        <v>107</v>
      </c>
      <c r="U60" t="s">
        <v>108</v>
      </c>
      <c r="V60" s="3">
        <v>18.322546005249023</v>
      </c>
      <c r="W60" s="97"/>
      <c r="X60" s="129"/>
      <c r="Y60" s="97"/>
      <c r="Z60" s="97"/>
      <c r="AA60" s="85"/>
      <c r="AB60" s="127"/>
      <c r="AC60" s="1"/>
      <c r="AD60" s="1"/>
      <c r="AE60" s="1"/>
    </row>
    <row r="61" spans="1:31" ht="15.75" thickBot="1" x14ac:dyDescent="0.3">
      <c r="A61" s="107"/>
      <c r="B61" s="83">
        <v>366</v>
      </c>
      <c r="C61" s="83" t="s">
        <v>403</v>
      </c>
      <c r="D61" s="83" t="b">
        <v>0</v>
      </c>
      <c r="E61" s="83" t="s">
        <v>423</v>
      </c>
      <c r="F61" s="83" t="s">
        <v>332</v>
      </c>
      <c r="G61" s="83" t="s">
        <v>106</v>
      </c>
      <c r="H61" s="83">
        <f t="shared" ref="H61" si="139">_xlfn.STDEV.S(K58:K61)</f>
        <v>8.2836208560146937E-2</v>
      </c>
      <c r="I61" s="83">
        <f t="shared" ref="I61" si="140">_xlfn.STDEV.S(J58:J61)</f>
        <v>2.1035524413747859E-2</v>
      </c>
      <c r="J61" s="83">
        <v>22.531906127929688</v>
      </c>
      <c r="K61" s="83">
        <v>17.686054229736328</v>
      </c>
      <c r="L61" s="17"/>
      <c r="M61" s="108"/>
      <c r="N61" s="108"/>
      <c r="O61" s="108"/>
      <c r="P61" s="109"/>
      <c r="Q61" t="s">
        <v>423</v>
      </c>
      <c r="R61" t="s">
        <v>158</v>
      </c>
      <c r="S61" t="s">
        <v>106</v>
      </c>
      <c r="T61" t="s">
        <v>107</v>
      </c>
      <c r="U61" t="s">
        <v>108</v>
      </c>
      <c r="V61" s="3">
        <v>18.365066528320313</v>
      </c>
      <c r="W61" s="98"/>
      <c r="X61" s="130"/>
      <c r="Y61" s="98"/>
      <c r="Z61" s="98"/>
      <c r="AA61" s="86"/>
      <c r="AB61" s="127"/>
      <c r="AC61" s="1"/>
      <c r="AD61" s="1"/>
      <c r="AE61" s="1"/>
    </row>
    <row r="62" spans="1:31" x14ac:dyDescent="0.25">
      <c r="A62" s="100"/>
      <c r="B62" s="9">
        <v>343</v>
      </c>
      <c r="C62" s="9" t="s">
        <v>392</v>
      </c>
      <c r="D62" s="9" t="b">
        <v>0</v>
      </c>
      <c r="E62" s="9" t="s">
        <v>425</v>
      </c>
      <c r="F62" s="9" t="s">
        <v>332</v>
      </c>
      <c r="G62" s="9" t="s">
        <v>106</v>
      </c>
      <c r="H62" s="9"/>
      <c r="I62" s="9"/>
      <c r="J62" s="9">
        <v>22.504655838012695</v>
      </c>
      <c r="K62" s="9">
        <v>17.712419509887695</v>
      </c>
      <c r="L62" s="11"/>
      <c r="M62" s="104">
        <f t="shared" ref="M62:N62" si="141">AVERAGE(J62:J65)</f>
        <v>22.514381408691406</v>
      </c>
      <c r="N62" s="104">
        <f t="shared" si="141"/>
        <v>17.726653575897217</v>
      </c>
      <c r="O62" s="104"/>
      <c r="P62" s="89">
        <f t="shared" ref="P62" si="142">GEOMEAN(M62,N62)</f>
        <v>19.977603452553897</v>
      </c>
      <c r="Q62" t="s">
        <v>425</v>
      </c>
      <c r="R62" t="s">
        <v>158</v>
      </c>
      <c r="S62" t="s">
        <v>106</v>
      </c>
      <c r="T62" t="s">
        <v>107</v>
      </c>
      <c r="U62" t="s">
        <v>108</v>
      </c>
      <c r="V62" s="3">
        <v>18.434070587158203</v>
      </c>
      <c r="W62" s="96">
        <f t="shared" ref="W62" si="143">_xlfn.STDEV.S(V62:V65)</f>
        <v>6.1172337150061174E-3</v>
      </c>
      <c r="X62" s="128">
        <f t="shared" ref="X62" si="144">AVERAGE(V62:V65)</f>
        <v>18.427072525024414</v>
      </c>
      <c r="Y62" s="96">
        <f t="shared" ref="Y62" si="145">X62-P62</f>
        <v>-1.5505309275294827</v>
      </c>
      <c r="Z62" s="96">
        <f t="shared" ref="Z62" si="146">Y62-$AE$6</f>
        <v>2.3755556120287888</v>
      </c>
      <c r="AA62" s="84">
        <f t="shared" ref="AA62" si="147">2^-Z62</f>
        <v>0.19270212526546962</v>
      </c>
      <c r="AB62" s="127"/>
      <c r="AC62" s="1">
        <f t="shared" ref="AC62" si="148">LOG(AA62,2)</f>
        <v>-2.3755556120287888</v>
      </c>
      <c r="AD62" s="1"/>
      <c r="AE62" s="1"/>
    </row>
    <row r="63" spans="1:31" x14ac:dyDescent="0.25">
      <c r="A63" s="101"/>
      <c r="B63" s="1">
        <v>367</v>
      </c>
      <c r="C63" s="1" t="s">
        <v>404</v>
      </c>
      <c r="D63" s="1" t="b">
        <v>0</v>
      </c>
      <c r="E63" s="1" t="s">
        <v>425</v>
      </c>
      <c r="F63" s="1" t="s">
        <v>332</v>
      </c>
      <c r="G63" s="1" t="s">
        <v>106</v>
      </c>
      <c r="H63" s="1"/>
      <c r="I63" s="1"/>
      <c r="J63" s="1">
        <v>22.53801155090332</v>
      </c>
      <c r="K63" s="1">
        <v>17.806955337524414</v>
      </c>
      <c r="L63" s="14"/>
      <c r="M63" s="105"/>
      <c r="N63" s="105"/>
      <c r="O63" s="105"/>
      <c r="P63" s="90"/>
      <c r="Q63" t="s">
        <v>425</v>
      </c>
      <c r="R63" t="s">
        <v>158</v>
      </c>
      <c r="S63" t="s">
        <v>106</v>
      </c>
      <c r="T63" t="s">
        <v>107</v>
      </c>
      <c r="U63" t="s">
        <v>108</v>
      </c>
      <c r="V63" s="3">
        <v>18.428445816040039</v>
      </c>
      <c r="W63" s="97"/>
      <c r="X63" s="129"/>
      <c r="Y63" s="97"/>
      <c r="Z63" s="97"/>
      <c r="AA63" s="85"/>
      <c r="AB63" s="127"/>
      <c r="AC63" s="1"/>
      <c r="AD63" s="1"/>
      <c r="AE63" s="1"/>
    </row>
    <row r="64" spans="1:31" x14ac:dyDescent="0.25">
      <c r="A64" s="101"/>
      <c r="B64" s="1">
        <v>344</v>
      </c>
      <c r="C64" s="1" t="s">
        <v>393</v>
      </c>
      <c r="D64" s="1" t="b">
        <v>0</v>
      </c>
      <c r="E64" s="1" t="s">
        <v>425</v>
      </c>
      <c r="F64" s="1" t="s">
        <v>332</v>
      </c>
      <c r="G64" s="1" t="s">
        <v>106</v>
      </c>
      <c r="H64" s="1"/>
      <c r="I64" s="1"/>
      <c r="J64" s="1">
        <v>22.499790191650391</v>
      </c>
      <c r="K64" s="1">
        <v>17.708463668823242</v>
      </c>
      <c r="L64" s="14"/>
      <c r="M64" s="105"/>
      <c r="N64" s="105"/>
      <c r="O64" s="105"/>
      <c r="P64" s="90"/>
      <c r="Q64" t="s">
        <v>425</v>
      </c>
      <c r="R64" t="s">
        <v>158</v>
      </c>
      <c r="S64" t="s">
        <v>106</v>
      </c>
      <c r="T64" t="s">
        <v>107</v>
      </c>
      <c r="U64" t="s">
        <v>108</v>
      </c>
      <c r="V64" s="3">
        <v>18.419256210327148</v>
      </c>
      <c r="W64" s="97"/>
      <c r="X64" s="129"/>
      <c r="Y64" s="97"/>
      <c r="Z64" s="97"/>
      <c r="AA64" s="85"/>
      <c r="AB64" s="127"/>
      <c r="AC64" s="1"/>
      <c r="AD64" s="1"/>
      <c r="AE64" s="1"/>
    </row>
    <row r="65" spans="1:31" ht="15.75" thickBot="1" x14ac:dyDescent="0.3">
      <c r="A65" s="107"/>
      <c r="B65" s="83">
        <v>368</v>
      </c>
      <c r="C65" s="83" t="s">
        <v>405</v>
      </c>
      <c r="D65" s="83" t="b">
        <v>0</v>
      </c>
      <c r="E65" s="83" t="s">
        <v>425</v>
      </c>
      <c r="F65" s="83" t="s">
        <v>332</v>
      </c>
      <c r="G65" s="83" t="s">
        <v>106</v>
      </c>
      <c r="H65" s="83">
        <f t="shared" ref="H65" si="149">_xlfn.STDEV.S(K62:K65)</f>
        <v>5.5600170595631028E-2</v>
      </c>
      <c r="I65" s="83">
        <f t="shared" ref="I65" si="150">_xlfn.STDEV.S(J62:J65)</f>
        <v>1.6993581560629578E-2</v>
      </c>
      <c r="J65" s="83">
        <v>22.515068054199219</v>
      </c>
      <c r="K65" s="83">
        <v>17.678775787353516</v>
      </c>
      <c r="L65" s="17"/>
      <c r="M65" s="108"/>
      <c r="N65" s="108"/>
      <c r="O65" s="108"/>
      <c r="P65" s="109"/>
      <c r="Q65" t="s">
        <v>425</v>
      </c>
      <c r="R65" t="s">
        <v>158</v>
      </c>
      <c r="S65" t="s">
        <v>106</v>
      </c>
      <c r="T65" t="s">
        <v>107</v>
      </c>
      <c r="U65" t="s">
        <v>108</v>
      </c>
      <c r="V65" s="3">
        <v>18.426517486572266</v>
      </c>
      <c r="W65" s="98"/>
      <c r="X65" s="130"/>
      <c r="Y65" s="98"/>
      <c r="Z65" s="98"/>
      <c r="AA65" s="86"/>
      <c r="AB65" s="127"/>
      <c r="AC65" s="1"/>
      <c r="AD65" s="1"/>
      <c r="AE65" s="1"/>
    </row>
    <row r="66" spans="1:31" x14ac:dyDescent="0.25">
      <c r="A66" s="100"/>
      <c r="B66" s="9">
        <v>345</v>
      </c>
      <c r="C66" s="9" t="s">
        <v>394</v>
      </c>
      <c r="D66" s="9" t="b">
        <v>0</v>
      </c>
      <c r="E66" s="9" t="s">
        <v>426</v>
      </c>
      <c r="F66" s="9" t="s">
        <v>332</v>
      </c>
      <c r="G66" s="9" t="s">
        <v>106</v>
      </c>
      <c r="H66" s="9"/>
      <c r="I66" s="9"/>
      <c r="J66" s="9">
        <v>22.853849411010742</v>
      </c>
      <c r="K66" s="9">
        <v>18.554037094116211</v>
      </c>
      <c r="L66" s="11"/>
      <c r="M66" s="104">
        <f t="shared" ref="M66:N66" si="151">AVERAGE(J66:J69)</f>
        <v>22.862873554229736</v>
      </c>
      <c r="N66" s="104">
        <f t="shared" si="151"/>
        <v>18.527228832244873</v>
      </c>
      <c r="O66" s="104"/>
      <c r="P66" s="89">
        <f t="shared" ref="P66" si="152">GEOMEAN(M66,N66)</f>
        <v>20.581197489502255</v>
      </c>
      <c r="Q66" t="s">
        <v>426</v>
      </c>
      <c r="R66" t="s">
        <v>158</v>
      </c>
      <c r="S66" t="s">
        <v>106</v>
      </c>
      <c r="T66" t="s">
        <v>107</v>
      </c>
      <c r="U66" t="s">
        <v>108</v>
      </c>
      <c r="V66" s="3">
        <v>17.061502456665039</v>
      </c>
      <c r="W66" s="96">
        <f t="shared" ref="W66" si="153">_xlfn.STDEV.S(V66:V69)</f>
        <v>7.0974816512693439E-2</v>
      </c>
      <c r="X66" s="128">
        <f t="shared" ref="X66" si="154">AVERAGE(V66:V69)</f>
        <v>17.107131958007813</v>
      </c>
      <c r="Y66" s="96">
        <f t="shared" ref="Y66" si="155">X66-P66</f>
        <v>-3.4740655314944426</v>
      </c>
      <c r="Z66" s="96">
        <f t="shared" ref="Z66" si="156">Y66-$AE$6</f>
        <v>0.45202100806382894</v>
      </c>
      <c r="AA66" s="84">
        <f t="shared" ref="AA66" si="157">2^-Z66</f>
        <v>0.73101807927101325</v>
      </c>
      <c r="AB66" s="119"/>
      <c r="AC66" s="1">
        <f t="shared" ref="AC66" si="158">LOG(AA66,2)</f>
        <v>-0.45202100806382894</v>
      </c>
      <c r="AD66" s="1"/>
      <c r="AE66" s="1"/>
    </row>
    <row r="67" spans="1:31" x14ac:dyDescent="0.25">
      <c r="A67" s="101"/>
      <c r="B67" s="1">
        <v>369</v>
      </c>
      <c r="C67" s="1" t="s">
        <v>406</v>
      </c>
      <c r="D67" s="1" t="b">
        <v>0</v>
      </c>
      <c r="E67" s="1" t="s">
        <v>426</v>
      </c>
      <c r="F67" s="1" t="s">
        <v>332</v>
      </c>
      <c r="G67" s="1" t="s">
        <v>106</v>
      </c>
      <c r="H67" s="1"/>
      <c r="I67" s="1"/>
      <c r="J67" s="1">
        <v>22.905683517456055</v>
      </c>
      <c r="K67" s="1">
        <v>18.587224960327148</v>
      </c>
      <c r="L67" s="14"/>
      <c r="M67" s="105"/>
      <c r="N67" s="105"/>
      <c r="O67" s="105"/>
      <c r="P67" s="90"/>
      <c r="Q67" t="s">
        <v>426</v>
      </c>
      <c r="R67" t="s">
        <v>158</v>
      </c>
      <c r="S67" t="s">
        <v>106</v>
      </c>
      <c r="T67" t="s">
        <v>107</v>
      </c>
      <c r="U67" t="s">
        <v>108</v>
      </c>
      <c r="V67" s="3">
        <v>17.095100402832031</v>
      </c>
      <c r="W67" s="97"/>
      <c r="X67" s="129"/>
      <c r="Y67" s="97"/>
      <c r="Z67" s="97"/>
      <c r="AA67" s="85"/>
      <c r="AB67" s="119"/>
      <c r="AC67" s="1"/>
      <c r="AD67" s="1"/>
      <c r="AE67" s="1"/>
    </row>
    <row r="68" spans="1:31" x14ac:dyDescent="0.25">
      <c r="A68" s="101"/>
      <c r="B68" s="1">
        <v>346</v>
      </c>
      <c r="C68" s="1" t="s">
        <v>395</v>
      </c>
      <c r="D68" s="1" t="b">
        <v>0</v>
      </c>
      <c r="E68" s="1" t="s">
        <v>426</v>
      </c>
      <c r="F68" s="1" t="s">
        <v>332</v>
      </c>
      <c r="G68" s="1" t="s">
        <v>106</v>
      </c>
      <c r="H68" s="1"/>
      <c r="I68" s="1"/>
      <c r="J68" s="1">
        <v>22.859567642211914</v>
      </c>
      <c r="K68" s="1">
        <v>18.580108642578125</v>
      </c>
      <c r="L68" s="14"/>
      <c r="M68" s="105"/>
      <c r="N68" s="105"/>
      <c r="O68" s="105"/>
      <c r="P68" s="90"/>
      <c r="Q68" t="s">
        <v>426</v>
      </c>
      <c r="R68" t="s">
        <v>158</v>
      </c>
      <c r="S68" t="s">
        <v>106</v>
      </c>
      <c r="T68" t="s">
        <v>107</v>
      </c>
      <c r="U68" t="s">
        <v>108</v>
      </c>
      <c r="V68" s="3">
        <v>17.061052322387695</v>
      </c>
      <c r="W68" s="97"/>
      <c r="X68" s="129"/>
      <c r="Y68" s="97"/>
      <c r="Z68" s="97"/>
      <c r="AA68" s="85"/>
      <c r="AB68" s="119"/>
      <c r="AC68" s="1"/>
      <c r="AD68" s="1"/>
      <c r="AE68" s="1"/>
    </row>
    <row r="69" spans="1:31" ht="15.75" thickBot="1" x14ac:dyDescent="0.3">
      <c r="A69" s="107"/>
      <c r="B69" s="83">
        <v>370</v>
      </c>
      <c r="C69" s="83" t="s">
        <v>407</v>
      </c>
      <c r="D69" s="83" t="b">
        <v>0</v>
      </c>
      <c r="E69" s="83" t="s">
        <v>426</v>
      </c>
      <c r="F69" s="83" t="s">
        <v>332</v>
      </c>
      <c r="G69" s="83" t="s">
        <v>106</v>
      </c>
      <c r="H69" s="83">
        <f t="shared" ref="H69" si="159">_xlfn.STDEV.S(K66:K69)</f>
        <v>9.4209285529769315E-2</v>
      </c>
      <c r="I69" s="83">
        <f t="shared" ref="I69" si="160">_xlfn.STDEV.S(J66:J69)</f>
        <v>3.0844134815735145E-2</v>
      </c>
      <c r="J69" s="83">
        <v>22.832393646240234</v>
      </c>
      <c r="K69" s="83">
        <v>18.387544631958008</v>
      </c>
      <c r="L69" s="17"/>
      <c r="M69" s="108"/>
      <c r="N69" s="108"/>
      <c r="O69" s="108"/>
      <c r="P69" s="109"/>
      <c r="Q69" t="s">
        <v>426</v>
      </c>
      <c r="R69" t="s">
        <v>158</v>
      </c>
      <c r="S69" t="s">
        <v>106</v>
      </c>
      <c r="T69" t="s">
        <v>107</v>
      </c>
      <c r="U69" t="s">
        <v>108</v>
      </c>
      <c r="V69" s="3">
        <v>17.210872650146484</v>
      </c>
      <c r="W69" s="98"/>
      <c r="X69" s="130"/>
      <c r="Y69" s="98"/>
      <c r="Z69" s="98"/>
      <c r="AA69" s="86"/>
      <c r="AB69" s="119"/>
      <c r="AC69" s="1"/>
      <c r="AD69" s="1"/>
      <c r="AE69" s="1"/>
    </row>
    <row r="70" spans="1:31" x14ac:dyDescent="0.25">
      <c r="A70" s="100"/>
      <c r="B70" s="9">
        <v>347</v>
      </c>
      <c r="C70" s="9" t="s">
        <v>396</v>
      </c>
      <c r="D70" s="9" t="b">
        <v>0</v>
      </c>
      <c r="E70" s="9" t="s">
        <v>427</v>
      </c>
      <c r="F70" s="9" t="s">
        <v>332</v>
      </c>
      <c r="G70" s="9" t="s">
        <v>106</v>
      </c>
      <c r="H70" s="9"/>
      <c r="I70" s="9"/>
      <c r="J70" s="9">
        <v>22.899017333984375</v>
      </c>
      <c r="K70" s="9">
        <v>18.637588500976563</v>
      </c>
      <c r="L70" s="11"/>
      <c r="M70" s="104">
        <f t="shared" ref="M70:N70" si="161">AVERAGE(J70:J73)</f>
        <v>23.081553936004639</v>
      </c>
      <c r="N70" s="104">
        <f t="shared" si="161"/>
        <v>18.681993961334229</v>
      </c>
      <c r="O70" s="104"/>
      <c r="P70" s="89">
        <f t="shared" ref="P70" si="162">GEOMEAN(M70,N70)</f>
        <v>20.765583335188275</v>
      </c>
      <c r="Q70" t="s">
        <v>427</v>
      </c>
      <c r="R70" t="s">
        <v>158</v>
      </c>
      <c r="S70" t="s">
        <v>106</v>
      </c>
      <c r="T70" t="s">
        <v>107</v>
      </c>
      <c r="U70" t="s">
        <v>108</v>
      </c>
      <c r="V70" s="3">
        <v>17.03178596496582</v>
      </c>
      <c r="W70" s="96">
        <f t="shared" ref="W70" si="163">_xlfn.STDEV.S(V70:V73)</f>
        <v>0.10137251975823033</v>
      </c>
      <c r="X70" s="128">
        <f t="shared" ref="X70" si="164">AVERAGE(V70:V73)</f>
        <v>17.172722816467285</v>
      </c>
      <c r="Y70" s="96">
        <f t="shared" ref="Y70" si="165">X70-P70</f>
        <v>-3.5928605187209897</v>
      </c>
      <c r="Z70" s="96">
        <f t="shared" ref="Z70" si="166">Y70-$AE$6</f>
        <v>0.33322602083728192</v>
      </c>
      <c r="AA70" s="84">
        <f t="shared" ref="AA70" si="167">2^-Z70</f>
        <v>0.79375956628713573</v>
      </c>
      <c r="AB70" s="119"/>
      <c r="AC70" s="1">
        <f t="shared" ref="AC70" si="168">LOG(AA70,2)</f>
        <v>-0.33322602083728187</v>
      </c>
      <c r="AD70" s="1"/>
      <c r="AE70" s="1"/>
    </row>
    <row r="71" spans="1:31" x14ac:dyDescent="0.25">
      <c r="A71" s="101"/>
      <c r="B71" s="1">
        <v>371</v>
      </c>
      <c r="C71" s="1" t="s">
        <v>408</v>
      </c>
      <c r="D71" s="1" t="b">
        <v>0</v>
      </c>
      <c r="E71" s="1" t="s">
        <v>427</v>
      </c>
      <c r="F71" s="1" t="s">
        <v>332</v>
      </c>
      <c r="G71" s="1" t="s">
        <v>106</v>
      </c>
      <c r="H71" s="1"/>
      <c r="I71" s="1"/>
      <c r="J71" s="1">
        <v>22.754722595214844</v>
      </c>
      <c r="K71" s="1">
        <v>18.74791145324707</v>
      </c>
      <c r="L71" s="14"/>
      <c r="M71" s="105"/>
      <c r="N71" s="105"/>
      <c r="O71" s="105"/>
      <c r="P71" s="90"/>
      <c r="Q71" t="s">
        <v>427</v>
      </c>
      <c r="R71" t="s">
        <v>158</v>
      </c>
      <c r="S71" t="s">
        <v>106</v>
      </c>
      <c r="T71" t="s">
        <v>107</v>
      </c>
      <c r="U71" t="s">
        <v>108</v>
      </c>
      <c r="V71" s="3">
        <v>17.177976608276367</v>
      </c>
      <c r="W71" s="97"/>
      <c r="X71" s="129"/>
      <c r="Y71" s="97"/>
      <c r="Z71" s="97"/>
      <c r="AA71" s="85"/>
      <c r="AB71" s="119"/>
      <c r="AC71" s="1"/>
      <c r="AD71" s="1"/>
      <c r="AE71" s="1"/>
    </row>
    <row r="72" spans="1:31" x14ac:dyDescent="0.25">
      <c r="A72" s="101"/>
      <c r="B72" s="1">
        <v>348</v>
      </c>
      <c r="C72" s="1" t="s">
        <v>397</v>
      </c>
      <c r="D72" s="1" t="b">
        <v>0</v>
      </c>
      <c r="E72" s="1" t="s">
        <v>427</v>
      </c>
      <c r="F72" s="1" t="s">
        <v>332</v>
      </c>
      <c r="G72" s="1" t="s">
        <v>106</v>
      </c>
      <c r="H72" s="1"/>
      <c r="I72" s="1"/>
      <c r="J72" s="1">
        <v>22.944528579711914</v>
      </c>
      <c r="K72" s="1">
        <v>18.6053466796875</v>
      </c>
      <c r="L72" s="14"/>
      <c r="M72" s="105"/>
      <c r="N72" s="105"/>
      <c r="O72" s="105"/>
      <c r="P72" s="90"/>
      <c r="Q72" t="s">
        <v>427</v>
      </c>
      <c r="R72" t="s">
        <v>158</v>
      </c>
      <c r="S72" t="s">
        <v>106</v>
      </c>
      <c r="T72" t="s">
        <v>107</v>
      </c>
      <c r="U72" t="s">
        <v>108</v>
      </c>
      <c r="V72" s="3">
        <v>17.270004272460938</v>
      </c>
      <c r="W72" s="97"/>
      <c r="X72" s="129"/>
      <c r="Y72" s="97"/>
      <c r="Z72" s="97"/>
      <c r="AA72" s="85"/>
      <c r="AB72" s="119"/>
      <c r="AC72" s="1"/>
      <c r="AD72" s="1"/>
      <c r="AE72" s="1"/>
    </row>
    <row r="73" spans="1:31" ht="15.75" thickBot="1" x14ac:dyDescent="0.3">
      <c r="A73" s="107"/>
      <c r="B73" s="83">
        <v>372</v>
      </c>
      <c r="C73" s="83" t="s">
        <v>409</v>
      </c>
      <c r="D73" s="83" t="b">
        <v>0</v>
      </c>
      <c r="E73" s="83" t="s">
        <v>427</v>
      </c>
      <c r="F73" s="83" t="s">
        <v>332</v>
      </c>
      <c r="G73" s="83" t="s">
        <v>106</v>
      </c>
      <c r="H73" s="83">
        <f t="shared" ref="H73" si="169">_xlfn.STDEV.S(K70:K73)</f>
        <v>7.1254619116112514E-2</v>
      </c>
      <c r="I73" s="83">
        <f t="shared" ref="I73" si="170">_xlfn.STDEV.S(J70:J73)</f>
        <v>0.43845888510846998</v>
      </c>
      <c r="J73" s="83">
        <v>23.727947235107422</v>
      </c>
      <c r="K73" s="83">
        <v>18.737129211425781</v>
      </c>
      <c r="L73" s="17"/>
      <c r="M73" s="108"/>
      <c r="N73" s="108"/>
      <c r="O73" s="108"/>
      <c r="P73" s="109"/>
      <c r="Q73" t="s">
        <v>427</v>
      </c>
      <c r="R73" t="s">
        <v>158</v>
      </c>
      <c r="S73" t="s">
        <v>106</v>
      </c>
      <c r="T73" t="s">
        <v>107</v>
      </c>
      <c r="U73" t="s">
        <v>108</v>
      </c>
      <c r="V73" s="3">
        <v>17.211124420166016</v>
      </c>
      <c r="W73" s="98"/>
      <c r="X73" s="130"/>
      <c r="Y73" s="98"/>
      <c r="Z73" s="98"/>
      <c r="AA73" s="86"/>
      <c r="AB73" s="119"/>
      <c r="AC73" s="1"/>
      <c r="AD73" s="1"/>
      <c r="AE73" s="1"/>
    </row>
    <row r="74" spans="1:31" x14ac:dyDescent="0.25">
      <c r="A74" s="100"/>
      <c r="B74" s="11"/>
      <c r="C74" s="11"/>
      <c r="D74" s="11"/>
      <c r="E74" s="11"/>
      <c r="F74" s="11"/>
      <c r="G74" s="11"/>
      <c r="H74" s="96"/>
      <c r="I74" s="96"/>
      <c r="J74" s="22"/>
      <c r="K74" s="27"/>
      <c r="L74" s="11"/>
      <c r="M74" s="104"/>
      <c r="N74" s="104"/>
      <c r="O74" s="104"/>
      <c r="P74" s="89"/>
      <c r="Q74" s="13"/>
      <c r="R74" s="11"/>
      <c r="S74" s="11"/>
      <c r="T74" s="11"/>
      <c r="U74" s="11"/>
      <c r="V74" s="29"/>
      <c r="W74" s="96"/>
      <c r="X74" s="124"/>
      <c r="Y74" s="96"/>
      <c r="Z74" s="96"/>
      <c r="AA74" s="96"/>
      <c r="AB74" s="119"/>
      <c r="AC74" s="1"/>
      <c r="AD74" s="1"/>
      <c r="AE74" s="1"/>
    </row>
    <row r="75" spans="1:31" x14ac:dyDescent="0.25">
      <c r="A75" s="101"/>
      <c r="B75" s="14"/>
      <c r="C75" s="14"/>
      <c r="D75" s="14"/>
      <c r="E75" s="14"/>
      <c r="F75" s="14"/>
      <c r="G75" s="14"/>
      <c r="H75" s="97"/>
      <c r="I75" s="97"/>
      <c r="J75" s="24"/>
      <c r="K75" s="30"/>
      <c r="L75" s="14"/>
      <c r="M75" s="105"/>
      <c r="N75" s="105"/>
      <c r="O75" s="105"/>
      <c r="P75" s="90"/>
      <c r="Q75" s="16"/>
      <c r="R75" s="14"/>
      <c r="S75" s="14"/>
      <c r="T75" s="14"/>
      <c r="U75" s="14"/>
      <c r="V75" s="26"/>
      <c r="W75" s="97"/>
      <c r="X75" s="125"/>
      <c r="Y75" s="97"/>
      <c r="Z75" s="97"/>
      <c r="AA75" s="97"/>
      <c r="AB75" s="119"/>
      <c r="AC75" s="1"/>
      <c r="AD75" s="1"/>
      <c r="AE75" s="1"/>
    </row>
    <row r="76" spans="1:31" x14ac:dyDescent="0.25">
      <c r="A76" s="101"/>
      <c r="B76" s="14"/>
      <c r="C76" s="14"/>
      <c r="D76" s="14"/>
      <c r="E76" s="14"/>
      <c r="F76" s="14"/>
      <c r="G76" s="14"/>
      <c r="H76" s="97"/>
      <c r="I76" s="97"/>
      <c r="J76" s="31"/>
      <c r="K76" s="32"/>
      <c r="L76" s="14"/>
      <c r="M76" s="105"/>
      <c r="N76" s="105"/>
      <c r="O76" s="105"/>
      <c r="P76" s="90"/>
      <c r="Q76" s="16"/>
      <c r="R76" s="14"/>
      <c r="S76" s="14"/>
      <c r="T76" s="14"/>
      <c r="U76" s="14"/>
      <c r="V76" s="26"/>
      <c r="W76" s="97"/>
      <c r="X76" s="125"/>
      <c r="Y76" s="97"/>
      <c r="Z76" s="97"/>
      <c r="AA76" s="97"/>
      <c r="AB76" s="119"/>
      <c r="AC76" s="1"/>
      <c r="AD76" s="1"/>
      <c r="AE76" s="1"/>
    </row>
    <row r="77" spans="1:31" ht="15.75" thickBot="1" x14ac:dyDescent="0.3">
      <c r="A77" s="107"/>
      <c r="B77" s="17"/>
      <c r="C77" s="17"/>
      <c r="D77" s="17"/>
      <c r="E77" s="17"/>
      <c r="F77" s="17"/>
      <c r="G77" s="17"/>
      <c r="H77" s="98"/>
      <c r="I77" s="98"/>
      <c r="J77" s="33"/>
      <c r="K77" s="20"/>
      <c r="L77" s="17"/>
      <c r="M77" s="108"/>
      <c r="N77" s="108"/>
      <c r="O77" s="108"/>
      <c r="P77" s="109"/>
      <c r="Q77" s="18"/>
      <c r="R77" s="17"/>
      <c r="S77" s="17"/>
      <c r="T77" s="17"/>
      <c r="U77" s="17"/>
      <c r="V77" s="34"/>
      <c r="W77" s="98"/>
      <c r="X77" s="126"/>
      <c r="Y77" s="98"/>
      <c r="Z77" s="98"/>
      <c r="AA77" s="98"/>
      <c r="AB77" s="119"/>
      <c r="AC77" s="1"/>
      <c r="AD77" s="1"/>
      <c r="AE77" s="1"/>
    </row>
    <row r="78" spans="1:31" x14ac:dyDescent="0.25">
      <c r="A78" s="100"/>
      <c r="B78" s="11"/>
      <c r="C78" s="11"/>
      <c r="D78" s="11"/>
      <c r="E78" s="11"/>
      <c r="F78" s="11"/>
      <c r="G78" s="11"/>
      <c r="H78" s="92"/>
      <c r="I78" s="96"/>
      <c r="J78" s="35"/>
      <c r="K78" s="36"/>
      <c r="L78" s="11"/>
      <c r="M78" s="104"/>
      <c r="N78" s="104"/>
      <c r="O78" s="104"/>
      <c r="P78" s="89"/>
      <c r="Q78" s="13"/>
      <c r="R78" s="11"/>
      <c r="S78" s="11"/>
      <c r="T78" s="11"/>
      <c r="U78" s="11"/>
      <c r="V78" s="37"/>
      <c r="W78" s="96"/>
      <c r="X78" s="121"/>
      <c r="Y78" s="96"/>
      <c r="Z78" s="96"/>
      <c r="AA78" s="96"/>
      <c r="AB78" s="119"/>
      <c r="AC78" s="1"/>
      <c r="AD78" s="1"/>
      <c r="AE78" s="1"/>
    </row>
    <row r="79" spans="1:31" x14ac:dyDescent="0.25">
      <c r="A79" s="101"/>
      <c r="B79" s="14"/>
      <c r="C79" s="14"/>
      <c r="D79" s="14"/>
      <c r="E79" s="14"/>
      <c r="F79" s="14"/>
      <c r="G79" s="14"/>
      <c r="H79" s="93"/>
      <c r="I79" s="97"/>
      <c r="J79" s="38"/>
      <c r="K79" s="39"/>
      <c r="L79" s="14"/>
      <c r="M79" s="105"/>
      <c r="N79" s="105"/>
      <c r="O79" s="105"/>
      <c r="P79" s="90"/>
      <c r="Q79" s="16"/>
      <c r="R79" s="14"/>
      <c r="S79" s="14"/>
      <c r="T79" s="14"/>
      <c r="U79" s="14"/>
      <c r="V79" s="40"/>
      <c r="W79" s="97"/>
      <c r="X79" s="122"/>
      <c r="Y79" s="97"/>
      <c r="Z79" s="97"/>
      <c r="AA79" s="97"/>
      <c r="AB79" s="119"/>
      <c r="AC79" s="1"/>
      <c r="AD79" s="1"/>
      <c r="AE79" s="1"/>
    </row>
    <row r="80" spans="1:31" x14ac:dyDescent="0.25">
      <c r="A80" s="101"/>
      <c r="B80" s="14"/>
      <c r="C80" s="14"/>
      <c r="D80" s="14"/>
      <c r="E80" s="14"/>
      <c r="F80" s="14"/>
      <c r="G80" s="14"/>
      <c r="H80" s="93"/>
      <c r="I80" s="97"/>
      <c r="J80" s="41"/>
      <c r="K80" s="42"/>
      <c r="L80" s="14"/>
      <c r="M80" s="105"/>
      <c r="N80" s="105"/>
      <c r="O80" s="105"/>
      <c r="P80" s="90"/>
      <c r="Q80" s="16"/>
      <c r="R80" s="14"/>
      <c r="S80" s="14"/>
      <c r="T80" s="14"/>
      <c r="U80" s="14"/>
      <c r="V80" s="15"/>
      <c r="W80" s="97"/>
      <c r="X80" s="122"/>
      <c r="Y80" s="97"/>
      <c r="Z80" s="97"/>
      <c r="AA80" s="97"/>
      <c r="AB80" s="119"/>
      <c r="AC80" s="1"/>
      <c r="AD80" s="1"/>
      <c r="AE80" s="1"/>
    </row>
    <row r="81" spans="1:31" ht="15.75" thickBot="1" x14ac:dyDescent="0.3">
      <c r="A81" s="107"/>
      <c r="B81" s="17"/>
      <c r="C81" s="17"/>
      <c r="D81" s="17"/>
      <c r="E81" s="17"/>
      <c r="F81" s="17"/>
      <c r="G81" s="17"/>
      <c r="H81" s="120"/>
      <c r="I81" s="98"/>
      <c r="J81" s="43"/>
      <c r="K81" s="44"/>
      <c r="L81" s="17"/>
      <c r="M81" s="108"/>
      <c r="N81" s="108"/>
      <c r="O81" s="108"/>
      <c r="P81" s="109"/>
      <c r="Q81" s="18"/>
      <c r="R81" s="17"/>
      <c r="S81" s="17"/>
      <c r="T81" s="17"/>
      <c r="U81" s="17"/>
      <c r="V81" s="45"/>
      <c r="W81" s="98"/>
      <c r="X81" s="123"/>
      <c r="Y81" s="98"/>
      <c r="Z81" s="98"/>
      <c r="AA81" s="98"/>
      <c r="AB81" s="119"/>
      <c r="AC81" s="1"/>
      <c r="AD81" s="1"/>
      <c r="AE81" s="1"/>
    </row>
    <row r="82" spans="1:31" x14ac:dyDescent="0.25">
      <c r="A82" s="100"/>
      <c r="B82" s="11"/>
      <c r="C82" s="11"/>
      <c r="D82" s="11"/>
      <c r="E82" s="11"/>
      <c r="F82" s="11"/>
      <c r="G82" s="11"/>
      <c r="H82" s="96"/>
      <c r="I82" s="96"/>
      <c r="J82" s="46"/>
      <c r="K82" s="47"/>
      <c r="L82" s="11"/>
      <c r="M82" s="104"/>
      <c r="N82" s="104"/>
      <c r="O82" s="104"/>
      <c r="P82" s="89"/>
      <c r="Q82" s="13"/>
      <c r="R82" s="11"/>
      <c r="S82" s="11"/>
      <c r="T82" s="11"/>
      <c r="U82" s="11"/>
      <c r="V82" s="29"/>
      <c r="W82" s="96"/>
      <c r="X82" s="116"/>
      <c r="Y82" s="96"/>
      <c r="Z82" s="96"/>
      <c r="AA82" s="96"/>
      <c r="AB82" s="99"/>
      <c r="AC82" s="1"/>
      <c r="AD82" s="1"/>
      <c r="AE82" s="1"/>
    </row>
    <row r="83" spans="1:31" x14ac:dyDescent="0.25">
      <c r="A83" s="101"/>
      <c r="B83" s="14"/>
      <c r="C83" s="14"/>
      <c r="D83" s="14"/>
      <c r="E83" s="14"/>
      <c r="F83" s="14"/>
      <c r="G83" s="14"/>
      <c r="H83" s="97"/>
      <c r="I83" s="97"/>
      <c r="J83" s="48"/>
      <c r="K83" s="49"/>
      <c r="L83" s="14"/>
      <c r="M83" s="105"/>
      <c r="N83" s="105"/>
      <c r="O83" s="105"/>
      <c r="P83" s="90"/>
      <c r="Q83" s="16"/>
      <c r="R83" s="14"/>
      <c r="S83" s="14"/>
      <c r="T83" s="14"/>
      <c r="U83" s="14"/>
      <c r="V83" s="50"/>
      <c r="W83" s="97"/>
      <c r="X83" s="117"/>
      <c r="Y83" s="97"/>
      <c r="Z83" s="97"/>
      <c r="AA83" s="97"/>
      <c r="AB83" s="99"/>
      <c r="AC83" s="1"/>
      <c r="AD83" s="1"/>
      <c r="AE83" s="1"/>
    </row>
    <row r="84" spans="1:31" x14ac:dyDescent="0.25">
      <c r="A84" s="101"/>
      <c r="B84" s="14"/>
      <c r="C84" s="14"/>
      <c r="D84" s="14"/>
      <c r="E84" s="14"/>
      <c r="F84" s="14"/>
      <c r="G84" s="14"/>
      <c r="H84" s="97"/>
      <c r="I84" s="97"/>
      <c r="J84" s="21"/>
      <c r="K84" s="12"/>
      <c r="L84" s="14"/>
      <c r="M84" s="105"/>
      <c r="N84" s="105"/>
      <c r="O84" s="105"/>
      <c r="P84" s="90"/>
      <c r="Q84" s="16"/>
      <c r="R84" s="14"/>
      <c r="S84" s="14"/>
      <c r="T84" s="14"/>
      <c r="U84" s="14"/>
      <c r="V84" s="51"/>
      <c r="W84" s="97"/>
      <c r="X84" s="117"/>
      <c r="Y84" s="97"/>
      <c r="Z84" s="97"/>
      <c r="AA84" s="97"/>
      <c r="AB84" s="99"/>
      <c r="AC84" s="1"/>
      <c r="AD84" s="1"/>
      <c r="AE84" s="1"/>
    </row>
    <row r="85" spans="1:31" ht="15.75" thickBot="1" x14ac:dyDescent="0.3">
      <c r="A85" s="107"/>
      <c r="B85" s="17"/>
      <c r="C85" s="17"/>
      <c r="D85" s="17"/>
      <c r="E85" s="17"/>
      <c r="F85" s="17"/>
      <c r="G85" s="17"/>
      <c r="H85" s="98"/>
      <c r="I85" s="98"/>
      <c r="J85" s="52"/>
      <c r="K85" s="49"/>
      <c r="L85" s="17"/>
      <c r="M85" s="108"/>
      <c r="N85" s="108"/>
      <c r="O85" s="108"/>
      <c r="P85" s="109"/>
      <c r="Q85" s="18"/>
      <c r="R85" s="17"/>
      <c r="S85" s="17"/>
      <c r="T85" s="17"/>
      <c r="U85" s="17"/>
      <c r="V85" s="53"/>
      <c r="W85" s="98"/>
      <c r="X85" s="118"/>
      <c r="Y85" s="98"/>
      <c r="Z85" s="98"/>
      <c r="AA85" s="98"/>
      <c r="AB85" s="99"/>
      <c r="AC85" s="1"/>
      <c r="AD85" s="1"/>
      <c r="AE85" s="1"/>
    </row>
    <row r="86" spans="1:31" x14ac:dyDescent="0.25">
      <c r="A86" s="100"/>
      <c r="B86" s="11"/>
      <c r="C86" s="11"/>
      <c r="D86" s="11"/>
      <c r="E86" s="11"/>
      <c r="F86" s="11"/>
      <c r="G86" s="11"/>
      <c r="H86" s="96"/>
      <c r="I86" s="96"/>
      <c r="J86" s="37"/>
      <c r="K86" s="54"/>
      <c r="L86" s="11"/>
      <c r="M86" s="104"/>
      <c r="N86" s="104"/>
      <c r="O86" s="104"/>
      <c r="P86" s="89"/>
      <c r="Q86" s="13"/>
      <c r="R86" s="11"/>
      <c r="S86" s="11"/>
      <c r="T86" s="11"/>
      <c r="U86" s="11"/>
      <c r="V86" s="55"/>
      <c r="W86" s="96"/>
      <c r="X86" s="113"/>
      <c r="Y86" s="96"/>
      <c r="Z86" s="96"/>
      <c r="AA86" s="96"/>
      <c r="AB86" s="99"/>
      <c r="AC86" s="1"/>
      <c r="AD86" s="1"/>
      <c r="AE86" s="1"/>
    </row>
    <row r="87" spans="1:31" x14ac:dyDescent="0.25">
      <c r="A87" s="101"/>
      <c r="B87" s="14"/>
      <c r="C87" s="14"/>
      <c r="D87" s="14"/>
      <c r="E87" s="14"/>
      <c r="F87" s="14"/>
      <c r="G87" s="14"/>
      <c r="H87" s="97"/>
      <c r="I87" s="97"/>
      <c r="J87" s="56"/>
      <c r="K87" s="32"/>
      <c r="L87" s="14"/>
      <c r="M87" s="105"/>
      <c r="N87" s="105"/>
      <c r="O87" s="105"/>
      <c r="P87" s="90"/>
      <c r="Q87" s="16"/>
      <c r="R87" s="14"/>
      <c r="S87" s="14"/>
      <c r="T87" s="14"/>
      <c r="U87" s="14"/>
      <c r="V87" s="57"/>
      <c r="W87" s="97"/>
      <c r="X87" s="114"/>
      <c r="Y87" s="97"/>
      <c r="Z87" s="97"/>
      <c r="AA87" s="97"/>
      <c r="AB87" s="99"/>
      <c r="AC87" s="1"/>
      <c r="AD87" s="1"/>
      <c r="AE87" s="1"/>
    </row>
    <row r="88" spans="1:31" x14ac:dyDescent="0.25">
      <c r="A88" s="101"/>
      <c r="B88" s="14"/>
      <c r="C88" s="14"/>
      <c r="D88" s="14"/>
      <c r="E88" s="14"/>
      <c r="F88" s="14"/>
      <c r="G88" s="14"/>
      <c r="H88" s="97"/>
      <c r="I88" s="97"/>
      <c r="J88" s="58"/>
      <c r="K88" s="59"/>
      <c r="L88" s="14"/>
      <c r="M88" s="105"/>
      <c r="N88" s="105"/>
      <c r="O88" s="105"/>
      <c r="P88" s="90"/>
      <c r="Q88" s="16"/>
      <c r="R88" s="14"/>
      <c r="S88" s="14"/>
      <c r="T88" s="14"/>
      <c r="U88" s="14"/>
      <c r="V88" s="60"/>
      <c r="W88" s="97"/>
      <c r="X88" s="114"/>
      <c r="Y88" s="97"/>
      <c r="Z88" s="97"/>
      <c r="AA88" s="97"/>
      <c r="AB88" s="99"/>
      <c r="AC88" s="1"/>
      <c r="AD88" s="1"/>
      <c r="AE88" s="1"/>
    </row>
    <row r="89" spans="1:31" ht="15.75" thickBot="1" x14ac:dyDescent="0.3">
      <c r="A89" s="107"/>
      <c r="B89" s="17"/>
      <c r="C89" s="17"/>
      <c r="D89" s="17"/>
      <c r="E89" s="17"/>
      <c r="F89" s="17"/>
      <c r="G89" s="17"/>
      <c r="H89" s="98"/>
      <c r="I89" s="98"/>
      <c r="J89" s="61"/>
      <c r="K89" s="25"/>
      <c r="L89" s="17"/>
      <c r="M89" s="108"/>
      <c r="N89" s="108"/>
      <c r="O89" s="108"/>
      <c r="P89" s="109"/>
      <c r="Q89" s="18"/>
      <c r="R89" s="17"/>
      <c r="S89" s="17"/>
      <c r="T89" s="17"/>
      <c r="U89" s="17"/>
      <c r="V89" s="62"/>
      <c r="W89" s="98"/>
      <c r="X89" s="115"/>
      <c r="Y89" s="98"/>
      <c r="Z89" s="98"/>
      <c r="AA89" s="98"/>
      <c r="AB89" s="99"/>
      <c r="AC89" s="1"/>
      <c r="AD89" s="1"/>
      <c r="AE89" s="1"/>
    </row>
    <row r="90" spans="1:31" x14ac:dyDescent="0.25">
      <c r="A90" s="100"/>
      <c r="B90" s="11"/>
      <c r="C90" s="11"/>
      <c r="D90" s="11"/>
      <c r="E90" s="11"/>
      <c r="F90" s="11"/>
      <c r="G90" s="11"/>
      <c r="H90" s="96"/>
      <c r="I90" s="96"/>
      <c r="J90" s="63"/>
      <c r="K90" s="64"/>
      <c r="L90" s="11"/>
      <c r="M90" s="104"/>
      <c r="N90" s="104"/>
      <c r="O90" s="104"/>
      <c r="P90" s="89"/>
      <c r="Q90" s="13"/>
      <c r="R90" s="11"/>
      <c r="S90" s="11"/>
      <c r="T90" s="11"/>
      <c r="U90" s="11"/>
      <c r="V90" s="35"/>
      <c r="W90" s="96"/>
      <c r="X90" s="110"/>
      <c r="Y90" s="96"/>
      <c r="Z90" s="96"/>
      <c r="AA90" s="96"/>
      <c r="AB90" s="99"/>
      <c r="AC90" s="1"/>
      <c r="AD90" s="1"/>
      <c r="AE90" s="1"/>
    </row>
    <row r="91" spans="1:31" x14ac:dyDescent="0.25">
      <c r="A91" s="101"/>
      <c r="B91" s="14"/>
      <c r="C91" s="14"/>
      <c r="D91" s="14"/>
      <c r="E91" s="14"/>
      <c r="F91" s="14"/>
      <c r="G91" s="14"/>
      <c r="H91" s="97"/>
      <c r="I91" s="97"/>
      <c r="J91" s="65"/>
      <c r="K91" s="23"/>
      <c r="L91" s="14"/>
      <c r="M91" s="105"/>
      <c r="N91" s="105"/>
      <c r="O91" s="105"/>
      <c r="P91" s="90"/>
      <c r="Q91" s="16"/>
      <c r="R91" s="14"/>
      <c r="S91" s="14"/>
      <c r="T91" s="14"/>
      <c r="U91" s="14"/>
      <c r="V91" s="66"/>
      <c r="W91" s="97"/>
      <c r="X91" s="111"/>
      <c r="Y91" s="97"/>
      <c r="Z91" s="97"/>
      <c r="AA91" s="97"/>
      <c r="AB91" s="99"/>
      <c r="AC91" s="1"/>
      <c r="AD91" s="1"/>
      <c r="AE91" s="1"/>
    </row>
    <row r="92" spans="1:31" x14ac:dyDescent="0.25">
      <c r="A92" s="101"/>
      <c r="B92" s="14"/>
      <c r="C92" s="14"/>
      <c r="D92" s="14"/>
      <c r="E92" s="14"/>
      <c r="F92" s="14"/>
      <c r="G92" s="14"/>
      <c r="H92" s="97"/>
      <c r="I92" s="97"/>
      <c r="J92" s="67"/>
      <c r="K92" s="28"/>
      <c r="L92" s="14"/>
      <c r="M92" s="105"/>
      <c r="N92" s="105"/>
      <c r="O92" s="105"/>
      <c r="P92" s="90"/>
      <c r="Q92" s="16"/>
      <c r="R92" s="14"/>
      <c r="S92" s="14"/>
      <c r="T92" s="14"/>
      <c r="U92" s="14"/>
      <c r="V92" s="68"/>
      <c r="W92" s="97"/>
      <c r="X92" s="111"/>
      <c r="Y92" s="97"/>
      <c r="Z92" s="97"/>
      <c r="AA92" s="97"/>
      <c r="AB92" s="99"/>
      <c r="AC92" s="1"/>
      <c r="AD92" s="1"/>
      <c r="AE92" s="1"/>
    </row>
    <row r="93" spans="1:31" ht="15.75" thickBot="1" x14ac:dyDescent="0.3">
      <c r="A93" s="107"/>
      <c r="B93" s="17"/>
      <c r="C93" s="17"/>
      <c r="D93" s="17"/>
      <c r="E93" s="17"/>
      <c r="F93" s="17"/>
      <c r="G93" s="17"/>
      <c r="H93" s="98"/>
      <c r="I93" s="98"/>
      <c r="J93" s="69"/>
      <c r="K93" s="19"/>
      <c r="L93" s="17"/>
      <c r="M93" s="108"/>
      <c r="N93" s="108"/>
      <c r="O93" s="108"/>
      <c r="P93" s="109"/>
      <c r="Q93" s="18"/>
      <c r="R93" s="17"/>
      <c r="S93" s="17"/>
      <c r="T93" s="17"/>
      <c r="U93" s="17"/>
      <c r="V93" s="70"/>
      <c r="W93" s="98"/>
      <c r="X93" s="112"/>
      <c r="Y93" s="98"/>
      <c r="Z93" s="98"/>
      <c r="AA93" s="98"/>
      <c r="AB93" s="99"/>
      <c r="AC93" s="1"/>
      <c r="AD93" s="1"/>
      <c r="AE93" s="1"/>
    </row>
    <row r="94" spans="1:31" x14ac:dyDescent="0.25">
      <c r="A94" s="100"/>
      <c r="B94" s="11"/>
      <c r="C94" s="11"/>
      <c r="D94" s="11"/>
      <c r="E94" s="11"/>
      <c r="F94" s="11"/>
      <c r="G94" s="11"/>
      <c r="H94" s="96"/>
      <c r="I94" s="96"/>
      <c r="J94" s="71"/>
      <c r="K94" s="72"/>
      <c r="L94" s="11"/>
      <c r="M94" s="104"/>
      <c r="N94" s="104"/>
      <c r="O94" s="104"/>
      <c r="P94" s="89"/>
      <c r="Q94" s="13"/>
      <c r="R94" s="11"/>
      <c r="S94" s="11"/>
      <c r="T94" s="11"/>
      <c r="U94" s="11"/>
      <c r="V94" s="73"/>
      <c r="W94" s="92"/>
      <c r="X94" s="94"/>
      <c r="Y94" s="96"/>
      <c r="Z94" s="96"/>
      <c r="AA94" s="96"/>
      <c r="AB94" s="99"/>
      <c r="AC94" s="1"/>
      <c r="AD94" s="1"/>
      <c r="AE94" s="1"/>
    </row>
    <row r="95" spans="1:31" x14ac:dyDescent="0.25">
      <c r="A95" s="101"/>
      <c r="B95" s="14"/>
      <c r="C95" s="14"/>
      <c r="D95" s="14"/>
      <c r="E95" s="14"/>
      <c r="F95" s="14"/>
      <c r="G95" s="14"/>
      <c r="H95" s="97"/>
      <c r="I95" s="97"/>
      <c r="J95" s="74"/>
      <c r="K95" s="75"/>
      <c r="L95" s="14"/>
      <c r="M95" s="105"/>
      <c r="N95" s="105"/>
      <c r="O95" s="105"/>
      <c r="P95" s="90"/>
      <c r="Q95" s="16"/>
      <c r="R95" s="14"/>
      <c r="S95" s="14"/>
      <c r="T95" s="14"/>
      <c r="U95" s="14"/>
      <c r="V95" s="76"/>
      <c r="W95" s="93"/>
      <c r="X95" s="95"/>
      <c r="Y95" s="97"/>
      <c r="Z95" s="97"/>
      <c r="AA95" s="97"/>
      <c r="AB95" s="99"/>
      <c r="AC95" s="1"/>
      <c r="AD95" s="1"/>
      <c r="AE95" s="1"/>
    </row>
    <row r="96" spans="1:31" x14ac:dyDescent="0.25">
      <c r="A96" s="101"/>
      <c r="B96" s="14"/>
      <c r="C96" s="14"/>
      <c r="D96" s="14"/>
      <c r="E96" s="14"/>
      <c r="F96" s="14"/>
      <c r="G96" s="14"/>
      <c r="H96" s="97"/>
      <c r="I96" s="97"/>
      <c r="J96" s="77"/>
      <c r="K96" s="78"/>
      <c r="L96" s="14"/>
      <c r="M96" s="105"/>
      <c r="N96" s="105"/>
      <c r="O96" s="105"/>
      <c r="P96" s="90"/>
      <c r="Q96" s="16"/>
      <c r="R96" s="14"/>
      <c r="S96" s="14"/>
      <c r="T96" s="14"/>
      <c r="U96" s="14"/>
      <c r="V96" s="79"/>
      <c r="W96" s="93"/>
      <c r="X96" s="95"/>
      <c r="Y96" s="97"/>
      <c r="Z96" s="97"/>
      <c r="AA96" s="97"/>
      <c r="AB96" s="99"/>
      <c r="AC96" s="1"/>
      <c r="AD96" s="1"/>
      <c r="AE96" s="1"/>
    </row>
    <row r="97" spans="1:31" ht="15.75" thickBot="1" x14ac:dyDescent="0.3">
      <c r="A97" s="102"/>
      <c r="B97" s="17"/>
      <c r="C97" s="17"/>
      <c r="D97" s="17"/>
      <c r="E97" s="17"/>
      <c r="F97" s="17"/>
      <c r="G97" s="17"/>
      <c r="H97" s="103"/>
      <c r="I97" s="103"/>
      <c r="J97" s="80"/>
      <c r="K97" s="81"/>
      <c r="L97" s="17"/>
      <c r="M97" s="106"/>
      <c r="N97" s="106"/>
      <c r="O97" s="106"/>
      <c r="P97" s="91"/>
      <c r="Q97" s="18"/>
      <c r="R97" s="17"/>
      <c r="S97" s="17"/>
      <c r="T97" s="17"/>
      <c r="U97" s="17"/>
      <c r="V97" s="82"/>
      <c r="W97" s="93"/>
      <c r="X97" s="95"/>
      <c r="Y97" s="97"/>
      <c r="Z97" s="97"/>
      <c r="AA97" s="97"/>
      <c r="AB97" s="99"/>
      <c r="AC97" s="1"/>
      <c r="AD97" s="1"/>
      <c r="AE97" s="1"/>
    </row>
    <row r="98" spans="1:31" x14ac:dyDescent="0.25">
      <c r="A98" s="1"/>
      <c r="B98" s="1"/>
      <c r="C98" s="88"/>
      <c r="D98" s="8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5">
      <c r="A99" s="1"/>
      <c r="B99" s="1"/>
      <c r="C99" s="87"/>
      <c r="D99" s="8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5">
      <c r="A100" s="1"/>
      <c r="B100" s="1"/>
      <c r="C100" s="87"/>
      <c r="D100" s="8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5">
      <c r="A101" s="1"/>
      <c r="B101" s="1"/>
      <c r="C101" s="87"/>
      <c r="D101" s="8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25">
      <c r="A102" s="1"/>
      <c r="B102" s="1"/>
      <c r="C102" s="87"/>
      <c r="D102" s="8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25">
      <c r="A103" s="1"/>
      <c r="B103" s="1"/>
      <c r="C103" s="87"/>
      <c r="D103" s="8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25">
      <c r="A104" s="1"/>
      <c r="B104" s="1"/>
      <c r="C104" s="87"/>
      <c r="D104" s="8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25">
      <c r="A105" s="1"/>
      <c r="B105" s="1"/>
      <c r="C105" s="87"/>
      <c r="D105" s="8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25">
      <c r="A106" s="1"/>
      <c r="B106" s="1"/>
      <c r="C106" s="87"/>
      <c r="D106" s="8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s="1"/>
      <c r="B107" s="1"/>
      <c r="C107" s="87"/>
      <c r="D107" s="8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25">
      <c r="A108" s="1"/>
      <c r="B108" s="1"/>
      <c r="C108" s="87"/>
      <c r="D108" s="8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x14ac:dyDescent="0.25">
      <c r="A109" s="1"/>
      <c r="B109" s="1"/>
      <c r="C109" s="87"/>
      <c r="D109" s="8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25">
      <c r="A110" s="1"/>
      <c r="B110" s="1"/>
      <c r="C110" s="87"/>
      <c r="D110" s="8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x14ac:dyDescent="0.25">
      <c r="A111" s="1"/>
      <c r="B111" s="1"/>
      <c r="C111" s="87"/>
      <c r="D111" s="8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x14ac:dyDescent="0.25">
      <c r="A112" s="1"/>
      <c r="B112" s="1"/>
      <c r="C112" s="87"/>
      <c r="D112" s="8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x14ac:dyDescent="0.25">
      <c r="A113" s="1"/>
      <c r="B113" s="1"/>
      <c r="C113" s="87"/>
      <c r="D113" s="8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</sheetData>
  <mergeCells count="302">
    <mergeCell ref="X2:X5"/>
    <mergeCell ref="Y2:Y5"/>
    <mergeCell ref="Z2:Z5"/>
    <mergeCell ref="AB2:AB5"/>
    <mergeCell ref="AD2:AD3"/>
    <mergeCell ref="AE2:AE3"/>
    <mergeCell ref="AD4:AD5"/>
    <mergeCell ref="AE4:AE5"/>
    <mergeCell ref="A2:A5"/>
    <mergeCell ref="M2:M5"/>
    <mergeCell ref="N2:N5"/>
    <mergeCell ref="O2:O5"/>
    <mergeCell ref="P2:P5"/>
    <mergeCell ref="W2:W5"/>
    <mergeCell ref="X6:X9"/>
    <mergeCell ref="Y6:Y9"/>
    <mergeCell ref="Z6:Z9"/>
    <mergeCell ref="AB6:AB9"/>
    <mergeCell ref="AD6:AD7"/>
    <mergeCell ref="AE6:AE7"/>
    <mergeCell ref="AD8:AD9"/>
    <mergeCell ref="AE8:AE9"/>
    <mergeCell ref="A6:A9"/>
    <mergeCell ref="M6:M9"/>
    <mergeCell ref="N6:N9"/>
    <mergeCell ref="O6:O9"/>
    <mergeCell ref="P6:P9"/>
    <mergeCell ref="W6:W9"/>
    <mergeCell ref="X10:X13"/>
    <mergeCell ref="Y10:Y13"/>
    <mergeCell ref="Z10:Z13"/>
    <mergeCell ref="AB10:AB13"/>
    <mergeCell ref="AD10:AD11"/>
    <mergeCell ref="AE10:AE11"/>
    <mergeCell ref="AD12:AD13"/>
    <mergeCell ref="AE12:AE13"/>
    <mergeCell ref="A10:A13"/>
    <mergeCell ref="M10:M13"/>
    <mergeCell ref="N10:N13"/>
    <mergeCell ref="O10:O13"/>
    <mergeCell ref="P10:P13"/>
    <mergeCell ref="W10:W13"/>
    <mergeCell ref="X14:X17"/>
    <mergeCell ref="Y14:Y17"/>
    <mergeCell ref="Z14:Z17"/>
    <mergeCell ref="AB14:AB17"/>
    <mergeCell ref="AD14:AD15"/>
    <mergeCell ref="AE14:AE15"/>
    <mergeCell ref="AD16:AD17"/>
    <mergeCell ref="AE16:AE17"/>
    <mergeCell ref="A14:A17"/>
    <mergeCell ref="M14:M17"/>
    <mergeCell ref="N14:N17"/>
    <mergeCell ref="O14:O17"/>
    <mergeCell ref="P14:P17"/>
    <mergeCell ref="W14:W17"/>
    <mergeCell ref="X18:X21"/>
    <mergeCell ref="Y18:Y21"/>
    <mergeCell ref="Z18:Z21"/>
    <mergeCell ref="AB18:AB21"/>
    <mergeCell ref="AD18:AD19"/>
    <mergeCell ref="AE18:AE19"/>
    <mergeCell ref="AD20:AD21"/>
    <mergeCell ref="AE20:AE21"/>
    <mergeCell ref="A18:A21"/>
    <mergeCell ref="M18:M21"/>
    <mergeCell ref="N18:N21"/>
    <mergeCell ref="O18:O21"/>
    <mergeCell ref="P18:P21"/>
    <mergeCell ref="W18:W21"/>
    <mergeCell ref="X22:X25"/>
    <mergeCell ref="Y22:Y25"/>
    <mergeCell ref="Z22:Z25"/>
    <mergeCell ref="AB22:AB25"/>
    <mergeCell ref="AD22:AD23"/>
    <mergeCell ref="AE22:AE23"/>
    <mergeCell ref="AD24:AD25"/>
    <mergeCell ref="AE24:AE25"/>
    <mergeCell ref="A22:A25"/>
    <mergeCell ref="M22:M25"/>
    <mergeCell ref="N22:N25"/>
    <mergeCell ref="O22:O25"/>
    <mergeCell ref="P22:P25"/>
    <mergeCell ref="W22:W25"/>
    <mergeCell ref="X26:X29"/>
    <mergeCell ref="Y26:Y29"/>
    <mergeCell ref="Z26:Z29"/>
    <mergeCell ref="AB26:AB29"/>
    <mergeCell ref="AD26:AD27"/>
    <mergeCell ref="AE26:AE27"/>
    <mergeCell ref="AD28:AD29"/>
    <mergeCell ref="AE28:AE29"/>
    <mergeCell ref="A26:A29"/>
    <mergeCell ref="M26:M29"/>
    <mergeCell ref="N26:N29"/>
    <mergeCell ref="O26:O29"/>
    <mergeCell ref="P26:P29"/>
    <mergeCell ref="W26:W29"/>
    <mergeCell ref="X30:X33"/>
    <mergeCell ref="Y30:Y33"/>
    <mergeCell ref="Z30:Z33"/>
    <mergeCell ref="AB30:AB33"/>
    <mergeCell ref="A34:A37"/>
    <mergeCell ref="M34:M37"/>
    <mergeCell ref="N34:N37"/>
    <mergeCell ref="O34:O37"/>
    <mergeCell ref="P34:P37"/>
    <mergeCell ref="W34:W37"/>
    <mergeCell ref="A30:A33"/>
    <mergeCell ref="M30:M33"/>
    <mergeCell ref="N30:N33"/>
    <mergeCell ref="O30:O33"/>
    <mergeCell ref="P30:P33"/>
    <mergeCell ref="W30:W33"/>
    <mergeCell ref="X34:X37"/>
    <mergeCell ref="Y34:Y37"/>
    <mergeCell ref="Z34:Z37"/>
    <mergeCell ref="AB34:AB37"/>
    <mergeCell ref="AB38:AB41"/>
    <mergeCell ref="A42:A45"/>
    <mergeCell ref="M42:M45"/>
    <mergeCell ref="N42:N45"/>
    <mergeCell ref="O42:O45"/>
    <mergeCell ref="P42:P45"/>
    <mergeCell ref="W42:W45"/>
    <mergeCell ref="X42:X45"/>
    <mergeCell ref="Y42:Y45"/>
    <mergeCell ref="Z42:Z45"/>
    <mergeCell ref="AB42:AB45"/>
    <mergeCell ref="A38:A41"/>
    <mergeCell ref="M38:M41"/>
    <mergeCell ref="N38:N41"/>
    <mergeCell ref="O38:O41"/>
    <mergeCell ref="P38:P41"/>
    <mergeCell ref="W38:W41"/>
    <mergeCell ref="X38:X41"/>
    <mergeCell ref="Y38:Y41"/>
    <mergeCell ref="Z38:Z41"/>
    <mergeCell ref="AB46:AB49"/>
    <mergeCell ref="A50:A53"/>
    <mergeCell ref="M50:M53"/>
    <mergeCell ref="N50:N53"/>
    <mergeCell ref="O50:O53"/>
    <mergeCell ref="P50:P53"/>
    <mergeCell ref="W50:W53"/>
    <mergeCell ref="X50:X53"/>
    <mergeCell ref="Y50:Y53"/>
    <mergeCell ref="Z50:Z53"/>
    <mergeCell ref="AB50:AB53"/>
    <mergeCell ref="A46:A49"/>
    <mergeCell ref="M46:M49"/>
    <mergeCell ref="N46:N49"/>
    <mergeCell ref="O46:O49"/>
    <mergeCell ref="P46:P49"/>
    <mergeCell ref="W46:W49"/>
    <mergeCell ref="X46:X49"/>
    <mergeCell ref="Y46:Y49"/>
    <mergeCell ref="Z46:Z49"/>
    <mergeCell ref="AB54:AB57"/>
    <mergeCell ref="A58:A61"/>
    <mergeCell ref="M58:M61"/>
    <mergeCell ref="N58:N61"/>
    <mergeCell ref="O58:O61"/>
    <mergeCell ref="P58:P61"/>
    <mergeCell ref="W58:W61"/>
    <mergeCell ref="X58:X61"/>
    <mergeCell ref="Y58:Y61"/>
    <mergeCell ref="Z58:Z61"/>
    <mergeCell ref="AB58:AB61"/>
    <mergeCell ref="A54:A57"/>
    <mergeCell ref="M54:M57"/>
    <mergeCell ref="N54:N57"/>
    <mergeCell ref="O54:O57"/>
    <mergeCell ref="P54:P57"/>
    <mergeCell ref="W54:W57"/>
    <mergeCell ref="X54:X57"/>
    <mergeCell ref="Y54:Y57"/>
    <mergeCell ref="Z54:Z57"/>
    <mergeCell ref="AB62:AB65"/>
    <mergeCell ref="A66:A69"/>
    <mergeCell ref="M66:M69"/>
    <mergeCell ref="N66:N69"/>
    <mergeCell ref="O66:O69"/>
    <mergeCell ref="P66:P69"/>
    <mergeCell ref="W66:W69"/>
    <mergeCell ref="X66:X69"/>
    <mergeCell ref="Y66:Y69"/>
    <mergeCell ref="Z66:Z69"/>
    <mergeCell ref="AB66:AB69"/>
    <mergeCell ref="A62:A65"/>
    <mergeCell ref="M62:M65"/>
    <mergeCell ref="N62:N65"/>
    <mergeCell ref="O62:O65"/>
    <mergeCell ref="P62:P65"/>
    <mergeCell ref="W62:W65"/>
    <mergeCell ref="X62:X65"/>
    <mergeCell ref="Y62:Y65"/>
    <mergeCell ref="Z62:Z65"/>
    <mergeCell ref="A70:A73"/>
    <mergeCell ref="M70:M73"/>
    <mergeCell ref="N70:N73"/>
    <mergeCell ref="O70:O73"/>
    <mergeCell ref="P70:P73"/>
    <mergeCell ref="W70:W73"/>
    <mergeCell ref="X70:X73"/>
    <mergeCell ref="Y70:Y73"/>
    <mergeCell ref="Z70:Z73"/>
    <mergeCell ref="AB70:AB73"/>
    <mergeCell ref="A74:A77"/>
    <mergeCell ref="H74:H77"/>
    <mergeCell ref="I74:I77"/>
    <mergeCell ref="M74:M77"/>
    <mergeCell ref="N74:N77"/>
    <mergeCell ref="O74:O77"/>
    <mergeCell ref="AB74:AB77"/>
    <mergeCell ref="A78:A81"/>
    <mergeCell ref="H78:H81"/>
    <mergeCell ref="I78:I81"/>
    <mergeCell ref="M78:M81"/>
    <mergeCell ref="N78:N81"/>
    <mergeCell ref="O78:O81"/>
    <mergeCell ref="P78:P81"/>
    <mergeCell ref="W78:W81"/>
    <mergeCell ref="X78:X81"/>
    <mergeCell ref="P74:P77"/>
    <mergeCell ref="W74:W77"/>
    <mergeCell ref="X74:X77"/>
    <mergeCell ref="Y74:Y77"/>
    <mergeCell ref="Z74:Z77"/>
    <mergeCell ref="AA74:AA77"/>
    <mergeCell ref="Y78:Y81"/>
    <mergeCell ref="Z78:Z81"/>
    <mergeCell ref="AA78:AA81"/>
    <mergeCell ref="AB78:AB81"/>
    <mergeCell ref="A82:A85"/>
    <mergeCell ref="H82:H85"/>
    <mergeCell ref="I82:I85"/>
    <mergeCell ref="M82:M85"/>
    <mergeCell ref="N82:N85"/>
    <mergeCell ref="O82:O85"/>
    <mergeCell ref="AB82:AB85"/>
    <mergeCell ref="P82:P85"/>
    <mergeCell ref="W82:W85"/>
    <mergeCell ref="X82:X85"/>
    <mergeCell ref="Y82:Y85"/>
    <mergeCell ref="Z82:Z85"/>
    <mergeCell ref="AA82:AA85"/>
    <mergeCell ref="Y86:Y89"/>
    <mergeCell ref="Z86:Z89"/>
    <mergeCell ref="AA86:AA89"/>
    <mergeCell ref="AB86:AB89"/>
    <mergeCell ref="A90:A93"/>
    <mergeCell ref="H90:H93"/>
    <mergeCell ref="I90:I93"/>
    <mergeCell ref="M90:M93"/>
    <mergeCell ref="N90:N93"/>
    <mergeCell ref="O90:O93"/>
    <mergeCell ref="A86:A89"/>
    <mergeCell ref="H86:H89"/>
    <mergeCell ref="I86:I89"/>
    <mergeCell ref="M86:M89"/>
    <mergeCell ref="N86:N89"/>
    <mergeCell ref="O86:O89"/>
    <mergeCell ref="P86:P89"/>
    <mergeCell ref="W86:W89"/>
    <mergeCell ref="X86:X89"/>
    <mergeCell ref="Y94:Y97"/>
    <mergeCell ref="Z94:Z97"/>
    <mergeCell ref="AA94:AA97"/>
    <mergeCell ref="AB94:AB97"/>
    <mergeCell ref="C98:D98"/>
    <mergeCell ref="C99:D99"/>
    <mergeCell ref="AB90:AB93"/>
    <mergeCell ref="A94:A97"/>
    <mergeCell ref="H94:H97"/>
    <mergeCell ref="I94:I97"/>
    <mergeCell ref="M94:M97"/>
    <mergeCell ref="N94:N97"/>
    <mergeCell ref="O94:O97"/>
    <mergeCell ref="P94:P97"/>
    <mergeCell ref="W94:W97"/>
    <mergeCell ref="X94:X97"/>
    <mergeCell ref="P90:P93"/>
    <mergeCell ref="W90:W93"/>
    <mergeCell ref="X90:X93"/>
    <mergeCell ref="Y90:Y93"/>
    <mergeCell ref="Z90:Z93"/>
    <mergeCell ref="AA90:AA93"/>
    <mergeCell ref="C112:D112"/>
    <mergeCell ref="C113:D113"/>
    <mergeCell ref="C106:D106"/>
    <mergeCell ref="C107:D107"/>
    <mergeCell ref="C108:D108"/>
    <mergeCell ref="C109:D109"/>
    <mergeCell ref="C110:D110"/>
    <mergeCell ref="C111:D111"/>
    <mergeCell ref="C100:D100"/>
    <mergeCell ref="C101:D101"/>
    <mergeCell ref="C102:D102"/>
    <mergeCell ref="C103:D103"/>
    <mergeCell ref="C104:D104"/>
    <mergeCell ref="C105:D10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9A13-3654-42B2-A1B7-022156142DE7}">
  <dimension ref="A1:AN113"/>
  <sheetViews>
    <sheetView topLeftCell="R36" workbookViewId="0">
      <selection activeCell="AG6" sqref="AG6:AN8"/>
    </sheetView>
  </sheetViews>
  <sheetFormatPr defaultRowHeight="15" x14ac:dyDescent="0.25"/>
  <cols>
    <col min="5" max="5" width="49.42578125" customWidth="1"/>
    <col min="8" max="8" width="14" customWidth="1"/>
    <col min="9" max="9" width="18.28515625" customWidth="1"/>
    <col min="13" max="13" width="17.28515625" customWidth="1"/>
    <col min="17" max="17" width="36.28515625" customWidth="1"/>
    <col min="30" max="30" width="16.42578125" customWidth="1"/>
  </cols>
  <sheetData>
    <row r="1" spans="1:40" ht="15.75" thickBot="1" x14ac:dyDescent="0.3">
      <c r="A1" s="1"/>
      <c r="B1" s="4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6" t="s">
        <v>428</v>
      </c>
      <c r="I1" s="6" t="s">
        <v>429</v>
      </c>
      <c r="J1" s="7" t="s">
        <v>430</v>
      </c>
      <c r="K1" s="7" t="s">
        <v>431</v>
      </c>
      <c r="L1" s="8" t="s">
        <v>432</v>
      </c>
      <c r="M1" s="8" t="s">
        <v>433</v>
      </c>
      <c r="N1" s="4" t="s">
        <v>434</v>
      </c>
      <c r="O1" s="5"/>
      <c r="P1" s="5" t="s">
        <v>435</v>
      </c>
      <c r="Q1" s="5" t="s">
        <v>63</v>
      </c>
      <c r="R1" s="5" t="s">
        <v>64</v>
      </c>
      <c r="S1" s="5" t="s">
        <v>65</v>
      </c>
      <c r="T1" s="5" t="s">
        <v>66</v>
      </c>
      <c r="U1" s="5" t="s">
        <v>67</v>
      </c>
      <c r="V1" s="7" t="s">
        <v>68</v>
      </c>
      <c r="W1" s="5" t="s">
        <v>436</v>
      </c>
      <c r="X1" s="8" t="s">
        <v>437</v>
      </c>
      <c r="Y1" s="9" t="s">
        <v>438</v>
      </c>
      <c r="Z1" s="9" t="s">
        <v>439</v>
      </c>
      <c r="AA1" s="10" t="s">
        <v>440</v>
      </c>
      <c r="AB1" s="1"/>
      <c r="AC1" s="9" t="s">
        <v>441</v>
      </c>
      <c r="AD1" s="1"/>
      <c r="AE1" s="1"/>
    </row>
    <row r="2" spans="1:40" x14ac:dyDescent="0.25">
      <c r="A2" s="100"/>
      <c r="B2" s="9">
        <v>337</v>
      </c>
      <c r="C2" s="9" t="s">
        <v>386</v>
      </c>
      <c r="D2" s="9" t="s">
        <v>103</v>
      </c>
      <c r="E2" s="9" t="s">
        <v>104</v>
      </c>
      <c r="F2" s="9" t="s">
        <v>332</v>
      </c>
      <c r="G2" s="9" t="s">
        <v>106</v>
      </c>
      <c r="H2" s="9"/>
      <c r="I2" s="9"/>
      <c r="J2" s="9">
        <v>23.096</v>
      </c>
      <c r="K2" s="9">
        <v>18.398</v>
      </c>
      <c r="L2" s="11"/>
      <c r="M2" s="104">
        <f>AVERAGE(J2:J5)</f>
        <v>23.071750000000002</v>
      </c>
      <c r="N2" s="104">
        <f>AVERAGE(K2:K5)</f>
        <v>18.297750000000001</v>
      </c>
      <c r="O2" s="104"/>
      <c r="P2" s="89">
        <f>GEOMEAN(M2,N2)</f>
        <v>20.546559652713153</v>
      </c>
      <c r="Q2" s="1" t="s">
        <v>104</v>
      </c>
      <c r="R2" s="1" t="s">
        <v>204</v>
      </c>
      <c r="S2" s="1" t="s">
        <v>106</v>
      </c>
      <c r="T2" s="1" t="s">
        <v>107</v>
      </c>
      <c r="U2" s="1" t="s">
        <v>108</v>
      </c>
      <c r="V2" s="1">
        <v>30.41</v>
      </c>
      <c r="W2" s="96">
        <f>_xlfn.STDEV.S(V2:V5)</f>
        <v>0.54280836090342854</v>
      </c>
      <c r="X2" s="128">
        <f>AVERAGE(V2:V5)</f>
        <v>31.010750000000002</v>
      </c>
      <c r="Y2" s="96">
        <f>X2-P2</f>
        <v>10.464190347286848</v>
      </c>
      <c r="Z2" s="96">
        <f>Y2-$AE$2</f>
        <v>0.11741753804273003</v>
      </c>
      <c r="AA2" s="84">
        <f>2^-Z2</f>
        <v>0.92183628576088472</v>
      </c>
      <c r="AB2" s="150"/>
      <c r="AC2" s="1">
        <f>LOG(AA2,2)</f>
        <v>-0.11741753804273013</v>
      </c>
      <c r="AD2" s="153" t="s">
        <v>442</v>
      </c>
      <c r="AE2" s="155">
        <f>AVERAGE(Y2,Y6)</f>
        <v>10.346772809244118</v>
      </c>
      <c r="AG2">
        <f>AC2</f>
        <v>-0.11741753804273013</v>
      </c>
      <c r="AH2">
        <f>AC6</f>
        <v>0.11741753804273015</v>
      </c>
      <c r="AJ2">
        <f>AC26</f>
        <v>1.8827308350950086E-2</v>
      </c>
      <c r="AK2">
        <f>AC30</f>
        <v>-1.8827308350950086E-2</v>
      </c>
      <c r="AM2">
        <f>AC50</f>
        <v>0.62856903059461011</v>
      </c>
      <c r="AN2">
        <f>AC54</f>
        <v>-0.62856903059461011</v>
      </c>
    </row>
    <row r="3" spans="1:40" x14ac:dyDescent="0.25">
      <c r="A3" s="101"/>
      <c r="B3" s="1">
        <v>361</v>
      </c>
      <c r="C3" s="1" t="s">
        <v>398</v>
      </c>
      <c r="D3" s="1" t="s">
        <v>103</v>
      </c>
      <c r="E3" s="1" t="s">
        <v>104</v>
      </c>
      <c r="F3" s="1" t="s">
        <v>332</v>
      </c>
      <c r="G3" s="1" t="s">
        <v>106</v>
      </c>
      <c r="H3" s="1"/>
      <c r="I3" s="1"/>
      <c r="J3" s="1">
        <v>23.042999999999999</v>
      </c>
      <c r="K3" s="1">
        <v>18.263999999999999</v>
      </c>
      <c r="L3" s="14"/>
      <c r="M3" s="105"/>
      <c r="N3" s="105"/>
      <c r="O3" s="105"/>
      <c r="P3" s="90"/>
      <c r="Q3" s="1" t="s">
        <v>104</v>
      </c>
      <c r="R3" s="1" t="s">
        <v>204</v>
      </c>
      <c r="S3" s="1" t="s">
        <v>106</v>
      </c>
      <c r="T3" s="1" t="s">
        <v>107</v>
      </c>
      <c r="U3" s="1" t="s">
        <v>108</v>
      </c>
      <c r="V3" s="1">
        <v>31.282</v>
      </c>
      <c r="W3" s="97"/>
      <c r="X3" s="129"/>
      <c r="Y3" s="97"/>
      <c r="Z3" s="97"/>
      <c r="AA3" s="85"/>
      <c r="AB3" s="151"/>
      <c r="AC3" s="1"/>
      <c r="AD3" s="154"/>
      <c r="AE3" s="156"/>
      <c r="AG3">
        <f>AC10</f>
        <v>2.3148760310984464</v>
      </c>
      <c r="AH3">
        <f>AC14</f>
        <v>2.5926732747070247</v>
      </c>
      <c r="AJ3">
        <f>AC34</f>
        <v>1.8191569776265553</v>
      </c>
      <c r="AK3">
        <f>AC38</f>
        <v>1.8700460963909791</v>
      </c>
      <c r="AM3">
        <f>AC58</f>
        <v>2.1774832328682141</v>
      </c>
      <c r="AN3">
        <f>AC62</f>
        <v>2.2556671128857619</v>
      </c>
    </row>
    <row r="4" spans="1:40" x14ac:dyDescent="0.25">
      <c r="A4" s="101"/>
      <c r="B4" s="1">
        <v>338</v>
      </c>
      <c r="C4" s="1" t="s">
        <v>387</v>
      </c>
      <c r="D4" s="1" t="s">
        <v>103</v>
      </c>
      <c r="E4" s="1" t="s">
        <v>104</v>
      </c>
      <c r="F4" s="1" t="s">
        <v>332</v>
      </c>
      <c r="G4" s="1" t="s">
        <v>106</v>
      </c>
      <c r="H4" s="1"/>
      <c r="I4" s="1"/>
      <c r="J4" s="1">
        <v>23.064</v>
      </c>
      <c r="K4" s="1">
        <v>18.318999999999999</v>
      </c>
      <c r="L4" s="14"/>
      <c r="M4" s="105"/>
      <c r="N4" s="105"/>
      <c r="O4" s="105"/>
      <c r="P4" s="90"/>
      <c r="Q4" s="1" t="s">
        <v>104</v>
      </c>
      <c r="R4" s="1" t="s">
        <v>204</v>
      </c>
      <c r="S4" s="1" t="s">
        <v>106</v>
      </c>
      <c r="T4" s="1" t="s">
        <v>107</v>
      </c>
      <c r="U4" s="1" t="s">
        <v>108</v>
      </c>
      <c r="V4" s="1">
        <v>31.62</v>
      </c>
      <c r="W4" s="97"/>
      <c r="X4" s="129"/>
      <c r="Y4" s="97"/>
      <c r="Z4" s="97"/>
      <c r="AA4" s="85"/>
      <c r="AB4" s="151"/>
      <c r="AC4" s="1"/>
      <c r="AD4" s="153" t="s">
        <v>443</v>
      </c>
      <c r="AE4" s="155">
        <f>AVERAGE(Y26,Y30)</f>
        <v>9.6225859721360045</v>
      </c>
      <c r="AG4">
        <f>AC18</f>
        <v>3.1432646884772804</v>
      </c>
      <c r="AH4">
        <f>AC22</f>
        <v>3.2564083158033483</v>
      </c>
      <c r="AJ4">
        <f>AC42</f>
        <v>3.2804825717695074</v>
      </c>
      <c r="AK4">
        <f>AC46</f>
        <v>2.9817166437897065</v>
      </c>
      <c r="AM4">
        <f>AC66</f>
        <v>3.6221800989613175</v>
      </c>
      <c r="AN4">
        <f>AC70</f>
        <v>3.773202602362181</v>
      </c>
    </row>
    <row r="5" spans="1:40" ht="15.75" thickBot="1" x14ac:dyDescent="0.3">
      <c r="A5" s="107"/>
      <c r="B5" s="83">
        <v>362</v>
      </c>
      <c r="C5" s="83" t="s">
        <v>399</v>
      </c>
      <c r="D5" s="83" t="s">
        <v>103</v>
      </c>
      <c r="E5" s="83" t="s">
        <v>104</v>
      </c>
      <c r="F5" s="83" t="s">
        <v>332</v>
      </c>
      <c r="G5" s="83" t="s">
        <v>106</v>
      </c>
      <c r="H5" s="83">
        <f>_xlfn.STDEV.S(K2:K5)</f>
        <v>8.0292693731538217E-2</v>
      </c>
      <c r="I5" s="83">
        <f>_xlfn.STDEV.S(J2:J5)</f>
        <v>2.3271943050234237E-2</v>
      </c>
      <c r="J5" s="83">
        <v>23.084</v>
      </c>
      <c r="K5" s="83">
        <v>18.21</v>
      </c>
      <c r="L5" s="17"/>
      <c r="M5" s="108"/>
      <c r="N5" s="108"/>
      <c r="O5" s="108"/>
      <c r="P5" s="109"/>
      <c r="Q5" s="1" t="s">
        <v>104</v>
      </c>
      <c r="R5" s="1" t="s">
        <v>204</v>
      </c>
      <c r="S5" s="1" t="s">
        <v>106</v>
      </c>
      <c r="T5" s="1" t="s">
        <v>107</v>
      </c>
      <c r="U5" s="1" t="s">
        <v>108</v>
      </c>
      <c r="V5" s="1">
        <v>30.731000000000002</v>
      </c>
      <c r="W5" s="98"/>
      <c r="X5" s="130"/>
      <c r="Y5" s="98"/>
      <c r="Z5" s="98"/>
      <c r="AA5" s="86"/>
      <c r="AB5" s="152"/>
      <c r="AC5" s="1"/>
      <c r="AD5" s="154"/>
      <c r="AE5" s="156"/>
      <c r="AF5">
        <v>75</v>
      </c>
      <c r="AI5">
        <v>100</v>
      </c>
      <c r="AL5">
        <v>150</v>
      </c>
    </row>
    <row r="6" spans="1:40" x14ac:dyDescent="0.25">
      <c r="A6" s="101"/>
      <c r="B6" s="9">
        <v>339</v>
      </c>
      <c r="C6" s="9" t="s">
        <v>388</v>
      </c>
      <c r="D6" s="9" t="s">
        <v>103</v>
      </c>
      <c r="E6" s="9" t="s">
        <v>114</v>
      </c>
      <c r="F6" s="9" t="s">
        <v>332</v>
      </c>
      <c r="G6" s="9" t="s">
        <v>106</v>
      </c>
      <c r="H6" s="9"/>
      <c r="I6" s="9"/>
      <c r="J6" s="9">
        <v>22.887</v>
      </c>
      <c r="K6" s="9">
        <v>18.141999999999999</v>
      </c>
      <c r="L6" s="11"/>
      <c r="M6" s="104">
        <f t="shared" ref="M6:N6" si="0">AVERAGE(J6:J9)</f>
        <v>22.817999999999998</v>
      </c>
      <c r="N6" s="104">
        <f t="shared" si="0"/>
        <v>18.093499999999999</v>
      </c>
      <c r="O6" s="104"/>
      <c r="P6" s="89">
        <f t="shared" ref="P6" si="1">GEOMEAN(M6,N6)</f>
        <v>20.318894728798611</v>
      </c>
      <c r="Q6" s="1" t="s">
        <v>114</v>
      </c>
      <c r="R6" s="1" t="s">
        <v>204</v>
      </c>
      <c r="S6" s="1" t="s">
        <v>106</v>
      </c>
      <c r="T6" s="1" t="s">
        <v>107</v>
      </c>
      <c r="U6" s="1" t="s">
        <v>108</v>
      </c>
      <c r="V6" s="1">
        <v>30.327000000000002</v>
      </c>
      <c r="W6" s="96">
        <f t="shared" ref="W6" si="2">_xlfn.STDEV.S(V6:V9)</f>
        <v>0.2780771775365008</v>
      </c>
      <c r="X6" s="128">
        <f t="shared" ref="X6" si="3">AVERAGE(V6:V9)</f>
        <v>30.548249999999999</v>
      </c>
      <c r="Y6" s="96">
        <f t="shared" ref="Y6" si="4">X6-P6</f>
        <v>10.229355271201388</v>
      </c>
      <c r="Z6" s="96">
        <f t="shared" ref="Z6" si="5">Y6-$AE$2</f>
        <v>-0.11741753804273003</v>
      </c>
      <c r="AA6" s="84">
        <f t="shared" ref="AA6" si="6">2^-Z6</f>
        <v>1.0847913186391864</v>
      </c>
      <c r="AB6" s="157"/>
      <c r="AC6" s="1">
        <f t="shared" ref="AC6" si="7">LOG(AA6,2)</f>
        <v>0.11741753804273015</v>
      </c>
      <c r="AD6" s="153" t="s">
        <v>444</v>
      </c>
      <c r="AE6" s="159">
        <f>AVERAGE(Y50,Y54)</f>
        <v>11.03559625692</v>
      </c>
      <c r="AG6">
        <f>AM2</f>
        <v>0.62856903059461011</v>
      </c>
      <c r="AH6">
        <f>AN2</f>
        <v>-0.62856903059461011</v>
      </c>
      <c r="AJ6">
        <f>AG2</f>
        <v>-0.11741753804273013</v>
      </c>
      <c r="AK6">
        <f>AH2</f>
        <v>0.11741753804273015</v>
      </c>
      <c r="AM6">
        <f>AJ2</f>
        <v>1.8827308350950086E-2</v>
      </c>
      <c r="AN6">
        <f>AK2</f>
        <v>-1.8827308350950086E-2</v>
      </c>
    </row>
    <row r="7" spans="1:40" x14ac:dyDescent="0.25">
      <c r="A7" s="101"/>
      <c r="B7" s="1">
        <v>363</v>
      </c>
      <c r="C7" s="1" t="s">
        <v>400</v>
      </c>
      <c r="D7" s="1" t="s">
        <v>103</v>
      </c>
      <c r="E7" s="1" t="s">
        <v>114</v>
      </c>
      <c r="F7" s="1" t="s">
        <v>332</v>
      </c>
      <c r="G7" s="1" t="s">
        <v>106</v>
      </c>
      <c r="H7" s="1"/>
      <c r="I7" s="1"/>
      <c r="J7" s="1">
        <v>22.777999999999999</v>
      </c>
      <c r="K7" s="1">
        <v>18.074000000000002</v>
      </c>
      <c r="L7" s="14"/>
      <c r="M7" s="105"/>
      <c r="N7" s="105"/>
      <c r="O7" s="105"/>
      <c r="P7" s="90"/>
      <c r="Q7" s="1" t="s">
        <v>114</v>
      </c>
      <c r="R7" s="1" t="s">
        <v>204</v>
      </c>
      <c r="S7" s="1" t="s">
        <v>106</v>
      </c>
      <c r="T7" s="1" t="s">
        <v>107</v>
      </c>
      <c r="U7" s="1" t="s">
        <v>108</v>
      </c>
      <c r="V7" s="1">
        <v>30.562000000000001</v>
      </c>
      <c r="W7" s="97"/>
      <c r="X7" s="129"/>
      <c r="Y7" s="97"/>
      <c r="Z7" s="97"/>
      <c r="AA7" s="85"/>
      <c r="AB7" s="157"/>
      <c r="AC7" s="1"/>
      <c r="AD7" s="154"/>
      <c r="AE7" s="142"/>
      <c r="AG7">
        <f t="shared" ref="AG7:AH8" si="8">AM3</f>
        <v>2.1774832328682141</v>
      </c>
      <c r="AH7">
        <f t="shared" si="8"/>
        <v>2.2556671128857619</v>
      </c>
      <c r="AJ7">
        <f t="shared" ref="AJ7:AK8" si="9">AG3</f>
        <v>2.3148760310984464</v>
      </c>
      <c r="AK7">
        <f t="shared" si="9"/>
        <v>2.5926732747070247</v>
      </c>
      <c r="AM7">
        <f t="shared" ref="AM7:AN8" si="10">AJ3</f>
        <v>1.8191569776265553</v>
      </c>
      <c r="AN7">
        <f t="shared" si="10"/>
        <v>1.8700460963909791</v>
      </c>
    </row>
    <row r="8" spans="1:40" x14ac:dyDescent="0.25">
      <c r="A8" s="101"/>
      <c r="B8" s="1">
        <v>340</v>
      </c>
      <c r="C8" s="1" t="s">
        <v>389</v>
      </c>
      <c r="D8" s="1" t="s">
        <v>103</v>
      </c>
      <c r="E8" s="1" t="s">
        <v>114</v>
      </c>
      <c r="F8" s="1" t="s">
        <v>332</v>
      </c>
      <c r="G8" s="1" t="s">
        <v>106</v>
      </c>
      <c r="H8" s="1"/>
      <c r="I8" s="1"/>
      <c r="J8" s="1">
        <v>22.84</v>
      </c>
      <c r="K8" s="1">
        <v>18.117000000000001</v>
      </c>
      <c r="L8" s="14"/>
      <c r="M8" s="105"/>
      <c r="N8" s="105"/>
      <c r="O8" s="105"/>
      <c r="P8" s="90"/>
      <c r="Q8" s="1" t="s">
        <v>114</v>
      </c>
      <c r="R8" s="1" t="s">
        <v>204</v>
      </c>
      <c r="S8" s="1" t="s">
        <v>106</v>
      </c>
      <c r="T8" s="1" t="s">
        <v>107</v>
      </c>
      <c r="U8" s="1" t="s">
        <v>108</v>
      </c>
      <c r="V8" s="1">
        <v>30.936</v>
      </c>
      <c r="W8" s="97"/>
      <c r="X8" s="129"/>
      <c r="Y8" s="97"/>
      <c r="Z8" s="97"/>
      <c r="AA8" s="85"/>
      <c r="AB8" s="157"/>
      <c r="AC8" s="1"/>
      <c r="AD8" s="143"/>
      <c r="AE8" s="142"/>
      <c r="AG8">
        <f t="shared" si="8"/>
        <v>3.6221800989613175</v>
      </c>
      <c r="AH8">
        <f t="shared" si="8"/>
        <v>3.773202602362181</v>
      </c>
      <c r="AJ8">
        <f t="shared" si="9"/>
        <v>3.1432646884772804</v>
      </c>
      <c r="AK8">
        <f t="shared" si="9"/>
        <v>3.2564083158033483</v>
      </c>
      <c r="AM8">
        <f t="shared" si="10"/>
        <v>3.2804825717695074</v>
      </c>
      <c r="AN8">
        <f t="shared" si="10"/>
        <v>2.9817166437897065</v>
      </c>
    </row>
    <row r="9" spans="1:40" ht="15.75" thickBot="1" x14ac:dyDescent="0.3">
      <c r="A9" s="107"/>
      <c r="B9" s="83">
        <v>364</v>
      </c>
      <c r="C9" s="83" t="s">
        <v>401</v>
      </c>
      <c r="D9" s="83" t="s">
        <v>103</v>
      </c>
      <c r="E9" s="83" t="s">
        <v>114</v>
      </c>
      <c r="F9" s="83" t="s">
        <v>332</v>
      </c>
      <c r="G9" s="83" t="s">
        <v>106</v>
      </c>
      <c r="H9" s="83">
        <f t="shared" ref="H9" si="11">_xlfn.STDEV.S(K6:K9)</f>
        <v>4.4873897386639251E-2</v>
      </c>
      <c r="I9" s="83">
        <f t="shared" ref="I9" si="12">_xlfn.STDEV.S(J6:J9)</f>
        <v>5.6112981266964762E-2</v>
      </c>
      <c r="J9" s="83">
        <v>22.766999999999999</v>
      </c>
      <c r="K9" s="83">
        <v>18.041</v>
      </c>
      <c r="L9" s="17"/>
      <c r="M9" s="108"/>
      <c r="N9" s="108"/>
      <c r="O9" s="108"/>
      <c r="P9" s="109"/>
      <c r="Q9" s="1" t="s">
        <v>114</v>
      </c>
      <c r="R9" s="1" t="s">
        <v>204</v>
      </c>
      <c r="S9" s="1" t="s">
        <v>106</v>
      </c>
      <c r="T9" s="1" t="s">
        <v>107</v>
      </c>
      <c r="U9" s="1" t="s">
        <v>108</v>
      </c>
      <c r="V9" s="1">
        <v>30.367999999999999</v>
      </c>
      <c r="W9" s="98"/>
      <c r="X9" s="130"/>
      <c r="Y9" s="98"/>
      <c r="Z9" s="98"/>
      <c r="AA9" s="86"/>
      <c r="AB9" s="158"/>
      <c r="AC9" s="1"/>
      <c r="AD9" s="143"/>
      <c r="AE9" s="142"/>
    </row>
    <row r="10" spans="1:40" x14ac:dyDescent="0.25">
      <c r="A10" s="100"/>
      <c r="B10" s="9">
        <v>341</v>
      </c>
      <c r="C10" s="9" t="s">
        <v>390</v>
      </c>
      <c r="D10" s="9" t="s">
        <v>103</v>
      </c>
      <c r="E10" s="9" t="s">
        <v>117</v>
      </c>
      <c r="F10" s="9" t="s">
        <v>332</v>
      </c>
      <c r="G10" s="9" t="s">
        <v>106</v>
      </c>
      <c r="H10" s="9"/>
      <c r="I10" s="9"/>
      <c r="J10" s="9">
        <v>22.46</v>
      </c>
      <c r="K10" s="9">
        <v>17.544</v>
      </c>
      <c r="L10" s="11"/>
      <c r="M10" s="104">
        <f t="shared" ref="M10:N10" si="13">AVERAGE(J10:J13)</f>
        <v>22.5335</v>
      </c>
      <c r="N10" s="104">
        <f t="shared" si="13"/>
        <v>17.604499999999998</v>
      </c>
      <c r="O10" s="104"/>
      <c r="P10" s="89">
        <f t="shared" ref="P10" si="14">GEOMEAN(M10,N10)</f>
        <v>19.917103221854326</v>
      </c>
      <c r="Q10" s="1" t="s">
        <v>117</v>
      </c>
      <c r="R10" s="1" t="s">
        <v>204</v>
      </c>
      <c r="S10" s="1" t="s">
        <v>106</v>
      </c>
      <c r="T10" s="1" t="s">
        <v>107</v>
      </c>
      <c r="U10" s="1" t="s">
        <v>108</v>
      </c>
      <c r="V10" s="1">
        <v>28.061</v>
      </c>
      <c r="W10" s="96">
        <f t="shared" ref="W10" si="15">_xlfn.STDEV.S(V10:V13)</f>
        <v>0.22177015128280889</v>
      </c>
      <c r="X10" s="128">
        <f t="shared" ref="X10" si="16">AVERAGE(V10:V13)</f>
        <v>27.948999999999998</v>
      </c>
      <c r="Y10" s="96">
        <f t="shared" ref="Y10" si="17">X10-P10</f>
        <v>8.031896778145672</v>
      </c>
      <c r="Z10" s="96">
        <f t="shared" ref="Z10" si="18">Y10-$AE$2</f>
        <v>-2.3148760310984464</v>
      </c>
      <c r="AA10" s="84">
        <f t="shared" ref="AA10" si="19">2^-Z10</f>
        <v>4.9756190463745824</v>
      </c>
      <c r="AB10" s="147"/>
      <c r="AC10" s="1">
        <f t="shared" ref="AC10" si="20">LOG(AA10,2)</f>
        <v>2.3148760310984464</v>
      </c>
      <c r="AD10" s="143"/>
      <c r="AE10" s="142"/>
    </row>
    <row r="11" spans="1:40" x14ac:dyDescent="0.25">
      <c r="A11" s="101"/>
      <c r="B11" s="1">
        <v>365</v>
      </c>
      <c r="C11" s="1" t="s">
        <v>402</v>
      </c>
      <c r="D11" s="1" t="s">
        <v>103</v>
      </c>
      <c r="E11" s="1" t="s">
        <v>117</v>
      </c>
      <c r="F11" s="1" t="s">
        <v>332</v>
      </c>
      <c r="G11" s="1" t="s">
        <v>106</v>
      </c>
      <c r="H11" s="1"/>
      <c r="I11" s="1"/>
      <c r="J11" s="1">
        <v>22.52</v>
      </c>
      <c r="K11" s="1">
        <v>17.760999999999999</v>
      </c>
      <c r="L11" s="14"/>
      <c r="M11" s="105"/>
      <c r="N11" s="105"/>
      <c r="O11" s="105"/>
      <c r="P11" s="90"/>
      <c r="Q11" s="1" t="s">
        <v>117</v>
      </c>
      <c r="R11" s="1" t="s">
        <v>204</v>
      </c>
      <c r="S11" s="1" t="s">
        <v>106</v>
      </c>
      <c r="T11" s="1" t="s">
        <v>107</v>
      </c>
      <c r="U11" s="1" t="s">
        <v>108</v>
      </c>
      <c r="V11" s="1">
        <v>27.617000000000001</v>
      </c>
      <c r="W11" s="97"/>
      <c r="X11" s="129"/>
      <c r="Y11" s="97"/>
      <c r="Z11" s="97"/>
      <c r="AA11" s="85"/>
      <c r="AB11" s="148"/>
      <c r="AC11" s="1"/>
      <c r="AD11" s="143"/>
      <c r="AE11" s="142"/>
    </row>
    <row r="12" spans="1:40" x14ac:dyDescent="0.25">
      <c r="A12" s="101"/>
      <c r="B12" s="1">
        <v>342</v>
      </c>
      <c r="C12" s="1" t="s">
        <v>391</v>
      </c>
      <c r="D12" s="1" t="s">
        <v>103</v>
      </c>
      <c r="E12" s="1" t="s">
        <v>117</v>
      </c>
      <c r="F12" s="1" t="s">
        <v>332</v>
      </c>
      <c r="G12" s="1" t="s">
        <v>106</v>
      </c>
      <c r="H12" s="1"/>
      <c r="I12" s="1"/>
      <c r="J12" s="1">
        <v>22.559000000000001</v>
      </c>
      <c r="K12" s="1">
        <v>17.477</v>
      </c>
      <c r="L12" s="14"/>
      <c r="M12" s="105"/>
      <c r="N12" s="105"/>
      <c r="O12" s="105"/>
      <c r="P12" s="90"/>
      <c r="Q12" s="1" t="s">
        <v>117</v>
      </c>
      <c r="R12" s="1" t="s">
        <v>204</v>
      </c>
      <c r="S12" s="1" t="s">
        <v>106</v>
      </c>
      <c r="T12" s="1" t="s">
        <v>107</v>
      </c>
      <c r="U12" s="1" t="s">
        <v>108</v>
      </c>
      <c r="V12" s="1">
        <v>28.076000000000001</v>
      </c>
      <c r="W12" s="97"/>
      <c r="X12" s="129"/>
      <c r="Y12" s="97"/>
      <c r="Z12" s="97"/>
      <c r="AA12" s="85"/>
      <c r="AB12" s="148"/>
      <c r="AC12" s="1"/>
      <c r="AD12" s="143"/>
      <c r="AE12" s="142"/>
    </row>
    <row r="13" spans="1:40" ht="15.75" thickBot="1" x14ac:dyDescent="0.3">
      <c r="A13" s="107"/>
      <c r="B13" s="83">
        <v>366</v>
      </c>
      <c r="C13" s="83" t="s">
        <v>403</v>
      </c>
      <c r="D13" s="83" t="s">
        <v>103</v>
      </c>
      <c r="E13" s="83" t="s">
        <v>117</v>
      </c>
      <c r="F13" s="83" t="s">
        <v>332</v>
      </c>
      <c r="G13" s="83" t="s">
        <v>106</v>
      </c>
      <c r="H13" s="83">
        <f t="shared" ref="H13" si="21">_xlfn.STDEV.S(K10:K13)</f>
        <v>0.12301896872704846</v>
      </c>
      <c r="I13" s="83">
        <f t="shared" ref="I13" si="22">_xlfn.STDEV.S(J10:J13)</f>
        <v>5.7784080852774096E-2</v>
      </c>
      <c r="J13" s="83">
        <v>22.594999999999999</v>
      </c>
      <c r="K13" s="83">
        <v>17.635999999999999</v>
      </c>
      <c r="L13" s="17"/>
      <c r="M13" s="108"/>
      <c r="N13" s="108"/>
      <c r="O13" s="108"/>
      <c r="P13" s="109"/>
      <c r="Q13" s="1" t="s">
        <v>117</v>
      </c>
      <c r="R13" s="1" t="s">
        <v>204</v>
      </c>
      <c r="S13" s="1" t="s">
        <v>106</v>
      </c>
      <c r="T13" s="1" t="s">
        <v>107</v>
      </c>
      <c r="U13" s="1" t="s">
        <v>108</v>
      </c>
      <c r="V13" s="1">
        <v>28.042000000000002</v>
      </c>
      <c r="W13" s="98"/>
      <c r="X13" s="130"/>
      <c r="Y13" s="98"/>
      <c r="Z13" s="98"/>
      <c r="AA13" s="86"/>
      <c r="AB13" s="149"/>
      <c r="AC13" s="1"/>
      <c r="AD13" s="143"/>
      <c r="AE13" s="142"/>
    </row>
    <row r="14" spans="1:40" x14ac:dyDescent="0.25">
      <c r="A14" s="100"/>
      <c r="B14" s="9">
        <v>343</v>
      </c>
      <c r="C14" s="9" t="s">
        <v>392</v>
      </c>
      <c r="D14" s="9" t="s">
        <v>103</v>
      </c>
      <c r="E14" s="9" t="s">
        <v>120</v>
      </c>
      <c r="F14" s="9" t="s">
        <v>332</v>
      </c>
      <c r="G14" s="9" t="s">
        <v>106</v>
      </c>
      <c r="H14" s="9"/>
      <c r="I14" s="9"/>
      <c r="J14" s="9">
        <v>22.733000000000001</v>
      </c>
      <c r="K14" s="9">
        <v>17.564</v>
      </c>
      <c r="L14" s="11"/>
      <c r="M14" s="104">
        <f t="shared" ref="M14:N14" si="23">AVERAGE(J14:J17)</f>
        <v>22.652999999999999</v>
      </c>
      <c r="N14" s="104">
        <f t="shared" si="23"/>
        <v>17.67475</v>
      </c>
      <c r="O14" s="104"/>
      <c r="P14" s="89">
        <f t="shared" ref="P14" si="24">GEOMEAN(M14,N14)</f>
        <v>20.009650465462908</v>
      </c>
      <c r="Q14" s="1" t="s">
        <v>120</v>
      </c>
      <c r="R14" s="1" t="s">
        <v>204</v>
      </c>
      <c r="S14" s="1" t="s">
        <v>106</v>
      </c>
      <c r="T14" s="1" t="s">
        <v>107</v>
      </c>
      <c r="U14" s="1" t="s">
        <v>108</v>
      </c>
      <c r="V14" s="1">
        <v>27.548999999999999</v>
      </c>
      <c r="W14" s="96">
        <f t="shared" ref="W14" si="25">_xlfn.STDEV.S(V14:V17)</f>
        <v>0.27772573401349343</v>
      </c>
      <c r="X14" s="128">
        <f t="shared" ref="X14" si="26">AVERAGE(V14:V17)</f>
        <v>27.763750000000002</v>
      </c>
      <c r="Y14" s="96">
        <f t="shared" ref="Y14" si="27">X14-P14</f>
        <v>7.7540995345370938</v>
      </c>
      <c r="Z14" s="96">
        <f t="shared" ref="Z14" si="28">Y14-$AE$2</f>
        <v>-2.5926732747070247</v>
      </c>
      <c r="AA14" s="84">
        <f t="shared" ref="AA14" si="29">2^-Z14</f>
        <v>6.0321540578637913</v>
      </c>
      <c r="AB14" s="147"/>
      <c r="AC14" s="1">
        <f t="shared" ref="AC14" si="30">LOG(AA14,2)</f>
        <v>2.5926732747070247</v>
      </c>
      <c r="AD14" s="143"/>
      <c r="AE14" s="142"/>
    </row>
    <row r="15" spans="1:40" x14ac:dyDescent="0.25">
      <c r="A15" s="101"/>
      <c r="B15" s="1">
        <v>367</v>
      </c>
      <c r="C15" s="1" t="s">
        <v>404</v>
      </c>
      <c r="D15" s="1" t="s">
        <v>103</v>
      </c>
      <c r="E15" s="1" t="s">
        <v>120</v>
      </c>
      <c r="F15" s="1" t="s">
        <v>332</v>
      </c>
      <c r="G15" s="1" t="s">
        <v>106</v>
      </c>
      <c r="H15" s="1"/>
      <c r="I15" s="1"/>
      <c r="J15" s="1">
        <v>22.678000000000001</v>
      </c>
      <c r="K15" s="1">
        <v>17.535</v>
      </c>
      <c r="L15" s="14"/>
      <c r="M15" s="105"/>
      <c r="N15" s="105"/>
      <c r="O15" s="105"/>
      <c r="P15" s="90"/>
      <c r="Q15" s="1" t="s">
        <v>120</v>
      </c>
      <c r="R15" s="1" t="s">
        <v>204</v>
      </c>
      <c r="S15" s="1" t="s">
        <v>106</v>
      </c>
      <c r="T15" s="1" t="s">
        <v>107</v>
      </c>
      <c r="U15" s="1" t="s">
        <v>108</v>
      </c>
      <c r="V15" s="1">
        <v>27.719000000000001</v>
      </c>
      <c r="W15" s="97"/>
      <c r="X15" s="129"/>
      <c r="Y15" s="97"/>
      <c r="Z15" s="97"/>
      <c r="AA15" s="85"/>
      <c r="AB15" s="148"/>
      <c r="AC15" s="1"/>
      <c r="AD15" s="143"/>
      <c r="AE15" s="142"/>
    </row>
    <row r="16" spans="1:40" x14ac:dyDescent="0.25">
      <c r="A16" s="101"/>
      <c r="B16" s="1">
        <v>344</v>
      </c>
      <c r="C16" s="1" t="s">
        <v>393</v>
      </c>
      <c r="D16" s="1" t="s">
        <v>103</v>
      </c>
      <c r="E16" s="1" t="s">
        <v>120</v>
      </c>
      <c r="F16" s="1" t="s">
        <v>332</v>
      </c>
      <c r="G16" s="1" t="s">
        <v>106</v>
      </c>
      <c r="H16" s="1"/>
      <c r="I16" s="1"/>
      <c r="J16" s="1">
        <v>22.619</v>
      </c>
      <c r="K16" s="1">
        <v>17.882999999999999</v>
      </c>
      <c r="L16" s="14"/>
      <c r="M16" s="105"/>
      <c r="N16" s="105"/>
      <c r="O16" s="105"/>
      <c r="P16" s="90"/>
      <c r="Q16" s="1" t="s">
        <v>120</v>
      </c>
      <c r="R16" s="1" t="s">
        <v>204</v>
      </c>
      <c r="S16" s="1" t="s">
        <v>106</v>
      </c>
      <c r="T16" s="1" t="s">
        <v>107</v>
      </c>
      <c r="U16" s="1" t="s">
        <v>108</v>
      </c>
      <c r="V16" s="1">
        <v>28.167000000000002</v>
      </c>
      <c r="W16" s="97"/>
      <c r="X16" s="129"/>
      <c r="Y16" s="97"/>
      <c r="Z16" s="97"/>
      <c r="AA16" s="85"/>
      <c r="AB16" s="148"/>
      <c r="AC16" s="1"/>
      <c r="AD16" s="143"/>
      <c r="AE16" s="142"/>
    </row>
    <row r="17" spans="1:31" ht="15.75" thickBot="1" x14ac:dyDescent="0.3">
      <c r="A17" s="107"/>
      <c r="B17" s="83">
        <v>368</v>
      </c>
      <c r="C17" s="83" t="s">
        <v>405</v>
      </c>
      <c r="D17" s="83" t="s">
        <v>103</v>
      </c>
      <c r="E17" s="83" t="s">
        <v>120</v>
      </c>
      <c r="F17" s="83" t="s">
        <v>332</v>
      </c>
      <c r="G17" s="83" t="s">
        <v>106</v>
      </c>
      <c r="H17" s="83">
        <f t="shared" ref="H17" si="31">_xlfn.STDEV.S(K14:K17)</f>
        <v>0.16015487296155917</v>
      </c>
      <c r="I17" s="83">
        <f t="shared" ref="I17" si="32">_xlfn.STDEV.S(J14:J17)</f>
        <v>6.6387749874004212E-2</v>
      </c>
      <c r="J17" s="83">
        <v>22.582000000000001</v>
      </c>
      <c r="K17" s="83">
        <v>17.716999999999999</v>
      </c>
      <c r="L17" s="17"/>
      <c r="M17" s="108"/>
      <c r="N17" s="108"/>
      <c r="O17" s="108"/>
      <c r="P17" s="109"/>
      <c r="Q17" s="1" t="s">
        <v>120</v>
      </c>
      <c r="R17" s="1" t="s">
        <v>204</v>
      </c>
      <c r="S17" s="1" t="s">
        <v>106</v>
      </c>
      <c r="T17" s="1" t="s">
        <v>107</v>
      </c>
      <c r="U17" s="1" t="s">
        <v>108</v>
      </c>
      <c r="V17" s="1">
        <v>27.62</v>
      </c>
      <c r="W17" s="98"/>
      <c r="X17" s="130"/>
      <c r="Y17" s="98"/>
      <c r="Z17" s="98"/>
      <c r="AA17" s="86"/>
      <c r="AB17" s="149"/>
      <c r="AC17" s="1"/>
      <c r="AD17" s="143"/>
      <c r="AE17" s="142"/>
    </row>
    <row r="18" spans="1:31" x14ac:dyDescent="0.25">
      <c r="A18" s="100"/>
      <c r="B18" s="9">
        <v>345</v>
      </c>
      <c r="C18" s="9" t="s">
        <v>394</v>
      </c>
      <c r="D18" s="9" t="s">
        <v>103</v>
      </c>
      <c r="E18" s="9" t="s">
        <v>123</v>
      </c>
      <c r="F18" s="9" t="s">
        <v>332</v>
      </c>
      <c r="G18" s="9" t="s">
        <v>106</v>
      </c>
      <c r="H18" s="9"/>
      <c r="I18" s="9"/>
      <c r="J18" s="9">
        <v>23.177</v>
      </c>
      <c r="K18" s="9">
        <v>18.623999999999999</v>
      </c>
      <c r="L18" s="11"/>
      <c r="M18" s="104">
        <f t="shared" ref="M18:N18" si="33">AVERAGE(J18:J21)</f>
        <v>23.083500000000001</v>
      </c>
      <c r="N18" s="104">
        <f t="shared" si="33"/>
        <v>18.561250000000001</v>
      </c>
      <c r="O18" s="104"/>
      <c r="P18" s="89">
        <f t="shared" ref="P18" si="34">GEOMEAN(M18,N18)</f>
        <v>20.699241879233163</v>
      </c>
      <c r="Q18" s="1" t="s">
        <v>123</v>
      </c>
      <c r="R18" s="1" t="s">
        <v>204</v>
      </c>
      <c r="S18" s="1" t="s">
        <v>106</v>
      </c>
      <c r="T18" s="1" t="s">
        <v>107</v>
      </c>
      <c r="U18" s="1" t="s">
        <v>108</v>
      </c>
      <c r="V18" s="1">
        <v>27.856999999999999</v>
      </c>
      <c r="W18" s="96">
        <f t="shared" ref="W18" si="35">_xlfn.STDEV.S(V18:V21)</f>
        <v>6.365728552176958E-2</v>
      </c>
      <c r="X18" s="128">
        <f t="shared" ref="X18" si="36">AVERAGE(V18:V21)</f>
        <v>27.902750000000001</v>
      </c>
      <c r="Y18" s="96">
        <f t="shared" ref="Y18" si="37">X18-P18</f>
        <v>7.2035081207668377</v>
      </c>
      <c r="Z18" s="96">
        <f t="shared" ref="Z18" si="38">Y18-$AE$2</f>
        <v>-3.1432646884772808</v>
      </c>
      <c r="AA18" s="84">
        <f t="shared" ref="AA18" si="39">2^-Z18</f>
        <v>8.8352116078520968</v>
      </c>
      <c r="AB18" s="144"/>
      <c r="AC18" s="1">
        <f t="shared" ref="AC18" si="40">LOG(AA18,2)</f>
        <v>3.1432646884772804</v>
      </c>
      <c r="AD18" s="143"/>
      <c r="AE18" s="142"/>
    </row>
    <row r="19" spans="1:31" x14ac:dyDescent="0.25">
      <c r="A19" s="101"/>
      <c r="B19" s="1">
        <v>369</v>
      </c>
      <c r="C19" s="1" t="s">
        <v>406</v>
      </c>
      <c r="D19" s="1" t="s">
        <v>103</v>
      </c>
      <c r="E19" s="1" t="s">
        <v>123</v>
      </c>
      <c r="F19" s="1" t="s">
        <v>332</v>
      </c>
      <c r="G19" s="1" t="s">
        <v>106</v>
      </c>
      <c r="H19" s="1"/>
      <c r="I19" s="1"/>
      <c r="J19" s="1">
        <v>23.096</v>
      </c>
      <c r="K19" s="1">
        <v>18.565999999999999</v>
      </c>
      <c r="L19" s="14"/>
      <c r="M19" s="105"/>
      <c r="N19" s="105"/>
      <c r="O19" s="105"/>
      <c r="P19" s="90"/>
      <c r="Q19" s="1" t="s">
        <v>123</v>
      </c>
      <c r="R19" s="1" t="s">
        <v>204</v>
      </c>
      <c r="S19" s="1" t="s">
        <v>106</v>
      </c>
      <c r="T19" s="1" t="s">
        <v>107</v>
      </c>
      <c r="U19" s="1" t="s">
        <v>108</v>
      </c>
      <c r="V19" s="1">
        <v>27.905000000000001</v>
      </c>
      <c r="W19" s="97"/>
      <c r="X19" s="129"/>
      <c r="Y19" s="97"/>
      <c r="Z19" s="97"/>
      <c r="AA19" s="85"/>
      <c r="AB19" s="145"/>
      <c r="AC19" s="1"/>
      <c r="AD19" s="143"/>
      <c r="AE19" s="142"/>
    </row>
    <row r="20" spans="1:31" x14ac:dyDescent="0.25">
      <c r="A20" s="101"/>
      <c r="B20" s="1">
        <v>346</v>
      </c>
      <c r="C20" s="1" t="s">
        <v>395</v>
      </c>
      <c r="D20" s="1" t="s">
        <v>103</v>
      </c>
      <c r="E20" s="1" t="s">
        <v>123</v>
      </c>
      <c r="F20" s="1" t="s">
        <v>332</v>
      </c>
      <c r="G20" s="1" t="s">
        <v>106</v>
      </c>
      <c r="H20" s="1"/>
      <c r="I20" s="1"/>
      <c r="J20" s="1">
        <v>22.966999999999999</v>
      </c>
      <c r="K20" s="1">
        <v>18.457000000000001</v>
      </c>
      <c r="L20" s="14"/>
      <c r="M20" s="105"/>
      <c r="N20" s="105"/>
      <c r="O20" s="105"/>
      <c r="P20" s="90"/>
      <c r="Q20" s="1" t="s">
        <v>123</v>
      </c>
      <c r="R20" s="1" t="s">
        <v>204</v>
      </c>
      <c r="S20" s="1" t="s">
        <v>106</v>
      </c>
      <c r="T20" s="1" t="s">
        <v>107</v>
      </c>
      <c r="U20" s="1" t="s">
        <v>108</v>
      </c>
      <c r="V20" s="1">
        <v>27.992000000000001</v>
      </c>
      <c r="W20" s="97"/>
      <c r="X20" s="129"/>
      <c r="Y20" s="97"/>
      <c r="Z20" s="97"/>
      <c r="AA20" s="85"/>
      <c r="AB20" s="145"/>
      <c r="AC20" s="1"/>
      <c r="AD20" s="143"/>
      <c r="AE20" s="142"/>
    </row>
    <row r="21" spans="1:31" ht="15.75" thickBot="1" x14ac:dyDescent="0.3">
      <c r="A21" s="107"/>
      <c r="B21" s="83">
        <v>370</v>
      </c>
      <c r="C21" s="83" t="s">
        <v>407</v>
      </c>
      <c r="D21" s="83" t="s">
        <v>103</v>
      </c>
      <c r="E21" s="83" t="s">
        <v>123</v>
      </c>
      <c r="F21" s="83" t="s">
        <v>332</v>
      </c>
      <c r="G21" s="83" t="s">
        <v>106</v>
      </c>
      <c r="H21" s="83">
        <f t="shared" ref="H21" si="41">_xlfn.STDEV.S(K18:K21)</f>
        <v>7.3436480489376232E-2</v>
      </c>
      <c r="I21" s="83">
        <f t="shared" ref="I21" si="42">_xlfn.STDEV.S(J18:J21)</f>
        <v>8.675828490697636E-2</v>
      </c>
      <c r="J21" s="83">
        <v>23.094000000000001</v>
      </c>
      <c r="K21" s="83">
        <v>18.597999999999999</v>
      </c>
      <c r="L21" s="17"/>
      <c r="M21" s="108"/>
      <c r="N21" s="108"/>
      <c r="O21" s="108"/>
      <c r="P21" s="109"/>
      <c r="Q21" s="1" t="s">
        <v>123</v>
      </c>
      <c r="R21" s="1" t="s">
        <v>204</v>
      </c>
      <c r="S21" s="1" t="s">
        <v>106</v>
      </c>
      <c r="T21" s="1" t="s">
        <v>107</v>
      </c>
      <c r="U21" s="1" t="s">
        <v>108</v>
      </c>
      <c r="V21" s="1">
        <v>27.856999999999999</v>
      </c>
      <c r="W21" s="98"/>
      <c r="X21" s="130"/>
      <c r="Y21" s="98"/>
      <c r="Z21" s="98"/>
      <c r="AA21" s="86"/>
      <c r="AB21" s="146"/>
      <c r="AC21" s="1"/>
      <c r="AD21" s="143"/>
      <c r="AE21" s="142"/>
    </row>
    <row r="22" spans="1:31" x14ac:dyDescent="0.25">
      <c r="A22" s="100"/>
      <c r="B22" s="9">
        <v>347</v>
      </c>
      <c r="C22" s="9" t="s">
        <v>396</v>
      </c>
      <c r="D22" s="9" t="s">
        <v>103</v>
      </c>
      <c r="E22" s="9" t="s">
        <v>126</v>
      </c>
      <c r="F22" s="9" t="s">
        <v>332</v>
      </c>
      <c r="G22" s="9" t="s">
        <v>106</v>
      </c>
      <c r="H22" s="9"/>
      <c r="I22" s="9"/>
      <c r="J22" s="9">
        <v>22.98</v>
      </c>
      <c r="K22" s="9">
        <v>18.567</v>
      </c>
      <c r="L22" s="11"/>
      <c r="M22" s="104">
        <f t="shared" ref="M22:N22" si="43">AVERAGE(J22:J25)</f>
        <v>22.962500000000002</v>
      </c>
      <c r="N22" s="104">
        <f t="shared" si="43"/>
        <v>18.500999999999998</v>
      </c>
      <c r="O22" s="104"/>
      <c r="P22" s="89">
        <f t="shared" ref="P22" si="44">GEOMEAN(M22,N22)</f>
        <v>20.61138550655923</v>
      </c>
      <c r="Q22" s="1" t="s">
        <v>126</v>
      </c>
      <c r="R22" s="1" t="s">
        <v>204</v>
      </c>
      <c r="S22" s="1" t="s">
        <v>106</v>
      </c>
      <c r="T22" s="1" t="s">
        <v>107</v>
      </c>
      <c r="U22" s="1" t="s">
        <v>108</v>
      </c>
      <c r="V22" s="1">
        <v>27.821000000000002</v>
      </c>
      <c r="W22" s="96">
        <f t="shared" ref="W22" si="45">_xlfn.STDEV.S(V22:V25)</f>
        <v>0.15510722097955307</v>
      </c>
      <c r="X22" s="128">
        <f t="shared" ref="X22" si="46">AVERAGE(V22:V25)</f>
        <v>27.701750000000001</v>
      </c>
      <c r="Y22" s="96">
        <f t="shared" ref="Y22" si="47">X22-P22</f>
        <v>7.0903644934407701</v>
      </c>
      <c r="Z22" s="96">
        <f t="shared" ref="Z22" si="48">Y22-$AE$2</f>
        <v>-3.2564083158033483</v>
      </c>
      <c r="AA22" s="84">
        <f t="shared" ref="AA22" si="49">2^-Z22</f>
        <v>9.5560096839357378</v>
      </c>
      <c r="AB22" s="144"/>
      <c r="AC22" s="1">
        <f t="shared" ref="AC22" si="50">LOG(AA22,2)</f>
        <v>3.2564083158033483</v>
      </c>
      <c r="AD22" s="143"/>
      <c r="AE22" s="142"/>
    </row>
    <row r="23" spans="1:31" x14ac:dyDescent="0.25">
      <c r="A23" s="101"/>
      <c r="B23" s="1">
        <v>371</v>
      </c>
      <c r="C23" s="1" t="s">
        <v>408</v>
      </c>
      <c r="D23" s="1" t="s">
        <v>103</v>
      </c>
      <c r="E23" s="1" t="s">
        <v>126</v>
      </c>
      <c r="F23" s="1" t="s">
        <v>332</v>
      </c>
      <c r="G23" s="1" t="s">
        <v>106</v>
      </c>
      <c r="H23" s="1"/>
      <c r="I23" s="1"/>
      <c r="J23" s="1">
        <v>22.972000000000001</v>
      </c>
      <c r="K23" s="1">
        <v>18.613</v>
      </c>
      <c r="L23" s="14"/>
      <c r="M23" s="105"/>
      <c r="N23" s="105"/>
      <c r="O23" s="105"/>
      <c r="P23" s="90"/>
      <c r="Q23" s="1" t="s">
        <v>126</v>
      </c>
      <c r="R23" s="1" t="s">
        <v>204</v>
      </c>
      <c r="S23" s="1" t="s">
        <v>106</v>
      </c>
      <c r="T23" s="1" t="s">
        <v>107</v>
      </c>
      <c r="U23" s="1" t="s">
        <v>108</v>
      </c>
      <c r="V23" s="1">
        <v>27.812999999999999</v>
      </c>
      <c r="W23" s="97"/>
      <c r="X23" s="129"/>
      <c r="Y23" s="97"/>
      <c r="Z23" s="97"/>
      <c r="AA23" s="85"/>
      <c r="AB23" s="145"/>
      <c r="AC23" s="1"/>
      <c r="AD23" s="143"/>
      <c r="AE23" s="142"/>
    </row>
    <row r="24" spans="1:31" x14ac:dyDescent="0.25">
      <c r="A24" s="101"/>
      <c r="B24" s="1">
        <v>348</v>
      </c>
      <c r="C24" s="1" t="s">
        <v>397</v>
      </c>
      <c r="D24" s="1" t="s">
        <v>103</v>
      </c>
      <c r="E24" s="1" t="s">
        <v>126</v>
      </c>
      <c r="F24" s="1" t="s">
        <v>332</v>
      </c>
      <c r="G24" s="1" t="s">
        <v>106</v>
      </c>
      <c r="H24" s="1"/>
      <c r="I24" s="1"/>
      <c r="J24" s="1">
        <v>22.96</v>
      </c>
      <c r="K24" s="1">
        <v>18.332999999999998</v>
      </c>
      <c r="L24" s="14"/>
      <c r="M24" s="105"/>
      <c r="N24" s="105"/>
      <c r="O24" s="105"/>
      <c r="P24" s="90"/>
      <c r="Q24" s="1" t="s">
        <v>126</v>
      </c>
      <c r="R24" s="1" t="s">
        <v>204</v>
      </c>
      <c r="S24" s="1" t="s">
        <v>106</v>
      </c>
      <c r="T24" s="1" t="s">
        <v>107</v>
      </c>
      <c r="U24" s="1" t="s">
        <v>108</v>
      </c>
      <c r="V24" s="1">
        <v>27.684000000000001</v>
      </c>
      <c r="W24" s="97"/>
      <c r="X24" s="129"/>
      <c r="Y24" s="97"/>
      <c r="Z24" s="97"/>
      <c r="AA24" s="85"/>
      <c r="AB24" s="145"/>
      <c r="AC24" s="1"/>
      <c r="AD24" s="143"/>
      <c r="AE24" s="142"/>
    </row>
    <row r="25" spans="1:31" ht="15.75" thickBot="1" x14ac:dyDescent="0.3">
      <c r="A25" s="107"/>
      <c r="B25" s="83">
        <v>372</v>
      </c>
      <c r="C25" s="83" t="s">
        <v>409</v>
      </c>
      <c r="D25" s="83" t="s">
        <v>103</v>
      </c>
      <c r="E25" s="83" t="s">
        <v>126</v>
      </c>
      <c r="F25" s="83" t="s">
        <v>332</v>
      </c>
      <c r="G25" s="83" t="s">
        <v>106</v>
      </c>
      <c r="H25" s="83">
        <f t="shared" ref="H25" si="51">_xlfn.STDEV.S(K22:K25)</f>
        <v>0.12277893413231286</v>
      </c>
      <c r="I25" s="83">
        <f t="shared" ref="I25" si="52">_xlfn.STDEV.S(J22:J25)</f>
        <v>1.8284784202537482E-2</v>
      </c>
      <c r="J25" s="83">
        <v>22.937999999999999</v>
      </c>
      <c r="K25" s="83">
        <v>18.491</v>
      </c>
      <c r="L25" s="17"/>
      <c r="M25" s="108"/>
      <c r="N25" s="108"/>
      <c r="O25" s="108"/>
      <c r="P25" s="109"/>
      <c r="Q25" s="1" t="s">
        <v>126</v>
      </c>
      <c r="R25" s="1" t="s">
        <v>204</v>
      </c>
      <c r="S25" s="1" t="s">
        <v>106</v>
      </c>
      <c r="T25" s="1" t="s">
        <v>107</v>
      </c>
      <c r="U25" s="1" t="s">
        <v>108</v>
      </c>
      <c r="V25" s="1">
        <v>27.489000000000001</v>
      </c>
      <c r="W25" s="98"/>
      <c r="X25" s="130"/>
      <c r="Y25" s="98"/>
      <c r="Z25" s="98"/>
      <c r="AA25" s="86"/>
      <c r="AB25" s="146"/>
      <c r="AC25" s="1"/>
      <c r="AD25" s="143"/>
      <c r="AE25" s="142"/>
    </row>
    <row r="26" spans="1:31" x14ac:dyDescent="0.25">
      <c r="A26" s="100"/>
      <c r="B26" s="9">
        <v>337</v>
      </c>
      <c r="C26" s="9" t="s">
        <v>386</v>
      </c>
      <c r="D26" s="9" t="s">
        <v>103</v>
      </c>
      <c r="E26" s="9" t="s">
        <v>416</v>
      </c>
      <c r="F26" s="9" t="s">
        <v>332</v>
      </c>
      <c r="G26" s="9" t="s">
        <v>106</v>
      </c>
      <c r="H26" s="9"/>
      <c r="I26" s="9"/>
      <c r="J26" s="9">
        <v>22.983000000000001</v>
      </c>
      <c r="K26" s="9">
        <v>18.667000000000002</v>
      </c>
      <c r="L26" s="11"/>
      <c r="M26" s="104">
        <f t="shared" ref="M26:N26" si="53">AVERAGE(J26:J29)</f>
        <v>23.02</v>
      </c>
      <c r="N26" s="104">
        <f t="shared" si="53"/>
        <v>18.7575</v>
      </c>
      <c r="O26" s="104"/>
      <c r="P26" s="89">
        <f t="shared" ref="P26" si="54">GEOMEAN(M26,N26)</f>
        <v>20.779741336214943</v>
      </c>
      <c r="Q26" s="1" t="s">
        <v>416</v>
      </c>
      <c r="R26" s="1" t="s">
        <v>204</v>
      </c>
      <c r="S26" s="1" t="s">
        <v>106</v>
      </c>
      <c r="T26" s="1" t="s">
        <v>107</v>
      </c>
      <c r="U26" s="1" t="s">
        <v>108</v>
      </c>
      <c r="V26" s="1">
        <v>30.562000000000001</v>
      </c>
      <c r="W26" s="96">
        <f t="shared" ref="W26" si="55">_xlfn.STDEV.S(V26:V29)</f>
        <v>0.55826666268609171</v>
      </c>
      <c r="X26" s="128">
        <f t="shared" ref="X26" si="56">AVERAGE(V26:V29)</f>
        <v>30.383499999999998</v>
      </c>
      <c r="Y26" s="96">
        <f t="shared" ref="Y26" si="57">X26-P26</f>
        <v>9.6037586637850545</v>
      </c>
      <c r="Z26" s="96">
        <f>Y26-$AE$4</f>
        <v>-1.8827308350950034E-2</v>
      </c>
      <c r="AA26" s="84">
        <f t="shared" ref="AA26" si="58">2^-Z26</f>
        <v>1.0131356198276353</v>
      </c>
      <c r="AB26" s="139"/>
      <c r="AC26" s="1">
        <f t="shared" ref="AC26" si="59">LOG(AA26,2)</f>
        <v>1.8827308350950086E-2</v>
      </c>
      <c r="AD26" s="143"/>
      <c r="AE26" s="142"/>
    </row>
    <row r="27" spans="1:31" x14ac:dyDescent="0.25">
      <c r="A27" s="101"/>
      <c r="B27" s="1">
        <v>361</v>
      </c>
      <c r="C27" s="1" t="s">
        <v>398</v>
      </c>
      <c r="D27" s="1" t="s">
        <v>103</v>
      </c>
      <c r="E27" s="1" t="s">
        <v>416</v>
      </c>
      <c r="F27" s="1" t="s">
        <v>332</v>
      </c>
      <c r="G27" s="1" t="s">
        <v>106</v>
      </c>
      <c r="H27" s="1"/>
      <c r="I27" s="1"/>
      <c r="J27" s="1">
        <v>22.923999999999999</v>
      </c>
      <c r="K27" s="1">
        <v>18.940000000000001</v>
      </c>
      <c r="L27" s="14"/>
      <c r="M27" s="105"/>
      <c r="N27" s="105"/>
      <c r="O27" s="105"/>
      <c r="P27" s="90"/>
      <c r="Q27" s="1" t="s">
        <v>416</v>
      </c>
      <c r="R27" s="1" t="s">
        <v>204</v>
      </c>
      <c r="S27" s="1" t="s">
        <v>106</v>
      </c>
      <c r="T27" s="1" t="s">
        <v>107</v>
      </c>
      <c r="U27" s="1" t="s">
        <v>108</v>
      </c>
      <c r="V27" s="1">
        <v>31.094999999999999</v>
      </c>
      <c r="W27" s="97"/>
      <c r="X27" s="129"/>
      <c r="Y27" s="97"/>
      <c r="Z27" s="97"/>
      <c r="AA27" s="85"/>
      <c r="AB27" s="140"/>
      <c r="AC27" s="1"/>
      <c r="AD27" s="143"/>
      <c r="AE27" s="142"/>
    </row>
    <row r="28" spans="1:31" x14ac:dyDescent="0.25">
      <c r="A28" s="101"/>
      <c r="B28" s="1">
        <v>338</v>
      </c>
      <c r="C28" s="1" t="s">
        <v>387</v>
      </c>
      <c r="D28" s="1" t="s">
        <v>103</v>
      </c>
      <c r="E28" s="1" t="s">
        <v>416</v>
      </c>
      <c r="F28" s="1" t="s">
        <v>332</v>
      </c>
      <c r="G28" s="1" t="s">
        <v>106</v>
      </c>
      <c r="H28" s="1"/>
      <c r="I28" s="1"/>
      <c r="J28" s="1">
        <v>23.096</v>
      </c>
      <c r="K28" s="1">
        <v>18.649000000000001</v>
      </c>
      <c r="L28" s="14"/>
      <c r="M28" s="105"/>
      <c r="N28" s="105"/>
      <c r="O28" s="105"/>
      <c r="P28" s="90"/>
      <c r="Q28" s="1" t="s">
        <v>416</v>
      </c>
      <c r="R28" s="1" t="s">
        <v>204</v>
      </c>
      <c r="S28" s="1" t="s">
        <v>106</v>
      </c>
      <c r="T28" s="1" t="s">
        <v>107</v>
      </c>
      <c r="U28" s="1" t="s">
        <v>108</v>
      </c>
      <c r="V28" s="1">
        <v>29.917999999999999</v>
      </c>
      <c r="W28" s="97"/>
      <c r="X28" s="129"/>
      <c r="Y28" s="97"/>
      <c r="Z28" s="97"/>
      <c r="AA28" s="85"/>
      <c r="AB28" s="140"/>
      <c r="AC28" s="1"/>
      <c r="AD28" s="143"/>
      <c r="AE28" s="142"/>
    </row>
    <row r="29" spans="1:31" ht="15.75" thickBot="1" x14ac:dyDescent="0.3">
      <c r="A29" s="107"/>
      <c r="B29" s="83">
        <v>362</v>
      </c>
      <c r="C29" s="83" t="s">
        <v>399</v>
      </c>
      <c r="D29" s="83" t="s">
        <v>103</v>
      </c>
      <c r="E29" s="83" t="s">
        <v>416</v>
      </c>
      <c r="F29" s="83" t="s">
        <v>332</v>
      </c>
      <c r="G29" s="83" t="s">
        <v>106</v>
      </c>
      <c r="H29" s="83">
        <f t="shared" ref="H29" si="60">_xlfn.STDEV.S(K26:K29)</f>
        <v>0.13359266446927393</v>
      </c>
      <c r="I29" s="83">
        <f t="shared" ref="I29" si="61">_xlfn.STDEV.S(J26:J29)</f>
        <v>8.0849654709632221E-2</v>
      </c>
      <c r="J29" s="83">
        <v>23.077000000000002</v>
      </c>
      <c r="K29" s="83">
        <v>18.774000000000001</v>
      </c>
      <c r="L29" s="17"/>
      <c r="M29" s="108"/>
      <c r="N29" s="108"/>
      <c r="O29" s="108"/>
      <c r="P29" s="109"/>
      <c r="Q29" s="1" t="s">
        <v>416</v>
      </c>
      <c r="R29" s="1" t="s">
        <v>204</v>
      </c>
      <c r="S29" s="1" t="s">
        <v>106</v>
      </c>
      <c r="T29" s="1" t="s">
        <v>107</v>
      </c>
      <c r="U29" s="1" t="s">
        <v>108</v>
      </c>
      <c r="V29" s="1">
        <v>29.959</v>
      </c>
      <c r="W29" s="98"/>
      <c r="X29" s="130"/>
      <c r="Y29" s="98"/>
      <c r="Z29" s="98"/>
      <c r="AA29" s="86"/>
      <c r="AB29" s="141"/>
      <c r="AC29" s="1"/>
      <c r="AD29" s="143"/>
      <c r="AE29" s="142"/>
    </row>
    <row r="30" spans="1:31" x14ac:dyDescent="0.25">
      <c r="A30" s="100"/>
      <c r="B30" s="9">
        <v>339</v>
      </c>
      <c r="C30" s="9" t="s">
        <v>388</v>
      </c>
      <c r="D30" s="9" t="s">
        <v>103</v>
      </c>
      <c r="E30" s="9" t="s">
        <v>417</v>
      </c>
      <c r="F30" s="9" t="s">
        <v>332</v>
      </c>
      <c r="G30" s="9" t="s">
        <v>106</v>
      </c>
      <c r="H30" s="9"/>
      <c r="I30" s="9"/>
      <c r="J30" s="9">
        <v>22.806000000000001</v>
      </c>
      <c r="K30" s="9">
        <v>18.515000000000001</v>
      </c>
      <c r="L30" s="11"/>
      <c r="M30" s="104">
        <f t="shared" ref="M30:N30" si="62">AVERAGE(J30:J33)</f>
        <v>22.781750000000002</v>
      </c>
      <c r="N30" s="104">
        <f t="shared" si="62"/>
        <v>18.29025</v>
      </c>
      <c r="O30" s="104"/>
      <c r="P30" s="89">
        <f t="shared" ref="P30" si="63">GEOMEAN(M30,N30)</f>
        <v>20.412836719513045</v>
      </c>
      <c r="Q30" s="1" t="s">
        <v>417</v>
      </c>
      <c r="R30" s="1" t="s">
        <v>204</v>
      </c>
      <c r="S30" s="1" t="s">
        <v>106</v>
      </c>
      <c r="T30" s="1" t="s">
        <v>107</v>
      </c>
      <c r="U30" s="1" t="s">
        <v>108</v>
      </c>
      <c r="V30" s="1">
        <v>29.920999999999999</v>
      </c>
      <c r="W30" s="96">
        <f t="shared" ref="W30" si="64">_xlfn.STDEV.S(V30:V33)</f>
        <v>0.3034483756204126</v>
      </c>
      <c r="X30" s="128">
        <f t="shared" ref="X30" si="65">AVERAGE(V30:V33)</f>
        <v>30.05425</v>
      </c>
      <c r="Y30" s="96">
        <f t="shared" ref="Y30" si="66">X30-P30</f>
        <v>9.6414132804869546</v>
      </c>
      <c r="Z30" s="96">
        <f t="shared" ref="Z30" si="67">Y30-$AE$4</f>
        <v>1.8827308350950034E-2</v>
      </c>
      <c r="AA30" s="84">
        <f t="shared" ref="AA30" si="68">2^-Z30</f>
        <v>0.98703468758716617</v>
      </c>
      <c r="AB30" s="139"/>
      <c r="AC30" s="1">
        <f t="shared" ref="AC30" si="69">LOG(AA30,2)</f>
        <v>-1.8827308350950086E-2</v>
      </c>
      <c r="AD30" s="1"/>
      <c r="AE30" s="1"/>
    </row>
    <row r="31" spans="1:31" x14ac:dyDescent="0.25">
      <c r="A31" s="101"/>
      <c r="B31" s="1">
        <v>363</v>
      </c>
      <c r="C31" s="1" t="s">
        <v>400</v>
      </c>
      <c r="D31" s="1" t="s">
        <v>103</v>
      </c>
      <c r="E31" s="1" t="s">
        <v>417</v>
      </c>
      <c r="F31" s="1" t="s">
        <v>332</v>
      </c>
      <c r="G31" s="1" t="s">
        <v>106</v>
      </c>
      <c r="H31" s="1"/>
      <c r="I31" s="1"/>
      <c r="J31" s="1">
        <v>22.748999999999999</v>
      </c>
      <c r="K31" s="1">
        <v>18.596</v>
      </c>
      <c r="L31" s="14"/>
      <c r="M31" s="105"/>
      <c r="N31" s="105"/>
      <c r="O31" s="105"/>
      <c r="P31" s="90"/>
      <c r="Q31" s="1" t="s">
        <v>417</v>
      </c>
      <c r="R31" s="1" t="s">
        <v>204</v>
      </c>
      <c r="S31" s="1" t="s">
        <v>106</v>
      </c>
      <c r="T31" s="1" t="s">
        <v>107</v>
      </c>
      <c r="U31" s="1" t="s">
        <v>108</v>
      </c>
      <c r="V31" s="1">
        <v>29.690999999999999</v>
      </c>
      <c r="W31" s="97"/>
      <c r="X31" s="129"/>
      <c r="Y31" s="97"/>
      <c r="Z31" s="97"/>
      <c r="AA31" s="85"/>
      <c r="AB31" s="140"/>
      <c r="AC31" s="1"/>
      <c r="AD31" s="1"/>
      <c r="AE31" s="1"/>
    </row>
    <row r="32" spans="1:31" x14ac:dyDescent="0.25">
      <c r="A32" s="101"/>
      <c r="B32" s="1">
        <v>340</v>
      </c>
      <c r="C32" s="1" t="s">
        <v>389</v>
      </c>
      <c r="D32" s="1" t="s">
        <v>103</v>
      </c>
      <c r="E32" s="1" t="s">
        <v>417</v>
      </c>
      <c r="F32" s="1" t="s">
        <v>332</v>
      </c>
      <c r="G32" s="1" t="s">
        <v>106</v>
      </c>
      <c r="H32" s="1"/>
      <c r="I32" s="1"/>
      <c r="J32" s="1">
        <v>22.742999999999999</v>
      </c>
      <c r="K32" s="1">
        <v>18.411999999999999</v>
      </c>
      <c r="L32" s="14"/>
      <c r="M32" s="105"/>
      <c r="N32" s="105"/>
      <c r="O32" s="105"/>
      <c r="P32" s="90"/>
      <c r="Q32" s="1" t="s">
        <v>417</v>
      </c>
      <c r="R32" s="1" t="s">
        <v>204</v>
      </c>
      <c r="S32" s="1" t="s">
        <v>106</v>
      </c>
      <c r="T32" s="1" t="s">
        <v>107</v>
      </c>
      <c r="U32" s="1" t="s">
        <v>108</v>
      </c>
      <c r="V32" s="1">
        <v>30.343</v>
      </c>
      <c r="W32" s="97"/>
      <c r="X32" s="129"/>
      <c r="Y32" s="97"/>
      <c r="Z32" s="97"/>
      <c r="AA32" s="85"/>
      <c r="AB32" s="140"/>
      <c r="AC32" s="1"/>
      <c r="AD32" s="1"/>
      <c r="AE32" s="1"/>
    </row>
    <row r="33" spans="1:31" ht="15.75" thickBot="1" x14ac:dyDescent="0.3">
      <c r="A33" s="107"/>
      <c r="B33" s="83">
        <v>364</v>
      </c>
      <c r="C33" s="83" t="s">
        <v>401</v>
      </c>
      <c r="D33" s="83" t="s">
        <v>103</v>
      </c>
      <c r="E33" s="83" t="s">
        <v>417</v>
      </c>
      <c r="F33" s="83" t="s">
        <v>332</v>
      </c>
      <c r="G33" s="83" t="s">
        <v>106</v>
      </c>
      <c r="H33" s="83">
        <f t="shared" ref="H33" si="70">_xlfn.STDEV.S(K30:K33)</f>
        <v>0.44130441118725816</v>
      </c>
      <c r="I33" s="83">
        <f t="shared" ref="I33" si="71">_xlfn.STDEV.S(J30:J33)</f>
        <v>4.2405777908206085E-2</v>
      </c>
      <c r="J33" s="83">
        <v>22.829000000000001</v>
      </c>
      <c r="K33" s="83">
        <v>17.638000000000002</v>
      </c>
      <c r="L33" s="17"/>
      <c r="M33" s="108"/>
      <c r="N33" s="108"/>
      <c r="O33" s="108"/>
      <c r="P33" s="109"/>
      <c r="Q33" s="1" t="s">
        <v>417</v>
      </c>
      <c r="R33" s="1" t="s">
        <v>204</v>
      </c>
      <c r="S33" s="1" t="s">
        <v>106</v>
      </c>
      <c r="T33" s="1" t="s">
        <v>107</v>
      </c>
      <c r="U33" s="1" t="s">
        <v>108</v>
      </c>
      <c r="V33" s="1">
        <v>30.262</v>
      </c>
      <c r="W33" s="98"/>
      <c r="X33" s="130"/>
      <c r="Y33" s="98"/>
      <c r="Z33" s="98"/>
      <c r="AA33" s="86"/>
      <c r="AB33" s="141"/>
      <c r="AC33" s="1"/>
      <c r="AD33" s="1"/>
      <c r="AE33" s="1"/>
    </row>
    <row r="34" spans="1:31" x14ac:dyDescent="0.25">
      <c r="A34" s="100"/>
      <c r="B34" s="9">
        <v>341</v>
      </c>
      <c r="C34" s="9" t="s">
        <v>390</v>
      </c>
      <c r="D34" s="9" t="s">
        <v>103</v>
      </c>
      <c r="E34" s="9" t="s">
        <v>418</v>
      </c>
      <c r="F34" s="9" t="s">
        <v>332</v>
      </c>
      <c r="G34" s="9" t="s">
        <v>106</v>
      </c>
      <c r="H34" s="9"/>
      <c r="I34" s="9"/>
      <c r="J34" s="9">
        <v>22.611000000000001</v>
      </c>
      <c r="K34" s="9">
        <v>18.010000000000002</v>
      </c>
      <c r="L34" s="11"/>
      <c r="M34" s="104">
        <f t="shared" ref="M34:N34" si="72">AVERAGE(J34:J37)</f>
        <v>22.61225</v>
      </c>
      <c r="N34" s="104">
        <f t="shared" si="72"/>
        <v>18.068000000000001</v>
      </c>
      <c r="O34" s="104"/>
      <c r="P34" s="89">
        <f t="shared" ref="P34" si="73">GEOMEAN(M34,N34)</f>
        <v>20.21282100549055</v>
      </c>
      <c r="Q34" s="1" t="s">
        <v>418</v>
      </c>
      <c r="R34" s="1" t="s">
        <v>204</v>
      </c>
      <c r="S34" s="1" t="s">
        <v>106</v>
      </c>
      <c r="T34" s="1" t="s">
        <v>107</v>
      </c>
      <c r="U34" s="1" t="s">
        <v>108</v>
      </c>
      <c r="V34" s="1">
        <v>28.100999999999999</v>
      </c>
      <c r="W34" s="96">
        <f t="shared" ref="W34" si="74">_xlfn.STDEV.S(V34:V37)</f>
        <v>8.9544681584112579E-2</v>
      </c>
      <c r="X34" s="128">
        <f t="shared" ref="X34" si="75">AVERAGE(V34:V37)</f>
        <v>28.016249999999999</v>
      </c>
      <c r="Y34" s="96">
        <f t="shared" ref="Y34" si="76">X34-P34</f>
        <v>7.8034289945094493</v>
      </c>
      <c r="Z34" s="96">
        <f t="shared" ref="Z34" si="77">Y34-$AE$4</f>
        <v>-1.8191569776265553</v>
      </c>
      <c r="AA34" s="84">
        <f t="shared" ref="AA34" si="78">2^-Z34</f>
        <v>3.5287493981796301</v>
      </c>
      <c r="AB34" s="136"/>
      <c r="AC34" s="1">
        <f t="shared" ref="AC34" si="79">LOG(AA34,2)</f>
        <v>1.8191569776265553</v>
      </c>
      <c r="AD34" s="1"/>
      <c r="AE34" s="1"/>
    </row>
    <row r="35" spans="1:31" x14ac:dyDescent="0.25">
      <c r="A35" s="101"/>
      <c r="B35" s="1">
        <v>365</v>
      </c>
      <c r="C35" s="1" t="s">
        <v>402</v>
      </c>
      <c r="D35" s="1" t="s">
        <v>103</v>
      </c>
      <c r="E35" s="1" t="s">
        <v>418</v>
      </c>
      <c r="F35" s="1" t="s">
        <v>332</v>
      </c>
      <c r="G35" s="1" t="s">
        <v>106</v>
      </c>
      <c r="H35" s="1"/>
      <c r="I35" s="1"/>
      <c r="J35" s="1">
        <v>22.594000000000001</v>
      </c>
      <c r="K35" s="1">
        <v>18.193000000000001</v>
      </c>
      <c r="L35" s="14"/>
      <c r="M35" s="105"/>
      <c r="N35" s="105"/>
      <c r="O35" s="105"/>
      <c r="P35" s="90"/>
      <c r="Q35" s="1" t="s">
        <v>418</v>
      </c>
      <c r="R35" s="1" t="s">
        <v>204</v>
      </c>
      <c r="S35" s="1" t="s">
        <v>106</v>
      </c>
      <c r="T35" s="1" t="s">
        <v>107</v>
      </c>
      <c r="U35" s="1" t="s">
        <v>108</v>
      </c>
      <c r="V35" s="1">
        <v>27.925999999999998</v>
      </c>
      <c r="W35" s="97"/>
      <c r="X35" s="129"/>
      <c r="Y35" s="97"/>
      <c r="Z35" s="97"/>
      <c r="AA35" s="85"/>
      <c r="AB35" s="137"/>
      <c r="AC35" s="1"/>
      <c r="AD35" s="1"/>
      <c r="AE35" s="1"/>
    </row>
    <row r="36" spans="1:31" x14ac:dyDescent="0.25">
      <c r="A36" s="101"/>
      <c r="B36" s="1">
        <v>342</v>
      </c>
      <c r="C36" s="1" t="s">
        <v>391</v>
      </c>
      <c r="D36" s="1" t="s">
        <v>103</v>
      </c>
      <c r="E36" s="1" t="s">
        <v>418</v>
      </c>
      <c r="F36" s="1" t="s">
        <v>332</v>
      </c>
      <c r="G36" s="1" t="s">
        <v>106</v>
      </c>
      <c r="H36" s="1"/>
      <c r="I36" s="1"/>
      <c r="J36" s="1">
        <v>22.55</v>
      </c>
      <c r="K36" s="1">
        <v>17.946000000000002</v>
      </c>
      <c r="L36" s="14"/>
      <c r="M36" s="105"/>
      <c r="N36" s="105"/>
      <c r="O36" s="105"/>
      <c r="P36" s="90"/>
      <c r="Q36" s="1" t="s">
        <v>418</v>
      </c>
      <c r="R36" s="1" t="s">
        <v>204</v>
      </c>
      <c r="S36" s="1" t="s">
        <v>106</v>
      </c>
      <c r="T36" s="1" t="s">
        <v>107</v>
      </c>
      <c r="U36" s="1" t="s">
        <v>108</v>
      </c>
      <c r="V36" s="1">
        <v>28.085000000000001</v>
      </c>
      <c r="W36" s="97"/>
      <c r="X36" s="129"/>
      <c r="Y36" s="97"/>
      <c r="Z36" s="97"/>
      <c r="AA36" s="85"/>
      <c r="AB36" s="137"/>
      <c r="AC36" s="1"/>
      <c r="AD36" s="1"/>
      <c r="AE36" s="1"/>
    </row>
    <row r="37" spans="1:31" ht="15.75" thickBot="1" x14ac:dyDescent="0.3">
      <c r="A37" s="107"/>
      <c r="B37" s="83">
        <v>366</v>
      </c>
      <c r="C37" s="83" t="s">
        <v>403</v>
      </c>
      <c r="D37" s="83" t="s">
        <v>103</v>
      </c>
      <c r="E37" s="83" t="s">
        <v>418</v>
      </c>
      <c r="F37" s="83" t="s">
        <v>332</v>
      </c>
      <c r="G37" s="83" t="s">
        <v>106</v>
      </c>
      <c r="H37" s="83">
        <f t="shared" ref="H37" si="80">_xlfn.STDEV.S(K34:K37)</f>
        <v>0.11090235945791824</v>
      </c>
      <c r="I37" s="83">
        <f t="shared" ref="I37" si="81">_xlfn.STDEV.S(J34:J37)</f>
        <v>6.0257088103115065E-2</v>
      </c>
      <c r="J37" s="83">
        <v>22.693999999999999</v>
      </c>
      <c r="K37" s="83">
        <v>18.123000000000001</v>
      </c>
      <c r="L37" s="17"/>
      <c r="M37" s="108"/>
      <c r="N37" s="108"/>
      <c r="O37" s="108"/>
      <c r="P37" s="109"/>
      <c r="Q37" s="1" t="s">
        <v>418</v>
      </c>
      <c r="R37" s="1" t="s">
        <v>204</v>
      </c>
      <c r="S37" s="1" t="s">
        <v>106</v>
      </c>
      <c r="T37" s="1" t="s">
        <v>107</v>
      </c>
      <c r="U37" s="1" t="s">
        <v>108</v>
      </c>
      <c r="V37" s="1">
        <v>27.952999999999999</v>
      </c>
      <c r="W37" s="98"/>
      <c r="X37" s="130"/>
      <c r="Y37" s="98"/>
      <c r="Z37" s="98"/>
      <c r="AA37" s="86"/>
      <c r="AB37" s="138"/>
      <c r="AC37" s="1"/>
      <c r="AD37" s="1"/>
      <c r="AE37" s="1"/>
    </row>
    <row r="38" spans="1:31" x14ac:dyDescent="0.25">
      <c r="A38" s="100"/>
      <c r="B38" s="9">
        <v>343</v>
      </c>
      <c r="C38" s="9" t="s">
        <v>392</v>
      </c>
      <c r="D38" s="9" t="s">
        <v>103</v>
      </c>
      <c r="E38" s="9" t="s">
        <v>419</v>
      </c>
      <c r="F38" s="9" t="s">
        <v>332</v>
      </c>
      <c r="G38" s="9" t="s">
        <v>106</v>
      </c>
      <c r="H38" s="9"/>
      <c r="I38" s="9"/>
      <c r="J38" s="9">
        <v>22.65</v>
      </c>
      <c r="K38" s="9">
        <v>17.954999999999998</v>
      </c>
      <c r="L38" s="11"/>
      <c r="M38" s="104">
        <f t="shared" ref="M38:N38" si="82">AVERAGE(J38:J41)</f>
        <v>22.660999999999998</v>
      </c>
      <c r="N38" s="104">
        <f t="shared" si="82"/>
        <v>17.9955</v>
      </c>
      <c r="O38" s="104"/>
      <c r="P38" s="89">
        <f t="shared" ref="P38" si="83">GEOMEAN(M38,N38)</f>
        <v>20.193960124254975</v>
      </c>
      <c r="Q38" s="1" t="s">
        <v>419</v>
      </c>
      <c r="R38" s="1" t="s">
        <v>204</v>
      </c>
      <c r="S38" s="1" t="s">
        <v>106</v>
      </c>
      <c r="T38" s="1" t="s">
        <v>107</v>
      </c>
      <c r="U38" s="1" t="s">
        <v>108</v>
      </c>
      <c r="V38" s="1">
        <v>27.902999999999999</v>
      </c>
      <c r="W38" s="96">
        <f t="shared" ref="W38" si="84">_xlfn.STDEV.S(V38:V41)</f>
        <v>8.9003745239550472E-2</v>
      </c>
      <c r="X38" s="128">
        <f t="shared" ref="X38" si="85">AVERAGE(V38:V41)</f>
        <v>27.9465</v>
      </c>
      <c r="Y38" s="96">
        <f t="shared" ref="Y38" si="86">X38-P38</f>
        <v>7.7525398757450255</v>
      </c>
      <c r="Z38" s="96">
        <f t="shared" ref="Z38" si="87">Y38-$AE$4</f>
        <v>-1.8700460963909791</v>
      </c>
      <c r="AA38" s="84">
        <f t="shared" ref="AA38" si="88">2^-Z38</f>
        <v>3.6554425962308223</v>
      </c>
      <c r="AB38" s="136"/>
      <c r="AC38" s="1">
        <f t="shared" ref="AC38" si="89">LOG(AA38,2)</f>
        <v>1.8700460963909791</v>
      </c>
      <c r="AD38" s="1"/>
      <c r="AE38" s="1"/>
    </row>
    <row r="39" spans="1:31" x14ac:dyDescent="0.25">
      <c r="A39" s="101"/>
      <c r="B39" s="1">
        <v>367</v>
      </c>
      <c r="C39" s="1" t="s">
        <v>404</v>
      </c>
      <c r="D39" s="1" t="s">
        <v>103</v>
      </c>
      <c r="E39" s="1" t="s">
        <v>419</v>
      </c>
      <c r="F39" s="1" t="s">
        <v>332</v>
      </c>
      <c r="G39" s="1" t="s">
        <v>106</v>
      </c>
      <c r="H39" s="1"/>
      <c r="I39" s="1"/>
      <c r="J39" s="1">
        <v>22.596</v>
      </c>
      <c r="K39" s="1">
        <v>18.097000000000001</v>
      </c>
      <c r="L39" s="14"/>
      <c r="M39" s="105"/>
      <c r="N39" s="105"/>
      <c r="O39" s="105"/>
      <c r="P39" s="90"/>
      <c r="Q39" s="1" t="s">
        <v>419</v>
      </c>
      <c r="R39" s="1" t="s">
        <v>204</v>
      </c>
      <c r="S39" s="1" t="s">
        <v>106</v>
      </c>
      <c r="T39" s="1" t="s">
        <v>107</v>
      </c>
      <c r="U39" s="1" t="s">
        <v>108</v>
      </c>
      <c r="V39" s="1">
        <v>27.93</v>
      </c>
      <c r="W39" s="97"/>
      <c r="X39" s="129"/>
      <c r="Y39" s="97"/>
      <c r="Z39" s="97"/>
      <c r="AA39" s="85"/>
      <c r="AB39" s="137"/>
      <c r="AC39" s="1"/>
      <c r="AD39" s="1"/>
      <c r="AE39" s="1"/>
    </row>
    <row r="40" spans="1:31" x14ac:dyDescent="0.25">
      <c r="A40" s="101"/>
      <c r="B40" s="1">
        <v>344</v>
      </c>
      <c r="C40" s="1" t="s">
        <v>393</v>
      </c>
      <c r="D40" s="1" t="s">
        <v>103</v>
      </c>
      <c r="E40" s="1" t="s">
        <v>419</v>
      </c>
      <c r="F40" s="1" t="s">
        <v>332</v>
      </c>
      <c r="G40" s="1" t="s">
        <v>106</v>
      </c>
      <c r="H40" s="1"/>
      <c r="I40" s="1"/>
      <c r="J40" s="1">
        <v>22.698</v>
      </c>
      <c r="K40" s="1">
        <v>17.888999999999999</v>
      </c>
      <c r="L40" s="14"/>
      <c r="M40" s="105"/>
      <c r="N40" s="105"/>
      <c r="O40" s="105"/>
      <c r="P40" s="90"/>
      <c r="Q40" s="1" t="s">
        <v>419</v>
      </c>
      <c r="R40" s="1" t="s">
        <v>204</v>
      </c>
      <c r="S40" s="1" t="s">
        <v>106</v>
      </c>
      <c r="T40" s="1" t="s">
        <v>107</v>
      </c>
      <c r="U40" s="1" t="s">
        <v>108</v>
      </c>
      <c r="V40" s="1">
        <v>27.876999999999999</v>
      </c>
      <c r="W40" s="97"/>
      <c r="X40" s="129"/>
      <c r="Y40" s="97"/>
      <c r="Z40" s="97"/>
      <c r="AA40" s="85"/>
      <c r="AB40" s="137"/>
      <c r="AC40" s="1"/>
      <c r="AD40" s="1"/>
      <c r="AE40" s="1"/>
    </row>
    <row r="41" spans="1:31" ht="15.75" thickBot="1" x14ac:dyDescent="0.3">
      <c r="A41" s="107"/>
      <c r="B41" s="83">
        <v>368</v>
      </c>
      <c r="C41" s="83" t="s">
        <v>405</v>
      </c>
      <c r="D41" s="83" t="s">
        <v>103</v>
      </c>
      <c r="E41" s="83" t="s">
        <v>419</v>
      </c>
      <c r="F41" s="83" t="s">
        <v>332</v>
      </c>
      <c r="G41" s="83" t="s">
        <v>106</v>
      </c>
      <c r="H41" s="83">
        <f t="shared" ref="H41" si="90">_xlfn.STDEV.S(K38:K41)</f>
        <v>9.1932946578834621E-2</v>
      </c>
      <c r="I41" s="83">
        <f t="shared" ref="I41" si="91">_xlfn.STDEV.S(J38:J41)</f>
        <v>4.911211663123468E-2</v>
      </c>
      <c r="J41" s="83">
        <v>22.7</v>
      </c>
      <c r="K41" s="83">
        <v>18.041</v>
      </c>
      <c r="L41" s="17"/>
      <c r="M41" s="108"/>
      <c r="N41" s="108"/>
      <c r="O41" s="108"/>
      <c r="P41" s="109"/>
      <c r="Q41" s="1" t="s">
        <v>419</v>
      </c>
      <c r="R41" s="1" t="s">
        <v>204</v>
      </c>
      <c r="S41" s="1" t="s">
        <v>106</v>
      </c>
      <c r="T41" s="1" t="s">
        <v>107</v>
      </c>
      <c r="U41" s="1" t="s">
        <v>108</v>
      </c>
      <c r="V41" s="1">
        <v>28.076000000000001</v>
      </c>
      <c r="W41" s="98"/>
      <c r="X41" s="130"/>
      <c r="Y41" s="98"/>
      <c r="Z41" s="98"/>
      <c r="AA41" s="86"/>
      <c r="AB41" s="138"/>
      <c r="AC41" s="1"/>
      <c r="AD41" s="1"/>
      <c r="AE41" s="1"/>
    </row>
    <row r="42" spans="1:31" x14ac:dyDescent="0.25">
      <c r="A42" s="100"/>
      <c r="B42" s="9">
        <v>345</v>
      </c>
      <c r="C42" s="9" t="s">
        <v>394</v>
      </c>
      <c r="D42" s="9" t="s">
        <v>103</v>
      </c>
      <c r="E42" s="9" t="s">
        <v>420</v>
      </c>
      <c r="F42" s="9" t="s">
        <v>332</v>
      </c>
      <c r="G42" s="9" t="s">
        <v>106</v>
      </c>
      <c r="H42" s="9"/>
      <c r="I42" s="9"/>
      <c r="J42" s="9">
        <v>24.039000000000001</v>
      </c>
      <c r="K42" s="9">
        <v>20.016999999999999</v>
      </c>
      <c r="L42" s="11"/>
      <c r="M42" s="104">
        <f t="shared" ref="M42:N42" si="92">AVERAGE(J42:J45)</f>
        <v>24.10125</v>
      </c>
      <c r="N42" s="104">
        <f t="shared" si="92"/>
        <v>19.996499999999997</v>
      </c>
      <c r="O42" s="104"/>
      <c r="P42" s="89">
        <f t="shared" ref="P42" si="93">GEOMEAN(M42,N42)</f>
        <v>21.953146599633502</v>
      </c>
      <c r="Q42" s="1" t="s">
        <v>420</v>
      </c>
      <c r="R42" s="1" t="s">
        <v>204</v>
      </c>
      <c r="S42" s="1" t="s">
        <v>106</v>
      </c>
      <c r="T42" s="1" t="s">
        <v>107</v>
      </c>
      <c r="U42" s="1" t="s">
        <v>108</v>
      </c>
      <c r="V42" s="1">
        <v>28.282</v>
      </c>
      <c r="W42" s="96">
        <f t="shared" ref="W42" si="94">_xlfn.STDEV.S(V42:V45)</f>
        <v>0.1149880428566382</v>
      </c>
      <c r="X42" s="128">
        <f t="shared" ref="X42" si="95">AVERAGE(V42:V45)</f>
        <v>28.295249999999999</v>
      </c>
      <c r="Y42" s="96">
        <f t="shared" ref="Y42" si="96">X42-P42</f>
        <v>6.3421034003664971</v>
      </c>
      <c r="Z42" s="96">
        <f t="shared" ref="Z42" si="97">Y42-$AE$4</f>
        <v>-3.2804825717695074</v>
      </c>
      <c r="AA42" s="84">
        <f t="shared" ref="AA42" si="98">2^-Z42</f>
        <v>9.7168087386807063</v>
      </c>
      <c r="AB42" s="132"/>
      <c r="AC42" s="1">
        <f t="shared" ref="AC42" si="99">LOG(AA42,2)</f>
        <v>3.2804825717695074</v>
      </c>
      <c r="AD42" s="1"/>
      <c r="AE42" s="1"/>
    </row>
    <row r="43" spans="1:31" x14ac:dyDescent="0.25">
      <c r="A43" s="101"/>
      <c r="B43" s="1">
        <v>369</v>
      </c>
      <c r="C43" s="1" t="s">
        <v>406</v>
      </c>
      <c r="D43" s="1" t="s">
        <v>103</v>
      </c>
      <c r="E43" s="1" t="s">
        <v>420</v>
      </c>
      <c r="F43" s="1" t="s">
        <v>332</v>
      </c>
      <c r="G43" s="1" t="s">
        <v>106</v>
      </c>
      <c r="H43" s="1"/>
      <c r="I43" s="1"/>
      <c r="J43" s="1">
        <v>24.114999999999998</v>
      </c>
      <c r="K43" s="1">
        <v>20.026</v>
      </c>
      <c r="L43" s="14"/>
      <c r="M43" s="105"/>
      <c r="N43" s="105"/>
      <c r="O43" s="105"/>
      <c r="P43" s="90"/>
      <c r="Q43" s="1" t="s">
        <v>420</v>
      </c>
      <c r="R43" s="1" t="s">
        <v>204</v>
      </c>
      <c r="S43" s="1" t="s">
        <v>106</v>
      </c>
      <c r="T43" s="1" t="s">
        <v>107</v>
      </c>
      <c r="U43" s="1" t="s">
        <v>108</v>
      </c>
      <c r="V43" s="1">
        <v>28.193999999999999</v>
      </c>
      <c r="W43" s="97"/>
      <c r="X43" s="129"/>
      <c r="Y43" s="97"/>
      <c r="Z43" s="97"/>
      <c r="AA43" s="85"/>
      <c r="AB43" s="133"/>
      <c r="AC43" s="1"/>
      <c r="AD43" s="1"/>
      <c r="AE43" s="1"/>
    </row>
    <row r="44" spans="1:31" x14ac:dyDescent="0.25">
      <c r="A44" s="101"/>
      <c r="B44" s="1">
        <v>346</v>
      </c>
      <c r="C44" s="1" t="s">
        <v>395</v>
      </c>
      <c r="D44" s="1" t="s">
        <v>103</v>
      </c>
      <c r="E44" s="1" t="s">
        <v>420</v>
      </c>
      <c r="F44" s="1" t="s">
        <v>332</v>
      </c>
      <c r="G44" s="1" t="s">
        <v>106</v>
      </c>
      <c r="H44" s="1"/>
      <c r="I44" s="1"/>
      <c r="J44" s="1">
        <v>24.184000000000001</v>
      </c>
      <c r="K44" s="1">
        <v>19.843</v>
      </c>
      <c r="L44" s="14"/>
      <c r="M44" s="105"/>
      <c r="N44" s="105"/>
      <c r="O44" s="105"/>
      <c r="P44" s="90"/>
      <c r="Q44" s="1" t="s">
        <v>420</v>
      </c>
      <c r="R44" s="1" t="s">
        <v>204</v>
      </c>
      <c r="S44" s="1" t="s">
        <v>106</v>
      </c>
      <c r="T44" s="1" t="s">
        <v>107</v>
      </c>
      <c r="U44" s="1" t="s">
        <v>108</v>
      </c>
      <c r="V44" s="1">
        <v>28.245999999999999</v>
      </c>
      <c r="W44" s="97"/>
      <c r="X44" s="129"/>
      <c r="Y44" s="97"/>
      <c r="Z44" s="97"/>
      <c r="AA44" s="85"/>
      <c r="AB44" s="133"/>
      <c r="AC44" s="1"/>
      <c r="AD44" s="1"/>
      <c r="AE44" s="1"/>
    </row>
    <row r="45" spans="1:31" ht="15.75" thickBot="1" x14ac:dyDescent="0.3">
      <c r="A45" s="107"/>
      <c r="B45" s="83">
        <v>370</v>
      </c>
      <c r="C45" s="83" t="s">
        <v>407</v>
      </c>
      <c r="D45" s="83" t="s">
        <v>103</v>
      </c>
      <c r="E45" s="83" t="s">
        <v>420</v>
      </c>
      <c r="F45" s="83" t="s">
        <v>332</v>
      </c>
      <c r="G45" s="83" t="s">
        <v>106</v>
      </c>
      <c r="H45" s="83">
        <f t="shared" ref="H45" si="100">_xlfn.STDEV.S(K42:K45)</f>
        <v>0.1088806686239577</v>
      </c>
      <c r="I45" s="83">
        <f t="shared" ref="I45" si="101">_xlfn.STDEV.S(J42:J45)</f>
        <v>6.3468496122091766E-2</v>
      </c>
      <c r="J45" s="83">
        <v>24.067</v>
      </c>
      <c r="K45" s="83">
        <v>20.100000000000001</v>
      </c>
      <c r="L45" s="17"/>
      <c r="M45" s="108"/>
      <c r="N45" s="108"/>
      <c r="O45" s="108"/>
      <c r="P45" s="109"/>
      <c r="Q45" s="1" t="s">
        <v>420</v>
      </c>
      <c r="R45" s="1" t="s">
        <v>204</v>
      </c>
      <c r="S45" s="1" t="s">
        <v>106</v>
      </c>
      <c r="T45" s="1" t="s">
        <v>107</v>
      </c>
      <c r="U45" s="1" t="s">
        <v>108</v>
      </c>
      <c r="V45" s="1">
        <v>28.459</v>
      </c>
      <c r="W45" s="98"/>
      <c r="X45" s="130"/>
      <c r="Y45" s="98"/>
      <c r="Z45" s="98"/>
      <c r="AA45" s="86"/>
      <c r="AB45" s="135"/>
      <c r="AC45" s="1"/>
      <c r="AD45" s="1"/>
      <c r="AE45" s="1"/>
    </row>
    <row r="46" spans="1:31" x14ac:dyDescent="0.25">
      <c r="A46" s="100"/>
      <c r="B46" s="9">
        <v>347</v>
      </c>
      <c r="C46" s="9" t="s">
        <v>396</v>
      </c>
      <c r="D46" s="9" t="s">
        <v>103</v>
      </c>
      <c r="E46" s="9" t="s">
        <v>421</v>
      </c>
      <c r="F46" s="9" t="s">
        <v>332</v>
      </c>
      <c r="G46" s="9" t="s">
        <v>106</v>
      </c>
      <c r="H46" s="9"/>
      <c r="I46" s="9"/>
      <c r="J46" s="9">
        <v>23.227</v>
      </c>
      <c r="K46" s="9">
        <v>18.948</v>
      </c>
      <c r="L46" s="11"/>
      <c r="M46" s="104">
        <f t="shared" ref="M46:N46" si="102">AVERAGE(J46:J49)</f>
        <v>23.23875</v>
      </c>
      <c r="N46" s="104">
        <f t="shared" si="102"/>
        <v>18.911249999999999</v>
      </c>
      <c r="O46" s="104"/>
      <c r="P46" s="89">
        <f t="shared" ref="P46" si="103">GEOMEAN(M46,N46)</f>
        <v>20.963630671653704</v>
      </c>
      <c r="Q46" s="1" t="s">
        <v>421</v>
      </c>
      <c r="R46" s="1" t="s">
        <v>204</v>
      </c>
      <c r="S46" s="1" t="s">
        <v>106</v>
      </c>
      <c r="T46" s="1" t="s">
        <v>107</v>
      </c>
      <c r="U46" s="1" t="s">
        <v>108</v>
      </c>
      <c r="V46" s="1">
        <v>27.725000000000001</v>
      </c>
      <c r="W46" s="96">
        <f t="shared" ref="W46" si="104">_xlfn.STDEV.S(V46:V49)</f>
        <v>0.22293870607560931</v>
      </c>
      <c r="X46" s="128">
        <f t="shared" ref="X46" si="105">AVERAGE(V46:V49)</f>
        <v>27.604500000000002</v>
      </c>
      <c r="Y46" s="96">
        <f t="shared" ref="Y46" si="106">X46-P46</f>
        <v>6.6408693283462981</v>
      </c>
      <c r="Z46" s="96">
        <f t="shared" ref="Z46" si="107">Y46-$AE$4</f>
        <v>-2.9817166437897065</v>
      </c>
      <c r="AA46" s="84">
        <f t="shared" ref="AA46" si="108">2^-Z46</f>
        <v>7.899255265753637</v>
      </c>
      <c r="AB46" s="132"/>
      <c r="AC46" s="1">
        <f t="shared" ref="AC46" si="109">LOG(AA46,2)</f>
        <v>2.9817166437897065</v>
      </c>
      <c r="AD46" s="1"/>
      <c r="AE46" s="1"/>
    </row>
    <row r="47" spans="1:31" x14ac:dyDescent="0.25">
      <c r="A47" s="101"/>
      <c r="B47" s="1">
        <v>371</v>
      </c>
      <c r="C47" s="1" t="s">
        <v>408</v>
      </c>
      <c r="D47" s="1" t="s">
        <v>103</v>
      </c>
      <c r="E47" s="1" t="s">
        <v>421</v>
      </c>
      <c r="F47" s="1" t="s">
        <v>332</v>
      </c>
      <c r="G47" s="1" t="s">
        <v>106</v>
      </c>
      <c r="H47" s="1"/>
      <c r="I47" s="1"/>
      <c r="J47" s="1">
        <v>23.309000000000001</v>
      </c>
      <c r="K47" s="1">
        <v>18.928999999999998</v>
      </c>
      <c r="L47" s="14"/>
      <c r="M47" s="105"/>
      <c r="N47" s="105"/>
      <c r="O47" s="105"/>
      <c r="P47" s="90"/>
      <c r="Q47" s="1" t="s">
        <v>421</v>
      </c>
      <c r="R47" s="1" t="s">
        <v>204</v>
      </c>
      <c r="S47" s="1" t="s">
        <v>106</v>
      </c>
      <c r="T47" s="1" t="s">
        <v>107</v>
      </c>
      <c r="U47" s="1" t="s">
        <v>108</v>
      </c>
      <c r="V47" s="1">
        <v>27.576000000000001</v>
      </c>
      <c r="W47" s="97"/>
      <c r="X47" s="129"/>
      <c r="Y47" s="97"/>
      <c r="Z47" s="97"/>
      <c r="AA47" s="85"/>
      <c r="AB47" s="133"/>
      <c r="AC47" s="1"/>
      <c r="AD47" s="1"/>
      <c r="AE47" s="1"/>
    </row>
    <row r="48" spans="1:31" x14ac:dyDescent="0.25">
      <c r="A48" s="101"/>
      <c r="B48" s="1">
        <v>348</v>
      </c>
      <c r="C48" s="1" t="s">
        <v>397</v>
      </c>
      <c r="D48" s="1" t="s">
        <v>103</v>
      </c>
      <c r="E48" s="1" t="s">
        <v>421</v>
      </c>
      <c r="F48" s="1" t="s">
        <v>332</v>
      </c>
      <c r="G48" s="1" t="s">
        <v>106</v>
      </c>
      <c r="H48" s="1"/>
      <c r="I48" s="1"/>
      <c r="J48" s="1">
        <v>23.308</v>
      </c>
      <c r="K48" s="1">
        <v>18.931000000000001</v>
      </c>
      <c r="L48" s="14"/>
      <c r="M48" s="105"/>
      <c r="N48" s="105"/>
      <c r="O48" s="105"/>
      <c r="P48" s="90"/>
      <c r="Q48" s="1" t="s">
        <v>421</v>
      </c>
      <c r="R48" s="1" t="s">
        <v>204</v>
      </c>
      <c r="S48" s="1" t="s">
        <v>106</v>
      </c>
      <c r="T48" s="1" t="s">
        <v>107</v>
      </c>
      <c r="U48" s="1" t="s">
        <v>108</v>
      </c>
      <c r="V48" s="1">
        <v>27.303999999999998</v>
      </c>
      <c r="W48" s="97"/>
      <c r="X48" s="129"/>
      <c r="Y48" s="97"/>
      <c r="Z48" s="97"/>
      <c r="AA48" s="85"/>
      <c r="AB48" s="133"/>
      <c r="AC48" s="1"/>
      <c r="AD48" s="1"/>
      <c r="AE48" s="1"/>
    </row>
    <row r="49" spans="1:31" ht="15.75" thickBot="1" x14ac:dyDescent="0.3">
      <c r="A49" s="107"/>
      <c r="B49" s="83">
        <v>372</v>
      </c>
      <c r="C49" s="83" t="s">
        <v>409</v>
      </c>
      <c r="D49" s="83" t="s">
        <v>103</v>
      </c>
      <c r="E49" s="83" t="s">
        <v>421</v>
      </c>
      <c r="F49" s="83" t="s">
        <v>332</v>
      </c>
      <c r="G49" s="83" t="s">
        <v>106</v>
      </c>
      <c r="H49" s="83">
        <f t="shared" ref="H49" si="110">_xlfn.STDEV.S(K46:K49)</f>
        <v>5.0228643886398958E-2</v>
      </c>
      <c r="I49" s="83">
        <f t="shared" ref="I49" si="111">_xlfn.STDEV.S(J46:J49)</f>
        <v>9.3432239261045852E-2</v>
      </c>
      <c r="J49" s="83">
        <v>23.111000000000001</v>
      </c>
      <c r="K49" s="83">
        <v>18.837</v>
      </c>
      <c r="L49" s="17"/>
      <c r="M49" s="108"/>
      <c r="N49" s="108"/>
      <c r="O49" s="108"/>
      <c r="P49" s="109"/>
      <c r="Q49" s="1" t="s">
        <v>421</v>
      </c>
      <c r="R49" s="1" t="s">
        <v>204</v>
      </c>
      <c r="S49" s="1" t="s">
        <v>106</v>
      </c>
      <c r="T49" s="1" t="s">
        <v>107</v>
      </c>
      <c r="U49" s="1" t="s">
        <v>108</v>
      </c>
      <c r="V49" s="1">
        <v>27.812999999999999</v>
      </c>
      <c r="W49" s="98"/>
      <c r="X49" s="130"/>
      <c r="Y49" s="98"/>
      <c r="Z49" s="98"/>
      <c r="AA49" s="86"/>
      <c r="AB49" s="134"/>
      <c r="AC49" s="1"/>
      <c r="AD49" s="1"/>
      <c r="AE49" s="1"/>
    </row>
    <row r="50" spans="1:31" x14ac:dyDescent="0.25">
      <c r="A50" s="100"/>
      <c r="B50" s="9">
        <v>337</v>
      </c>
      <c r="C50" s="9" t="s">
        <v>386</v>
      </c>
      <c r="D50" s="9" t="b">
        <v>0</v>
      </c>
      <c r="E50" s="9" t="s">
        <v>422</v>
      </c>
      <c r="F50" s="9" t="s">
        <v>332</v>
      </c>
      <c r="G50" s="9" t="s">
        <v>106</v>
      </c>
      <c r="H50" s="9"/>
      <c r="I50" s="9"/>
      <c r="J50" s="9">
        <v>22.439899444580078</v>
      </c>
      <c r="K50" s="9">
        <v>17.946588516235352</v>
      </c>
      <c r="L50" s="11"/>
      <c r="M50" s="104">
        <f t="shared" ref="M50:N50" si="112">AVERAGE(J50:J53)</f>
        <v>22.516579151153564</v>
      </c>
      <c r="N50" s="104">
        <f t="shared" si="112"/>
        <v>17.914458751678467</v>
      </c>
      <c r="O50" s="104"/>
      <c r="P50" s="89">
        <f t="shared" ref="P50" si="113">GEOMEAN(M50,N50)</f>
        <v>20.084131259087208</v>
      </c>
      <c r="Q50" t="s">
        <v>422</v>
      </c>
      <c r="R50" t="s">
        <v>204</v>
      </c>
      <c r="S50" t="s">
        <v>106</v>
      </c>
      <c r="T50" t="s">
        <v>107</v>
      </c>
      <c r="U50" t="s">
        <v>108</v>
      </c>
      <c r="V50" s="3">
        <v>31.312955856323242</v>
      </c>
      <c r="W50" s="96">
        <f t="shared" ref="W50" si="114">_xlfn.STDEV.S(V50:V53)</f>
        <v>0.57474764202793949</v>
      </c>
      <c r="X50" s="128">
        <f t="shared" ref="X50" si="115">AVERAGE(V50:V53)</f>
        <v>30.491158485412598</v>
      </c>
      <c r="Y50" s="96">
        <f t="shared" ref="Y50" si="116">X50-P50</f>
        <v>10.40702722632539</v>
      </c>
      <c r="Z50" s="96">
        <f>Y50-$AE$6</f>
        <v>-0.62856903059461011</v>
      </c>
      <c r="AA50" s="84">
        <f t="shared" ref="AA50" si="117">2^-Z50</f>
        <v>1.5460307675284579</v>
      </c>
      <c r="AB50" s="131"/>
      <c r="AC50" s="1">
        <f t="shared" ref="AC50" si="118">LOG(AA50,2)</f>
        <v>0.62856903059461011</v>
      </c>
      <c r="AD50" s="1"/>
      <c r="AE50" s="1"/>
    </row>
    <row r="51" spans="1:31" x14ac:dyDescent="0.25">
      <c r="A51" s="101"/>
      <c r="B51" s="1">
        <v>361</v>
      </c>
      <c r="C51" s="1" t="s">
        <v>398</v>
      </c>
      <c r="D51" s="1" t="b">
        <v>0</v>
      </c>
      <c r="E51" s="1" t="s">
        <v>422</v>
      </c>
      <c r="F51" s="1" t="s">
        <v>332</v>
      </c>
      <c r="G51" s="1" t="s">
        <v>106</v>
      </c>
      <c r="H51" s="1"/>
      <c r="I51" s="1"/>
      <c r="J51" s="1">
        <v>22.503049850463867</v>
      </c>
      <c r="K51" s="1">
        <v>17.91816520690918</v>
      </c>
      <c r="L51" s="14"/>
      <c r="M51" s="105"/>
      <c r="N51" s="105"/>
      <c r="O51" s="105"/>
      <c r="P51" s="90"/>
      <c r="Q51" t="s">
        <v>422</v>
      </c>
      <c r="R51" t="s">
        <v>204</v>
      </c>
      <c r="S51" t="s">
        <v>106</v>
      </c>
      <c r="T51" t="s">
        <v>107</v>
      </c>
      <c r="U51" t="s">
        <v>108</v>
      </c>
      <c r="V51" s="3">
        <v>30.001653671264648</v>
      </c>
      <c r="W51" s="97"/>
      <c r="X51" s="129"/>
      <c r="Y51" s="97"/>
      <c r="Z51" s="97"/>
      <c r="AA51" s="85"/>
      <c r="AB51" s="127"/>
      <c r="AC51" s="1"/>
      <c r="AD51" s="1"/>
      <c r="AE51" s="1"/>
    </row>
    <row r="52" spans="1:31" x14ac:dyDescent="0.25">
      <c r="A52" s="101"/>
      <c r="B52" s="1">
        <v>338</v>
      </c>
      <c r="C52" s="1" t="s">
        <v>387</v>
      </c>
      <c r="D52" s="1" t="b">
        <v>0</v>
      </c>
      <c r="E52" s="1" t="s">
        <v>422</v>
      </c>
      <c r="F52" s="1" t="s">
        <v>332</v>
      </c>
      <c r="G52" s="1" t="s">
        <v>106</v>
      </c>
      <c r="H52" s="1"/>
      <c r="I52" s="1"/>
      <c r="J52" s="1">
        <v>22.497282028198242</v>
      </c>
      <c r="K52" s="1">
        <v>17.994478225708008</v>
      </c>
      <c r="L52" s="14"/>
      <c r="M52" s="105"/>
      <c r="N52" s="105"/>
      <c r="O52" s="105"/>
      <c r="P52" s="90"/>
      <c r="Q52" t="s">
        <v>422</v>
      </c>
      <c r="R52" t="s">
        <v>204</v>
      </c>
      <c r="S52" t="s">
        <v>106</v>
      </c>
      <c r="T52" t="s">
        <v>107</v>
      </c>
      <c r="U52" t="s">
        <v>108</v>
      </c>
      <c r="V52" s="3">
        <v>30.427064895629883</v>
      </c>
      <c r="W52" s="97"/>
      <c r="X52" s="129"/>
      <c r="Y52" s="97"/>
      <c r="Z52" s="97"/>
      <c r="AA52" s="85"/>
      <c r="AB52" s="127"/>
      <c r="AC52" s="1"/>
      <c r="AD52" s="1"/>
      <c r="AE52" s="1"/>
    </row>
    <row r="53" spans="1:31" ht="15.75" thickBot="1" x14ac:dyDescent="0.3">
      <c r="A53" s="107"/>
      <c r="B53" s="83">
        <v>362</v>
      </c>
      <c r="C53" s="83" t="s">
        <v>399</v>
      </c>
      <c r="D53" s="83" t="b">
        <v>0</v>
      </c>
      <c r="E53" s="83" t="s">
        <v>422</v>
      </c>
      <c r="F53" s="83" t="s">
        <v>332</v>
      </c>
      <c r="G53" s="83" t="s">
        <v>106</v>
      </c>
      <c r="H53" s="83">
        <f t="shared" ref="H53" si="119">_xlfn.STDEV.S(K50:K53)</f>
        <v>8.341006652811378E-2</v>
      </c>
      <c r="I53" s="83">
        <f t="shared" ref="I53" si="120">_xlfn.STDEV.S(J50:J53)</f>
        <v>7.8372594885230545E-2</v>
      </c>
      <c r="J53" s="83">
        <v>22.62608528137207</v>
      </c>
      <c r="K53" s="83">
        <v>17.798603057861328</v>
      </c>
      <c r="L53" s="17"/>
      <c r="M53" s="108"/>
      <c r="N53" s="108"/>
      <c r="O53" s="108"/>
      <c r="P53" s="109"/>
      <c r="Q53" t="s">
        <v>422</v>
      </c>
      <c r="R53" t="s">
        <v>204</v>
      </c>
      <c r="S53" t="s">
        <v>106</v>
      </c>
      <c r="T53" t="s">
        <v>107</v>
      </c>
      <c r="U53" t="s">
        <v>108</v>
      </c>
      <c r="V53" s="3">
        <v>30.222959518432617</v>
      </c>
      <c r="W53" s="98"/>
      <c r="X53" s="130"/>
      <c r="Y53" s="98"/>
      <c r="Z53" s="98"/>
      <c r="AA53" s="86"/>
      <c r="AB53" s="127"/>
      <c r="AC53" s="1"/>
      <c r="AD53" s="1"/>
      <c r="AE53" s="1"/>
    </row>
    <row r="54" spans="1:31" x14ac:dyDescent="0.25">
      <c r="A54" s="100"/>
      <c r="B54" s="9">
        <v>339</v>
      </c>
      <c r="C54" s="9" t="s">
        <v>388</v>
      </c>
      <c r="D54" s="9" t="b">
        <v>0</v>
      </c>
      <c r="E54" s="9" t="s">
        <v>424</v>
      </c>
      <c r="F54" s="9" t="s">
        <v>332</v>
      </c>
      <c r="G54" s="9" t="s">
        <v>106</v>
      </c>
      <c r="H54" s="9"/>
      <c r="I54" s="9"/>
      <c r="J54" s="9">
        <v>22.781806945800781</v>
      </c>
      <c r="K54" s="9">
        <v>18.156644821166992</v>
      </c>
      <c r="L54" s="11"/>
      <c r="M54" s="104">
        <f t="shared" ref="M54:N54" si="121">AVERAGE(J54:J57)</f>
        <v>22.707976341247559</v>
      </c>
      <c r="N54" s="104">
        <f t="shared" si="121"/>
        <v>18.165340423583984</v>
      </c>
      <c r="O54" s="104"/>
      <c r="P54" s="89">
        <f t="shared" ref="P54" si="122">GEOMEAN(M54,N54)</f>
        <v>20.310049743155556</v>
      </c>
      <c r="Q54" t="s">
        <v>424</v>
      </c>
      <c r="R54" t="s">
        <v>204</v>
      </c>
      <c r="S54" t="s">
        <v>106</v>
      </c>
      <c r="T54" t="s">
        <v>107</v>
      </c>
      <c r="U54" t="s">
        <v>108</v>
      </c>
      <c r="V54" s="3">
        <v>31.759027481079102</v>
      </c>
      <c r="W54" s="96">
        <f t="shared" ref="W54" si="123">_xlfn.STDEV.S(V54:V57)</f>
        <v>0.52251128578523154</v>
      </c>
      <c r="X54" s="128">
        <f t="shared" ref="X54" si="124">AVERAGE(V54:V57)</f>
        <v>31.974215030670166</v>
      </c>
      <c r="Y54" s="96">
        <f t="shared" ref="Y54" si="125">X54-P54</f>
        <v>11.66416528751461</v>
      </c>
      <c r="Z54" s="96">
        <f t="shared" ref="Z54" si="126">Y54-$AE$6</f>
        <v>0.62856903059461011</v>
      </c>
      <c r="AA54" s="84">
        <f t="shared" ref="AA54" si="127">2^-Z54</f>
        <v>0.64681765783913669</v>
      </c>
      <c r="AB54" s="127"/>
      <c r="AC54" s="1">
        <f t="shared" ref="AC54" si="128">LOG(AA54,2)</f>
        <v>-0.62856903059461011</v>
      </c>
      <c r="AD54" s="1"/>
      <c r="AE54" s="1"/>
    </row>
    <row r="55" spans="1:31" x14ac:dyDescent="0.25">
      <c r="A55" s="101"/>
      <c r="B55" s="1">
        <v>363</v>
      </c>
      <c r="C55" s="1" t="s">
        <v>400</v>
      </c>
      <c r="D55" s="1" t="b">
        <v>0</v>
      </c>
      <c r="E55" s="1" t="s">
        <v>424</v>
      </c>
      <c r="F55" s="1" t="s">
        <v>332</v>
      </c>
      <c r="G55" s="1" t="s">
        <v>106</v>
      </c>
      <c r="H55" s="1"/>
      <c r="I55" s="1"/>
      <c r="J55" s="1">
        <v>22.68287467956543</v>
      </c>
      <c r="K55" s="1">
        <v>19.030796051025391</v>
      </c>
      <c r="L55" s="14"/>
      <c r="M55" s="105"/>
      <c r="N55" s="105"/>
      <c r="O55" s="105"/>
      <c r="P55" s="90"/>
      <c r="Q55" t="s">
        <v>424</v>
      </c>
      <c r="R55" t="s">
        <v>204</v>
      </c>
      <c r="S55" t="s">
        <v>106</v>
      </c>
      <c r="T55" t="s">
        <v>107</v>
      </c>
      <c r="U55" t="s">
        <v>108</v>
      </c>
      <c r="V55" s="3">
        <v>32.705947875976563</v>
      </c>
      <c r="W55" s="97"/>
      <c r="X55" s="129"/>
      <c r="Y55" s="97"/>
      <c r="Z55" s="97"/>
      <c r="AA55" s="85"/>
      <c r="AB55" s="127"/>
      <c r="AC55" s="1"/>
      <c r="AD55" s="1"/>
      <c r="AE55" s="1"/>
    </row>
    <row r="56" spans="1:31" x14ac:dyDescent="0.25">
      <c r="A56" s="101"/>
      <c r="B56" s="1">
        <v>340</v>
      </c>
      <c r="C56" s="1" t="s">
        <v>389</v>
      </c>
      <c r="D56" s="1" t="b">
        <v>0</v>
      </c>
      <c r="E56" s="1" t="s">
        <v>424</v>
      </c>
      <c r="F56" s="1" t="s">
        <v>332</v>
      </c>
      <c r="G56" s="1" t="s">
        <v>106</v>
      </c>
      <c r="H56" s="1"/>
      <c r="I56" s="1"/>
      <c r="J56" s="1">
        <v>22.742557525634766</v>
      </c>
      <c r="K56" s="1">
        <v>18.100671768188477</v>
      </c>
      <c r="L56" s="14"/>
      <c r="M56" s="105"/>
      <c r="N56" s="105"/>
      <c r="O56" s="105"/>
      <c r="P56" s="90"/>
      <c r="Q56" t="s">
        <v>424</v>
      </c>
      <c r="R56" t="s">
        <v>204</v>
      </c>
      <c r="S56" t="s">
        <v>106</v>
      </c>
      <c r="T56" t="s">
        <v>107</v>
      </c>
      <c r="U56" t="s">
        <v>108</v>
      </c>
      <c r="V56" s="3">
        <v>31.488010406494141</v>
      </c>
      <c r="W56" s="97"/>
      <c r="X56" s="129"/>
      <c r="Y56" s="97"/>
      <c r="Z56" s="97"/>
      <c r="AA56" s="85"/>
      <c r="AB56" s="127"/>
      <c r="AC56" s="1"/>
      <c r="AD56" s="1"/>
      <c r="AE56" s="1"/>
    </row>
    <row r="57" spans="1:31" ht="15.75" thickBot="1" x14ac:dyDescent="0.3">
      <c r="A57" s="107"/>
      <c r="B57" s="83">
        <v>364</v>
      </c>
      <c r="C57" s="83" t="s">
        <v>401</v>
      </c>
      <c r="D57" s="83" t="b">
        <v>0</v>
      </c>
      <c r="E57" s="83" t="s">
        <v>424</v>
      </c>
      <c r="F57" s="83" t="s">
        <v>332</v>
      </c>
      <c r="G57" s="83" t="s">
        <v>106</v>
      </c>
      <c r="H57" s="83">
        <f t="shared" ref="H57" si="129">_xlfn.STDEV.S(K54:K57)</f>
        <v>0.67840003670465998</v>
      </c>
      <c r="I57" s="83">
        <f t="shared" ref="I57" si="130">_xlfn.STDEV.S(J54:J57)</f>
        <v>6.8841574660749597E-2</v>
      </c>
      <c r="J57" s="83">
        <v>22.624666213989258</v>
      </c>
      <c r="K57" s="83">
        <v>17.373249053955078</v>
      </c>
      <c r="L57" s="17"/>
      <c r="M57" s="108"/>
      <c r="N57" s="108"/>
      <c r="O57" s="108"/>
      <c r="P57" s="109"/>
      <c r="Q57" t="s">
        <v>424</v>
      </c>
      <c r="R57" t="s">
        <v>204</v>
      </c>
      <c r="S57" t="s">
        <v>106</v>
      </c>
      <c r="T57" t="s">
        <v>107</v>
      </c>
      <c r="U57" t="s">
        <v>108</v>
      </c>
      <c r="V57" s="3">
        <v>31.943874359130859</v>
      </c>
      <c r="W57" s="98"/>
      <c r="X57" s="130"/>
      <c r="Y57" s="98"/>
      <c r="Z57" s="98"/>
      <c r="AA57" s="86"/>
      <c r="AB57" s="127"/>
      <c r="AC57" s="1"/>
      <c r="AD57" s="1"/>
      <c r="AE57" s="1"/>
    </row>
    <row r="58" spans="1:31" x14ac:dyDescent="0.25">
      <c r="A58" s="100"/>
      <c r="B58" s="9">
        <v>341</v>
      </c>
      <c r="C58" s="9" t="s">
        <v>390</v>
      </c>
      <c r="D58" s="9" t="b">
        <v>0</v>
      </c>
      <c r="E58" s="9" t="s">
        <v>423</v>
      </c>
      <c r="F58" s="9" t="s">
        <v>332</v>
      </c>
      <c r="G58" s="9" t="s">
        <v>106</v>
      </c>
      <c r="H58" s="9"/>
      <c r="I58" s="9"/>
      <c r="J58" s="9">
        <v>22.543874740600586</v>
      </c>
      <c r="K58" s="9">
        <v>17.632972717285156</v>
      </c>
      <c r="L58" s="11"/>
      <c r="M58" s="104">
        <f t="shared" ref="M58:N58" si="131">AVERAGE(J58:J61)</f>
        <v>22.527778625488281</v>
      </c>
      <c r="N58" s="104">
        <f t="shared" si="131"/>
        <v>17.682387351989746</v>
      </c>
      <c r="O58" s="104"/>
      <c r="P58" s="89">
        <f t="shared" ref="P58" si="132">GEOMEAN(M58,N58)</f>
        <v>19.958579805080294</v>
      </c>
      <c r="Q58" t="s">
        <v>423</v>
      </c>
      <c r="R58" t="s">
        <v>204</v>
      </c>
      <c r="S58" t="s">
        <v>106</v>
      </c>
      <c r="T58" t="s">
        <v>107</v>
      </c>
      <c r="U58" t="s">
        <v>108</v>
      </c>
      <c r="V58" s="3">
        <v>28.46075439453125</v>
      </c>
      <c r="W58" s="96">
        <f t="shared" ref="W58" si="133">_xlfn.STDEV.S(V58:V61)</f>
        <v>0.46127423935135242</v>
      </c>
      <c r="X58" s="128">
        <f t="shared" ref="X58" si="134">AVERAGE(V58:V61)</f>
        <v>28.81669282913208</v>
      </c>
      <c r="Y58" s="96">
        <f t="shared" ref="Y58" si="135">X58-P58</f>
        <v>8.8581130240517858</v>
      </c>
      <c r="Z58" s="96">
        <f t="shared" ref="Z58" si="136">Y58-$AE$6</f>
        <v>-2.1774832328682141</v>
      </c>
      <c r="AA58" s="84">
        <f t="shared" ref="AA58" si="137">2^-Z58</f>
        <v>4.5236372138385352</v>
      </c>
      <c r="AB58" s="127"/>
      <c r="AC58" s="1">
        <f t="shared" ref="AC58" si="138">LOG(AA58,2)</f>
        <v>2.1774832328682141</v>
      </c>
      <c r="AD58" s="1"/>
      <c r="AE58" s="1"/>
    </row>
    <row r="59" spans="1:31" x14ac:dyDescent="0.25">
      <c r="A59" s="101"/>
      <c r="B59" s="1">
        <v>365</v>
      </c>
      <c r="C59" s="1" t="s">
        <v>402</v>
      </c>
      <c r="D59" s="1" t="b">
        <v>0</v>
      </c>
      <c r="E59" s="1" t="s">
        <v>423</v>
      </c>
      <c r="F59" s="1" t="s">
        <v>332</v>
      </c>
      <c r="G59" s="1" t="s">
        <v>106</v>
      </c>
      <c r="H59" s="1"/>
      <c r="I59" s="1"/>
      <c r="J59" s="1">
        <v>22.497089385986328</v>
      </c>
      <c r="K59" s="1">
        <v>17.797683715820313</v>
      </c>
      <c r="L59" s="14"/>
      <c r="M59" s="105"/>
      <c r="N59" s="105"/>
      <c r="O59" s="105"/>
      <c r="P59" s="90"/>
      <c r="Q59" t="s">
        <v>423</v>
      </c>
      <c r="R59" t="s">
        <v>204</v>
      </c>
      <c r="S59" t="s">
        <v>106</v>
      </c>
      <c r="T59" t="s">
        <v>107</v>
      </c>
      <c r="U59" t="s">
        <v>108</v>
      </c>
      <c r="V59" s="3">
        <v>28.504470825195313</v>
      </c>
      <c r="W59" s="97"/>
      <c r="X59" s="129"/>
      <c r="Y59" s="97"/>
      <c r="Z59" s="97"/>
      <c r="AA59" s="85"/>
      <c r="AB59" s="127"/>
      <c r="AC59" s="1"/>
      <c r="AD59" s="1"/>
      <c r="AE59" s="1"/>
    </row>
    <row r="60" spans="1:31" x14ac:dyDescent="0.25">
      <c r="A60" s="101"/>
      <c r="B60" s="1">
        <v>342</v>
      </c>
      <c r="C60" s="1" t="s">
        <v>391</v>
      </c>
      <c r="D60" s="1" t="b">
        <v>0</v>
      </c>
      <c r="E60" s="1" t="s">
        <v>423</v>
      </c>
      <c r="F60" s="1" t="s">
        <v>332</v>
      </c>
      <c r="G60" s="1" t="s">
        <v>106</v>
      </c>
      <c r="H60" s="1"/>
      <c r="I60" s="1"/>
      <c r="J60" s="1">
        <v>22.538244247436523</v>
      </c>
      <c r="K60" s="1">
        <v>17.612838745117188</v>
      </c>
      <c r="L60" s="14"/>
      <c r="M60" s="105"/>
      <c r="N60" s="105"/>
      <c r="O60" s="105"/>
      <c r="P60" s="90"/>
      <c r="Q60" t="s">
        <v>423</v>
      </c>
      <c r="R60" t="s">
        <v>204</v>
      </c>
      <c r="S60" t="s">
        <v>106</v>
      </c>
      <c r="T60" t="s">
        <v>107</v>
      </c>
      <c r="U60" t="s">
        <v>108</v>
      </c>
      <c r="V60" s="3">
        <v>28.841800689697266</v>
      </c>
      <c r="W60" s="97"/>
      <c r="X60" s="129"/>
      <c r="Y60" s="97"/>
      <c r="Z60" s="97"/>
      <c r="AA60" s="85"/>
      <c r="AB60" s="127"/>
      <c r="AC60" s="1"/>
      <c r="AD60" s="1"/>
      <c r="AE60" s="1"/>
    </row>
    <row r="61" spans="1:31" ht="15.75" thickBot="1" x14ac:dyDescent="0.3">
      <c r="A61" s="107"/>
      <c r="B61" s="83">
        <v>366</v>
      </c>
      <c r="C61" s="83" t="s">
        <v>403</v>
      </c>
      <c r="D61" s="83" t="b">
        <v>0</v>
      </c>
      <c r="E61" s="83" t="s">
        <v>423</v>
      </c>
      <c r="F61" s="83" t="s">
        <v>332</v>
      </c>
      <c r="G61" s="83" t="s">
        <v>106</v>
      </c>
      <c r="H61" s="83">
        <f t="shared" ref="H61" si="139">_xlfn.STDEV.S(K58:K61)</f>
        <v>8.2836208560146937E-2</v>
      </c>
      <c r="I61" s="83">
        <f t="shared" ref="I61" si="140">_xlfn.STDEV.S(J58:J61)</f>
        <v>2.1035524413747859E-2</v>
      </c>
      <c r="J61" s="83">
        <v>22.531906127929688</v>
      </c>
      <c r="K61" s="83">
        <v>17.686054229736328</v>
      </c>
      <c r="L61" s="17"/>
      <c r="M61" s="108"/>
      <c r="N61" s="108"/>
      <c r="O61" s="108"/>
      <c r="P61" s="109"/>
      <c r="Q61" t="s">
        <v>423</v>
      </c>
      <c r="R61" t="s">
        <v>204</v>
      </c>
      <c r="S61" t="s">
        <v>106</v>
      </c>
      <c r="T61" t="s">
        <v>107</v>
      </c>
      <c r="U61" t="s">
        <v>108</v>
      </c>
      <c r="V61" s="3">
        <v>29.459745407104492</v>
      </c>
      <c r="W61" s="98"/>
      <c r="X61" s="130"/>
      <c r="Y61" s="98"/>
      <c r="Z61" s="98"/>
      <c r="AA61" s="86"/>
      <c r="AB61" s="127"/>
      <c r="AC61" s="1"/>
      <c r="AD61" s="1"/>
      <c r="AE61" s="1"/>
    </row>
    <row r="62" spans="1:31" x14ac:dyDescent="0.25">
      <c r="A62" s="100"/>
      <c r="B62" s="9">
        <v>343</v>
      </c>
      <c r="C62" s="9" t="s">
        <v>392</v>
      </c>
      <c r="D62" s="9" t="b">
        <v>0</v>
      </c>
      <c r="E62" s="9" t="s">
        <v>425</v>
      </c>
      <c r="F62" s="9" t="s">
        <v>332</v>
      </c>
      <c r="G62" s="9" t="s">
        <v>106</v>
      </c>
      <c r="H62" s="9"/>
      <c r="I62" s="9"/>
      <c r="J62" s="9">
        <v>22.504655838012695</v>
      </c>
      <c r="K62" s="9">
        <v>17.712419509887695</v>
      </c>
      <c r="L62" s="11"/>
      <c r="M62" s="104">
        <f t="shared" ref="M62:N62" si="141">AVERAGE(J62:J65)</f>
        <v>22.514381408691406</v>
      </c>
      <c r="N62" s="104">
        <f t="shared" si="141"/>
        <v>17.726653575897217</v>
      </c>
      <c r="O62" s="104"/>
      <c r="P62" s="89">
        <f t="shared" ref="P62" si="142">GEOMEAN(M62,N62)</f>
        <v>19.977603452553897</v>
      </c>
      <c r="Q62" t="s">
        <v>425</v>
      </c>
      <c r="R62" t="s">
        <v>204</v>
      </c>
      <c r="S62" t="s">
        <v>106</v>
      </c>
      <c r="T62" t="s">
        <v>107</v>
      </c>
      <c r="U62" t="s">
        <v>108</v>
      </c>
      <c r="V62" s="3">
        <v>28.691570281982422</v>
      </c>
      <c r="W62" s="96">
        <f t="shared" ref="W62" si="143">_xlfn.STDEV.S(V62:V65)</f>
        <v>0.44326383856838375</v>
      </c>
      <c r="X62" s="128">
        <f t="shared" ref="X62" si="144">AVERAGE(V62:V65)</f>
        <v>28.757532596588135</v>
      </c>
      <c r="Y62" s="96">
        <f t="shared" ref="Y62" si="145">X62-P62</f>
        <v>8.779929144034238</v>
      </c>
      <c r="Z62" s="96">
        <f t="shared" ref="Z62" si="146">Y62-$AE$6</f>
        <v>-2.2556671128857619</v>
      </c>
      <c r="AA62" s="84">
        <f t="shared" ref="AA62" si="147">2^-Z62</f>
        <v>4.7755507117139828</v>
      </c>
      <c r="AB62" s="127"/>
      <c r="AC62" s="1">
        <f t="shared" ref="AC62" si="148">LOG(AA62,2)</f>
        <v>2.2556671128857619</v>
      </c>
      <c r="AD62" s="1"/>
      <c r="AE62" s="1"/>
    </row>
    <row r="63" spans="1:31" x14ac:dyDescent="0.25">
      <c r="A63" s="101"/>
      <c r="B63" s="1">
        <v>367</v>
      </c>
      <c r="C63" s="1" t="s">
        <v>404</v>
      </c>
      <c r="D63" s="1" t="b">
        <v>0</v>
      </c>
      <c r="E63" s="1" t="s">
        <v>425</v>
      </c>
      <c r="F63" s="1" t="s">
        <v>332</v>
      </c>
      <c r="G63" s="1" t="s">
        <v>106</v>
      </c>
      <c r="H63" s="1"/>
      <c r="I63" s="1"/>
      <c r="J63" s="1">
        <v>22.53801155090332</v>
      </c>
      <c r="K63" s="1">
        <v>17.806955337524414</v>
      </c>
      <c r="L63" s="14"/>
      <c r="M63" s="105"/>
      <c r="N63" s="105"/>
      <c r="O63" s="105"/>
      <c r="P63" s="90"/>
      <c r="Q63" t="s">
        <v>425</v>
      </c>
      <c r="R63" t="s">
        <v>204</v>
      </c>
      <c r="S63" t="s">
        <v>106</v>
      </c>
      <c r="T63" t="s">
        <v>107</v>
      </c>
      <c r="U63" t="s">
        <v>108</v>
      </c>
      <c r="V63" s="3">
        <v>29.374477386474609</v>
      </c>
      <c r="W63" s="97"/>
      <c r="X63" s="129"/>
      <c r="Y63" s="97"/>
      <c r="Z63" s="97"/>
      <c r="AA63" s="85"/>
      <c r="AB63" s="127"/>
      <c r="AC63" s="1"/>
      <c r="AD63" s="1"/>
      <c r="AE63" s="1"/>
    </row>
    <row r="64" spans="1:31" x14ac:dyDescent="0.25">
      <c r="A64" s="101"/>
      <c r="B64" s="1">
        <v>344</v>
      </c>
      <c r="C64" s="1" t="s">
        <v>393</v>
      </c>
      <c r="D64" s="1" t="b">
        <v>0</v>
      </c>
      <c r="E64" s="1" t="s">
        <v>425</v>
      </c>
      <c r="F64" s="1" t="s">
        <v>332</v>
      </c>
      <c r="G64" s="1" t="s">
        <v>106</v>
      </c>
      <c r="H64" s="1"/>
      <c r="I64" s="1"/>
      <c r="J64" s="1">
        <v>22.499790191650391</v>
      </c>
      <c r="K64" s="1">
        <v>17.708463668823242</v>
      </c>
      <c r="L64" s="14"/>
      <c r="M64" s="105"/>
      <c r="N64" s="105"/>
      <c r="O64" s="105"/>
      <c r="P64" s="90"/>
      <c r="Q64" t="s">
        <v>425</v>
      </c>
      <c r="R64" t="s">
        <v>204</v>
      </c>
      <c r="S64" t="s">
        <v>106</v>
      </c>
      <c r="T64" t="s">
        <v>107</v>
      </c>
      <c r="U64" t="s">
        <v>108</v>
      </c>
      <c r="V64" s="3">
        <v>28.319736480712891</v>
      </c>
      <c r="W64" s="97"/>
      <c r="X64" s="129"/>
      <c r="Y64" s="97"/>
      <c r="Z64" s="97"/>
      <c r="AA64" s="85"/>
      <c r="AB64" s="127"/>
      <c r="AC64" s="1"/>
      <c r="AD64" s="1"/>
      <c r="AE64" s="1"/>
    </row>
    <row r="65" spans="1:31" ht="15.75" thickBot="1" x14ac:dyDescent="0.3">
      <c r="A65" s="107"/>
      <c r="B65" s="83">
        <v>368</v>
      </c>
      <c r="C65" s="83" t="s">
        <v>405</v>
      </c>
      <c r="D65" s="83" t="b">
        <v>0</v>
      </c>
      <c r="E65" s="83" t="s">
        <v>425</v>
      </c>
      <c r="F65" s="83" t="s">
        <v>332</v>
      </c>
      <c r="G65" s="83" t="s">
        <v>106</v>
      </c>
      <c r="H65" s="83">
        <f t="shared" ref="H65" si="149">_xlfn.STDEV.S(K62:K65)</f>
        <v>5.5600170595631028E-2</v>
      </c>
      <c r="I65" s="83">
        <f t="shared" ref="I65" si="150">_xlfn.STDEV.S(J62:J65)</f>
        <v>1.6993581560629578E-2</v>
      </c>
      <c r="J65" s="83">
        <v>22.515068054199219</v>
      </c>
      <c r="K65" s="83">
        <v>17.678775787353516</v>
      </c>
      <c r="L65" s="17"/>
      <c r="M65" s="108"/>
      <c r="N65" s="108"/>
      <c r="O65" s="108"/>
      <c r="P65" s="109"/>
      <c r="Q65" t="s">
        <v>425</v>
      </c>
      <c r="R65" t="s">
        <v>204</v>
      </c>
      <c r="S65" t="s">
        <v>106</v>
      </c>
      <c r="T65" t="s">
        <v>107</v>
      </c>
      <c r="U65" t="s">
        <v>108</v>
      </c>
      <c r="V65" s="3">
        <v>28.644346237182617</v>
      </c>
      <c r="W65" s="98"/>
      <c r="X65" s="130"/>
      <c r="Y65" s="98"/>
      <c r="Z65" s="98"/>
      <c r="AA65" s="86"/>
      <c r="AB65" s="127"/>
      <c r="AC65" s="1"/>
      <c r="AD65" s="1"/>
      <c r="AE65" s="1"/>
    </row>
    <row r="66" spans="1:31" x14ac:dyDescent="0.25">
      <c r="A66" s="100"/>
      <c r="B66" s="9">
        <v>345</v>
      </c>
      <c r="C66" s="9" t="s">
        <v>394</v>
      </c>
      <c r="D66" s="9" t="b">
        <v>0</v>
      </c>
      <c r="E66" s="9" t="s">
        <v>426</v>
      </c>
      <c r="F66" s="9" t="s">
        <v>332</v>
      </c>
      <c r="G66" s="9" t="s">
        <v>106</v>
      </c>
      <c r="H66" s="9"/>
      <c r="I66" s="9"/>
      <c r="J66" s="9">
        <v>22.853849411010742</v>
      </c>
      <c r="K66" s="9">
        <v>18.554037094116211</v>
      </c>
      <c r="L66" s="11"/>
      <c r="M66" s="104">
        <f t="shared" ref="M66:N66" si="151">AVERAGE(J66:J69)</f>
        <v>22.862873554229736</v>
      </c>
      <c r="N66" s="104">
        <f t="shared" si="151"/>
        <v>18.527228832244873</v>
      </c>
      <c r="O66" s="104"/>
      <c r="P66" s="89">
        <f t="shared" ref="P66" si="152">GEOMEAN(M66,N66)</f>
        <v>20.581197489502255</v>
      </c>
      <c r="Q66" t="s">
        <v>426</v>
      </c>
      <c r="R66" t="s">
        <v>204</v>
      </c>
      <c r="S66" t="s">
        <v>106</v>
      </c>
      <c r="T66" t="s">
        <v>107</v>
      </c>
      <c r="U66" t="s">
        <v>108</v>
      </c>
      <c r="V66" s="3">
        <v>27.881404876708984</v>
      </c>
      <c r="W66" s="96">
        <f t="shared" ref="W66" si="153">_xlfn.STDEV.S(V66:V69)</f>
        <v>0.10896927766088832</v>
      </c>
      <c r="X66" s="128">
        <f t="shared" ref="X66" si="154">AVERAGE(V66:V69)</f>
        <v>27.994613647460938</v>
      </c>
      <c r="Y66" s="96">
        <f t="shared" ref="Y66" si="155">X66-P66</f>
        <v>7.4134161579586824</v>
      </c>
      <c r="Z66" s="96">
        <f t="shared" ref="Z66" si="156">Y66-$AE$6</f>
        <v>-3.6221800989613175</v>
      </c>
      <c r="AA66" s="84">
        <f t="shared" ref="AA66" si="157">2^-Z66</f>
        <v>12.313594834030177</v>
      </c>
      <c r="AB66" s="119"/>
      <c r="AC66" s="1">
        <f t="shared" ref="AC66" si="158">LOG(AA66,2)</f>
        <v>3.6221800989613175</v>
      </c>
      <c r="AD66" s="1"/>
      <c r="AE66" s="1"/>
    </row>
    <row r="67" spans="1:31" x14ac:dyDescent="0.25">
      <c r="A67" s="101"/>
      <c r="B67" s="1">
        <v>369</v>
      </c>
      <c r="C67" s="1" t="s">
        <v>406</v>
      </c>
      <c r="D67" s="1" t="b">
        <v>0</v>
      </c>
      <c r="E67" s="1" t="s">
        <v>426</v>
      </c>
      <c r="F67" s="1" t="s">
        <v>332</v>
      </c>
      <c r="G67" s="1" t="s">
        <v>106</v>
      </c>
      <c r="H67" s="1"/>
      <c r="I67" s="1"/>
      <c r="J67" s="1">
        <v>22.905683517456055</v>
      </c>
      <c r="K67" s="1">
        <v>18.587224960327148</v>
      </c>
      <c r="L67" s="14"/>
      <c r="M67" s="105"/>
      <c r="N67" s="105"/>
      <c r="O67" s="105"/>
      <c r="P67" s="90"/>
      <c r="Q67" t="s">
        <v>426</v>
      </c>
      <c r="R67" t="s">
        <v>204</v>
      </c>
      <c r="S67" t="s">
        <v>106</v>
      </c>
      <c r="T67" t="s">
        <v>107</v>
      </c>
      <c r="U67" t="s">
        <v>108</v>
      </c>
      <c r="V67" s="3">
        <v>27.947055816650391</v>
      </c>
      <c r="W67" s="97"/>
      <c r="X67" s="129"/>
      <c r="Y67" s="97"/>
      <c r="Z67" s="97"/>
      <c r="AA67" s="85"/>
      <c r="AB67" s="119"/>
      <c r="AC67" s="1"/>
      <c r="AD67" s="1"/>
      <c r="AE67" s="1"/>
    </row>
    <row r="68" spans="1:31" x14ac:dyDescent="0.25">
      <c r="A68" s="101"/>
      <c r="B68" s="1">
        <v>346</v>
      </c>
      <c r="C68" s="1" t="s">
        <v>395</v>
      </c>
      <c r="D68" s="1" t="b">
        <v>0</v>
      </c>
      <c r="E68" s="1" t="s">
        <v>426</v>
      </c>
      <c r="F68" s="1" t="s">
        <v>332</v>
      </c>
      <c r="G68" s="1" t="s">
        <v>106</v>
      </c>
      <c r="H68" s="1"/>
      <c r="I68" s="1"/>
      <c r="J68" s="1">
        <v>22.859567642211914</v>
      </c>
      <c r="K68" s="1">
        <v>18.580108642578125</v>
      </c>
      <c r="L68" s="14"/>
      <c r="M68" s="105"/>
      <c r="N68" s="105"/>
      <c r="O68" s="105"/>
      <c r="P68" s="90"/>
      <c r="Q68" t="s">
        <v>426</v>
      </c>
      <c r="R68" t="s">
        <v>204</v>
      </c>
      <c r="S68" t="s">
        <v>106</v>
      </c>
      <c r="T68" t="s">
        <v>107</v>
      </c>
      <c r="U68" t="s">
        <v>108</v>
      </c>
      <c r="V68" s="3">
        <v>28.013263702392578</v>
      </c>
      <c r="W68" s="97"/>
      <c r="X68" s="129"/>
      <c r="Y68" s="97"/>
      <c r="Z68" s="97"/>
      <c r="AA68" s="85"/>
      <c r="AB68" s="119"/>
      <c r="AC68" s="1"/>
      <c r="AD68" s="1"/>
      <c r="AE68" s="1"/>
    </row>
    <row r="69" spans="1:31" ht="15.75" thickBot="1" x14ac:dyDescent="0.3">
      <c r="A69" s="107"/>
      <c r="B69" s="83">
        <v>370</v>
      </c>
      <c r="C69" s="83" t="s">
        <v>407</v>
      </c>
      <c r="D69" s="83" t="b">
        <v>0</v>
      </c>
      <c r="E69" s="83" t="s">
        <v>426</v>
      </c>
      <c r="F69" s="83" t="s">
        <v>332</v>
      </c>
      <c r="G69" s="83" t="s">
        <v>106</v>
      </c>
      <c r="H69" s="83">
        <f t="shared" ref="H69" si="159">_xlfn.STDEV.S(K66:K69)</f>
        <v>9.4209285529769315E-2</v>
      </c>
      <c r="I69" s="83">
        <f t="shared" ref="I69" si="160">_xlfn.STDEV.S(J66:J69)</f>
        <v>3.0844134815735145E-2</v>
      </c>
      <c r="J69" s="83">
        <v>22.832393646240234</v>
      </c>
      <c r="K69" s="83">
        <v>18.387544631958008</v>
      </c>
      <c r="L69" s="17"/>
      <c r="M69" s="108"/>
      <c r="N69" s="108"/>
      <c r="O69" s="108"/>
      <c r="P69" s="109"/>
      <c r="Q69" t="s">
        <v>426</v>
      </c>
      <c r="R69" t="s">
        <v>204</v>
      </c>
      <c r="S69" t="s">
        <v>106</v>
      </c>
      <c r="T69" t="s">
        <v>107</v>
      </c>
      <c r="U69" t="s">
        <v>108</v>
      </c>
      <c r="V69" s="3">
        <v>28.136730194091797</v>
      </c>
      <c r="W69" s="98"/>
      <c r="X69" s="130"/>
      <c r="Y69" s="98"/>
      <c r="Z69" s="98"/>
      <c r="AA69" s="86"/>
      <c r="AB69" s="119"/>
      <c r="AC69" s="1"/>
      <c r="AD69" s="1"/>
      <c r="AE69" s="1"/>
    </row>
    <row r="70" spans="1:31" x14ac:dyDescent="0.25">
      <c r="A70" s="100"/>
      <c r="B70" s="9">
        <v>347</v>
      </c>
      <c r="C70" s="9" t="s">
        <v>396</v>
      </c>
      <c r="D70" s="9" t="b">
        <v>0</v>
      </c>
      <c r="E70" s="9" t="s">
        <v>427</v>
      </c>
      <c r="F70" s="9" t="s">
        <v>332</v>
      </c>
      <c r="G70" s="9" t="s">
        <v>106</v>
      </c>
      <c r="H70" s="9"/>
      <c r="I70" s="9"/>
      <c r="J70" s="9">
        <v>22.899017333984375</v>
      </c>
      <c r="K70" s="9">
        <v>18.637588500976563</v>
      </c>
      <c r="L70" s="11"/>
      <c r="M70" s="104">
        <f t="shared" ref="M70:N70" si="161">AVERAGE(J70:J73)</f>
        <v>23.081553936004639</v>
      </c>
      <c r="N70" s="104">
        <f t="shared" si="161"/>
        <v>18.681993961334229</v>
      </c>
      <c r="O70" s="104"/>
      <c r="P70" s="89">
        <f t="shared" ref="P70" si="162">GEOMEAN(M70,N70)</f>
        <v>20.765583335188275</v>
      </c>
      <c r="Q70" t="s">
        <v>427</v>
      </c>
      <c r="R70" t="s">
        <v>204</v>
      </c>
      <c r="S70" t="s">
        <v>106</v>
      </c>
      <c r="T70" t="s">
        <v>107</v>
      </c>
      <c r="U70" t="s">
        <v>108</v>
      </c>
      <c r="V70" s="3">
        <v>27.973781585693359</v>
      </c>
      <c r="W70" s="96">
        <f t="shared" ref="W70" si="163">_xlfn.STDEV.S(V70:V73)</f>
        <v>0.2858700116697262</v>
      </c>
      <c r="X70" s="128">
        <f t="shared" ref="X70" si="164">AVERAGE(V70:V73)</f>
        <v>28.027976989746094</v>
      </c>
      <c r="Y70" s="96">
        <f t="shared" ref="Y70" si="165">X70-P70</f>
        <v>7.2623936545578189</v>
      </c>
      <c r="Z70" s="96">
        <f t="shared" ref="Z70" si="166">Y70-$AE$6</f>
        <v>-3.773202602362181</v>
      </c>
      <c r="AA70" s="84">
        <f t="shared" ref="AA70" si="167">2^-Z70</f>
        <v>13.672475789715554</v>
      </c>
      <c r="AB70" s="119"/>
      <c r="AC70" s="1">
        <f t="shared" ref="AC70" si="168">LOG(AA70,2)</f>
        <v>3.773202602362181</v>
      </c>
      <c r="AD70" s="1"/>
      <c r="AE70" s="1"/>
    </row>
    <row r="71" spans="1:31" x14ac:dyDescent="0.25">
      <c r="A71" s="101"/>
      <c r="B71" s="1">
        <v>371</v>
      </c>
      <c r="C71" s="1" t="s">
        <v>408</v>
      </c>
      <c r="D71" s="1" t="b">
        <v>0</v>
      </c>
      <c r="E71" s="1" t="s">
        <v>427</v>
      </c>
      <c r="F71" s="1" t="s">
        <v>332</v>
      </c>
      <c r="G71" s="1" t="s">
        <v>106</v>
      </c>
      <c r="H71" s="1"/>
      <c r="I71" s="1"/>
      <c r="J71" s="1">
        <v>22.754722595214844</v>
      </c>
      <c r="K71" s="1">
        <v>18.74791145324707</v>
      </c>
      <c r="L71" s="14"/>
      <c r="M71" s="105"/>
      <c r="N71" s="105"/>
      <c r="O71" s="105"/>
      <c r="P71" s="90"/>
      <c r="Q71" t="s">
        <v>427</v>
      </c>
      <c r="R71" t="s">
        <v>204</v>
      </c>
      <c r="S71" t="s">
        <v>106</v>
      </c>
      <c r="T71" t="s">
        <v>107</v>
      </c>
      <c r="U71" t="s">
        <v>108</v>
      </c>
      <c r="V71" s="3">
        <v>27.789356231689453</v>
      </c>
      <c r="W71" s="97"/>
      <c r="X71" s="129"/>
      <c r="Y71" s="97"/>
      <c r="Z71" s="97"/>
      <c r="AA71" s="85"/>
      <c r="AB71" s="119"/>
      <c r="AC71" s="1"/>
      <c r="AD71" s="1"/>
      <c r="AE71" s="1"/>
    </row>
    <row r="72" spans="1:31" x14ac:dyDescent="0.25">
      <c r="A72" s="101"/>
      <c r="B72" s="1">
        <v>348</v>
      </c>
      <c r="C72" s="1" t="s">
        <v>397</v>
      </c>
      <c r="D72" s="1" t="b">
        <v>0</v>
      </c>
      <c r="E72" s="1" t="s">
        <v>427</v>
      </c>
      <c r="F72" s="1" t="s">
        <v>332</v>
      </c>
      <c r="G72" s="1" t="s">
        <v>106</v>
      </c>
      <c r="H72" s="1"/>
      <c r="I72" s="1"/>
      <c r="J72" s="1">
        <v>22.944528579711914</v>
      </c>
      <c r="K72" s="1">
        <v>18.6053466796875</v>
      </c>
      <c r="L72" s="14"/>
      <c r="M72" s="105"/>
      <c r="N72" s="105"/>
      <c r="O72" s="105"/>
      <c r="P72" s="90"/>
      <c r="Q72" t="s">
        <v>427</v>
      </c>
      <c r="R72" t="s">
        <v>204</v>
      </c>
      <c r="S72" t="s">
        <v>106</v>
      </c>
      <c r="T72" t="s">
        <v>107</v>
      </c>
      <c r="U72" t="s">
        <v>108</v>
      </c>
      <c r="V72" s="3">
        <v>27.907535552978516</v>
      </c>
      <c r="W72" s="97"/>
      <c r="X72" s="129"/>
      <c r="Y72" s="97"/>
      <c r="Z72" s="97"/>
      <c r="AA72" s="85"/>
      <c r="AB72" s="119"/>
      <c r="AC72" s="1"/>
      <c r="AD72" s="1"/>
      <c r="AE72" s="1"/>
    </row>
    <row r="73" spans="1:31" ht="15.75" thickBot="1" x14ac:dyDescent="0.3">
      <c r="A73" s="107"/>
      <c r="B73" s="83">
        <v>372</v>
      </c>
      <c r="C73" s="83" t="s">
        <v>409</v>
      </c>
      <c r="D73" s="83" t="b">
        <v>0</v>
      </c>
      <c r="E73" s="83" t="s">
        <v>427</v>
      </c>
      <c r="F73" s="83" t="s">
        <v>332</v>
      </c>
      <c r="G73" s="83" t="s">
        <v>106</v>
      </c>
      <c r="H73" s="83">
        <f t="shared" ref="H73" si="169">_xlfn.STDEV.S(K70:K73)</f>
        <v>7.1254619116112514E-2</v>
      </c>
      <c r="I73" s="83">
        <f t="shared" ref="I73" si="170">_xlfn.STDEV.S(J70:J73)</f>
        <v>0.43845888510846998</v>
      </c>
      <c r="J73" s="83">
        <v>23.727947235107422</v>
      </c>
      <c r="K73" s="83">
        <v>18.737129211425781</v>
      </c>
      <c r="L73" s="17"/>
      <c r="M73" s="108"/>
      <c r="N73" s="108"/>
      <c r="O73" s="108"/>
      <c r="P73" s="109"/>
      <c r="Q73" t="s">
        <v>427</v>
      </c>
      <c r="R73" t="s">
        <v>204</v>
      </c>
      <c r="S73" t="s">
        <v>106</v>
      </c>
      <c r="T73" t="s">
        <v>107</v>
      </c>
      <c r="U73" t="s">
        <v>108</v>
      </c>
      <c r="V73" s="3">
        <v>28.441234588623047</v>
      </c>
      <c r="W73" s="98"/>
      <c r="X73" s="130"/>
      <c r="Y73" s="98"/>
      <c r="Z73" s="98"/>
      <c r="AA73" s="86"/>
      <c r="AB73" s="119"/>
      <c r="AC73" s="1"/>
      <c r="AD73" s="1"/>
      <c r="AE73" s="1"/>
    </row>
    <row r="74" spans="1:31" x14ac:dyDescent="0.25">
      <c r="A74" s="100"/>
      <c r="B74" s="11"/>
      <c r="C74" s="11"/>
      <c r="D74" s="11"/>
      <c r="E74" s="11"/>
      <c r="F74" s="11"/>
      <c r="G74" s="11"/>
      <c r="H74" s="96"/>
      <c r="I74" s="96"/>
      <c r="J74" s="22"/>
      <c r="K74" s="27"/>
      <c r="L74" s="11"/>
      <c r="M74" s="104"/>
      <c r="N74" s="104"/>
      <c r="O74" s="104"/>
      <c r="P74" s="89"/>
      <c r="Q74" s="13"/>
      <c r="R74" s="11"/>
      <c r="S74" s="11"/>
      <c r="T74" s="11"/>
      <c r="U74" s="11"/>
      <c r="V74" s="29"/>
      <c r="W74" s="96"/>
      <c r="X74" s="124"/>
      <c r="Y74" s="96"/>
      <c r="Z74" s="96"/>
      <c r="AA74" s="96"/>
      <c r="AB74" s="119"/>
      <c r="AC74" s="1"/>
      <c r="AD74" s="1"/>
      <c r="AE74" s="1"/>
    </row>
    <row r="75" spans="1:31" x14ac:dyDescent="0.25">
      <c r="A75" s="101"/>
      <c r="B75" s="14"/>
      <c r="C75" s="14"/>
      <c r="D75" s="14"/>
      <c r="E75" s="14"/>
      <c r="F75" s="14"/>
      <c r="G75" s="14"/>
      <c r="H75" s="97"/>
      <c r="I75" s="97"/>
      <c r="J75" s="24"/>
      <c r="K75" s="30"/>
      <c r="L75" s="14"/>
      <c r="M75" s="105"/>
      <c r="N75" s="105"/>
      <c r="O75" s="105"/>
      <c r="P75" s="90"/>
      <c r="Q75" s="16"/>
      <c r="R75" s="14"/>
      <c r="S75" s="14"/>
      <c r="T75" s="14"/>
      <c r="U75" s="14"/>
      <c r="V75" s="26"/>
      <c r="W75" s="97"/>
      <c r="X75" s="125"/>
      <c r="Y75" s="97"/>
      <c r="Z75" s="97"/>
      <c r="AA75" s="97"/>
      <c r="AB75" s="119"/>
      <c r="AC75" s="1"/>
      <c r="AD75" s="1"/>
      <c r="AE75" s="1"/>
    </row>
    <row r="76" spans="1:31" x14ac:dyDescent="0.25">
      <c r="A76" s="101"/>
      <c r="B76" s="14"/>
      <c r="C76" s="14"/>
      <c r="D76" s="14"/>
      <c r="E76" s="14"/>
      <c r="F76" s="14"/>
      <c r="G76" s="14"/>
      <c r="H76" s="97"/>
      <c r="I76" s="97"/>
      <c r="J76" s="31"/>
      <c r="K76" s="32"/>
      <c r="L76" s="14"/>
      <c r="M76" s="105"/>
      <c r="N76" s="105"/>
      <c r="O76" s="105"/>
      <c r="P76" s="90"/>
      <c r="Q76" s="16"/>
      <c r="R76" s="14"/>
      <c r="S76" s="14"/>
      <c r="T76" s="14"/>
      <c r="U76" s="14"/>
      <c r="V76" s="26"/>
      <c r="W76" s="97"/>
      <c r="X76" s="125"/>
      <c r="Y76" s="97"/>
      <c r="Z76" s="97"/>
      <c r="AA76" s="97"/>
      <c r="AB76" s="119"/>
      <c r="AC76" s="1"/>
      <c r="AD76" s="1"/>
      <c r="AE76" s="1"/>
    </row>
    <row r="77" spans="1:31" ht="15.75" thickBot="1" x14ac:dyDescent="0.3">
      <c r="A77" s="107"/>
      <c r="B77" s="17"/>
      <c r="C77" s="17"/>
      <c r="D77" s="17"/>
      <c r="E77" s="17"/>
      <c r="F77" s="17"/>
      <c r="G77" s="17"/>
      <c r="H77" s="98"/>
      <c r="I77" s="98"/>
      <c r="J77" s="33"/>
      <c r="K77" s="20"/>
      <c r="L77" s="17"/>
      <c r="M77" s="108"/>
      <c r="N77" s="108"/>
      <c r="O77" s="108"/>
      <c r="P77" s="109"/>
      <c r="Q77" s="18"/>
      <c r="R77" s="17"/>
      <c r="S77" s="17"/>
      <c r="T77" s="17"/>
      <c r="U77" s="17"/>
      <c r="V77" s="34"/>
      <c r="W77" s="98"/>
      <c r="X77" s="126"/>
      <c r="Y77" s="98"/>
      <c r="Z77" s="98"/>
      <c r="AA77" s="98"/>
      <c r="AB77" s="119"/>
      <c r="AC77" s="1"/>
      <c r="AD77" s="1"/>
      <c r="AE77" s="1"/>
    </row>
    <row r="78" spans="1:31" x14ac:dyDescent="0.25">
      <c r="A78" s="100"/>
      <c r="B78" s="11"/>
      <c r="C78" s="11"/>
      <c r="D78" s="11"/>
      <c r="E78" s="11"/>
      <c r="F78" s="11"/>
      <c r="G78" s="11"/>
      <c r="H78" s="92"/>
      <c r="I78" s="96"/>
      <c r="J78" s="35"/>
      <c r="K78" s="36"/>
      <c r="L78" s="11"/>
      <c r="M78" s="104"/>
      <c r="N78" s="104"/>
      <c r="O78" s="104"/>
      <c r="P78" s="89"/>
      <c r="Q78" s="13"/>
      <c r="R78" s="11"/>
      <c r="S78" s="11"/>
      <c r="T78" s="11"/>
      <c r="U78" s="11"/>
      <c r="V78" s="37"/>
      <c r="W78" s="96"/>
      <c r="X78" s="121"/>
      <c r="Y78" s="96"/>
      <c r="Z78" s="96"/>
      <c r="AA78" s="96"/>
      <c r="AB78" s="119"/>
      <c r="AC78" s="1"/>
      <c r="AD78" s="1"/>
      <c r="AE78" s="1"/>
    </row>
    <row r="79" spans="1:31" x14ac:dyDescent="0.25">
      <c r="A79" s="101"/>
      <c r="B79" s="14"/>
      <c r="C79" s="14"/>
      <c r="D79" s="14"/>
      <c r="E79" s="14"/>
      <c r="F79" s="14"/>
      <c r="G79" s="14"/>
      <c r="H79" s="93"/>
      <c r="I79" s="97"/>
      <c r="J79" s="38"/>
      <c r="K79" s="39"/>
      <c r="L79" s="14"/>
      <c r="M79" s="105"/>
      <c r="N79" s="105"/>
      <c r="O79" s="105"/>
      <c r="P79" s="90"/>
      <c r="Q79" s="16"/>
      <c r="R79" s="14"/>
      <c r="S79" s="14"/>
      <c r="T79" s="14"/>
      <c r="U79" s="14"/>
      <c r="V79" s="40"/>
      <c r="W79" s="97"/>
      <c r="X79" s="122"/>
      <c r="Y79" s="97"/>
      <c r="Z79" s="97"/>
      <c r="AA79" s="97"/>
      <c r="AB79" s="119"/>
      <c r="AC79" s="1"/>
      <c r="AD79" s="1"/>
      <c r="AE79" s="1"/>
    </row>
    <row r="80" spans="1:31" x14ac:dyDescent="0.25">
      <c r="A80" s="101"/>
      <c r="B80" s="14"/>
      <c r="C80" s="14"/>
      <c r="D80" s="14"/>
      <c r="E80" s="14"/>
      <c r="F80" s="14"/>
      <c r="G80" s="14"/>
      <c r="H80" s="93"/>
      <c r="I80" s="97"/>
      <c r="J80" s="41"/>
      <c r="K80" s="42"/>
      <c r="L80" s="14"/>
      <c r="M80" s="105"/>
      <c r="N80" s="105"/>
      <c r="O80" s="105"/>
      <c r="P80" s="90"/>
      <c r="Q80" s="16"/>
      <c r="R80" s="14"/>
      <c r="S80" s="14"/>
      <c r="T80" s="14"/>
      <c r="U80" s="14"/>
      <c r="V80" s="15"/>
      <c r="W80" s="97"/>
      <c r="X80" s="122"/>
      <c r="Y80" s="97"/>
      <c r="Z80" s="97"/>
      <c r="AA80" s="97"/>
      <c r="AB80" s="119"/>
      <c r="AC80" s="1"/>
      <c r="AD80" s="1"/>
      <c r="AE80" s="1"/>
    </row>
    <row r="81" spans="1:31" ht="15.75" thickBot="1" x14ac:dyDescent="0.3">
      <c r="A81" s="107"/>
      <c r="B81" s="17"/>
      <c r="C81" s="17"/>
      <c r="D81" s="17"/>
      <c r="E81" s="17"/>
      <c r="F81" s="17"/>
      <c r="G81" s="17"/>
      <c r="H81" s="120"/>
      <c r="I81" s="98"/>
      <c r="J81" s="43"/>
      <c r="K81" s="44"/>
      <c r="L81" s="17"/>
      <c r="M81" s="108"/>
      <c r="N81" s="108"/>
      <c r="O81" s="108"/>
      <c r="P81" s="109"/>
      <c r="Q81" s="18"/>
      <c r="R81" s="17"/>
      <c r="S81" s="17"/>
      <c r="T81" s="17"/>
      <c r="U81" s="17"/>
      <c r="V81" s="45"/>
      <c r="W81" s="98"/>
      <c r="X81" s="123"/>
      <c r="Y81" s="98"/>
      <c r="Z81" s="98"/>
      <c r="AA81" s="98"/>
      <c r="AB81" s="119"/>
      <c r="AC81" s="1"/>
      <c r="AD81" s="1"/>
      <c r="AE81" s="1"/>
    </row>
    <row r="82" spans="1:31" x14ac:dyDescent="0.25">
      <c r="A82" s="100"/>
      <c r="B82" s="11"/>
      <c r="C82" s="11"/>
      <c r="D82" s="11"/>
      <c r="E82" s="11"/>
      <c r="F82" s="11"/>
      <c r="G82" s="11"/>
      <c r="H82" s="96"/>
      <c r="I82" s="96"/>
      <c r="J82" s="46"/>
      <c r="K82" s="47"/>
      <c r="L82" s="11"/>
      <c r="M82" s="104"/>
      <c r="N82" s="104"/>
      <c r="O82" s="104"/>
      <c r="P82" s="89"/>
      <c r="Q82" s="13"/>
      <c r="R82" s="11"/>
      <c r="S82" s="11"/>
      <c r="T82" s="11"/>
      <c r="U82" s="11"/>
      <c r="V82" s="29"/>
      <c r="W82" s="96"/>
      <c r="X82" s="116"/>
      <c r="Y82" s="96"/>
      <c r="Z82" s="96"/>
      <c r="AA82" s="96"/>
      <c r="AB82" s="99"/>
      <c r="AC82" s="1"/>
      <c r="AD82" s="1"/>
      <c r="AE82" s="1"/>
    </row>
    <row r="83" spans="1:31" x14ac:dyDescent="0.25">
      <c r="A83" s="101"/>
      <c r="B83" s="14"/>
      <c r="C83" s="14"/>
      <c r="D83" s="14"/>
      <c r="E83" s="14"/>
      <c r="F83" s="14"/>
      <c r="G83" s="14"/>
      <c r="H83" s="97"/>
      <c r="I83" s="97"/>
      <c r="J83" s="48"/>
      <c r="K83" s="49"/>
      <c r="L83" s="14"/>
      <c r="M83" s="105"/>
      <c r="N83" s="105"/>
      <c r="O83" s="105"/>
      <c r="P83" s="90"/>
      <c r="Q83" s="16"/>
      <c r="R83" s="14"/>
      <c r="S83" s="14"/>
      <c r="T83" s="14"/>
      <c r="U83" s="14"/>
      <c r="V83" s="50"/>
      <c r="W83" s="97"/>
      <c r="X83" s="117"/>
      <c r="Y83" s="97"/>
      <c r="Z83" s="97"/>
      <c r="AA83" s="97"/>
      <c r="AB83" s="99"/>
      <c r="AC83" s="1"/>
      <c r="AD83" s="1"/>
      <c r="AE83" s="1"/>
    </row>
    <row r="84" spans="1:31" x14ac:dyDescent="0.25">
      <c r="A84" s="101"/>
      <c r="B84" s="14"/>
      <c r="C84" s="14"/>
      <c r="D84" s="14"/>
      <c r="E84" s="14"/>
      <c r="F84" s="14"/>
      <c r="G84" s="14"/>
      <c r="H84" s="97"/>
      <c r="I84" s="97"/>
      <c r="J84" s="21"/>
      <c r="K84" s="12"/>
      <c r="L84" s="14"/>
      <c r="M84" s="105"/>
      <c r="N84" s="105"/>
      <c r="O84" s="105"/>
      <c r="P84" s="90"/>
      <c r="Q84" s="16"/>
      <c r="R84" s="14"/>
      <c r="S84" s="14"/>
      <c r="T84" s="14"/>
      <c r="U84" s="14"/>
      <c r="V84" s="51"/>
      <c r="W84" s="97"/>
      <c r="X84" s="117"/>
      <c r="Y84" s="97"/>
      <c r="Z84" s="97"/>
      <c r="AA84" s="97"/>
      <c r="AB84" s="99"/>
      <c r="AC84" s="1"/>
      <c r="AD84" s="1"/>
      <c r="AE84" s="1"/>
    </row>
    <row r="85" spans="1:31" ht="15.75" thickBot="1" x14ac:dyDescent="0.3">
      <c r="A85" s="107"/>
      <c r="B85" s="17"/>
      <c r="C85" s="17"/>
      <c r="D85" s="17"/>
      <c r="E85" s="17"/>
      <c r="F85" s="17"/>
      <c r="G85" s="17"/>
      <c r="H85" s="98"/>
      <c r="I85" s="98"/>
      <c r="J85" s="52"/>
      <c r="K85" s="49"/>
      <c r="L85" s="17"/>
      <c r="M85" s="108"/>
      <c r="N85" s="108"/>
      <c r="O85" s="108"/>
      <c r="P85" s="109"/>
      <c r="Q85" s="18"/>
      <c r="R85" s="17"/>
      <c r="S85" s="17"/>
      <c r="T85" s="17"/>
      <c r="U85" s="17"/>
      <c r="V85" s="53"/>
      <c r="W85" s="98"/>
      <c r="X85" s="118"/>
      <c r="Y85" s="98"/>
      <c r="Z85" s="98"/>
      <c r="AA85" s="98"/>
      <c r="AB85" s="99"/>
      <c r="AC85" s="1"/>
      <c r="AD85" s="1"/>
      <c r="AE85" s="1"/>
    </row>
    <row r="86" spans="1:31" x14ac:dyDescent="0.25">
      <c r="A86" s="100"/>
      <c r="B86" s="11"/>
      <c r="C86" s="11"/>
      <c r="D86" s="11"/>
      <c r="E86" s="11"/>
      <c r="F86" s="11"/>
      <c r="G86" s="11"/>
      <c r="H86" s="96"/>
      <c r="I86" s="96"/>
      <c r="J86" s="37"/>
      <c r="K86" s="54"/>
      <c r="L86" s="11"/>
      <c r="M86" s="104"/>
      <c r="N86" s="104"/>
      <c r="O86" s="104"/>
      <c r="P86" s="89"/>
      <c r="Q86" s="13"/>
      <c r="R86" s="11"/>
      <c r="S86" s="11"/>
      <c r="T86" s="11"/>
      <c r="U86" s="11"/>
      <c r="V86" s="55"/>
      <c r="W86" s="96"/>
      <c r="X86" s="113"/>
      <c r="Y86" s="96"/>
      <c r="Z86" s="96"/>
      <c r="AA86" s="96"/>
      <c r="AB86" s="99"/>
      <c r="AC86" s="1"/>
      <c r="AD86" s="1"/>
      <c r="AE86" s="1"/>
    </row>
    <row r="87" spans="1:31" x14ac:dyDescent="0.25">
      <c r="A87" s="101"/>
      <c r="B87" s="14"/>
      <c r="C87" s="14"/>
      <c r="D87" s="14"/>
      <c r="E87" s="14"/>
      <c r="F87" s="14"/>
      <c r="G87" s="14"/>
      <c r="H87" s="97"/>
      <c r="I87" s="97"/>
      <c r="J87" s="56"/>
      <c r="K87" s="32"/>
      <c r="L87" s="14"/>
      <c r="M87" s="105"/>
      <c r="N87" s="105"/>
      <c r="O87" s="105"/>
      <c r="P87" s="90"/>
      <c r="Q87" s="16"/>
      <c r="R87" s="14"/>
      <c r="S87" s="14"/>
      <c r="T87" s="14"/>
      <c r="U87" s="14"/>
      <c r="V87" s="57"/>
      <c r="W87" s="97"/>
      <c r="X87" s="114"/>
      <c r="Y87" s="97"/>
      <c r="Z87" s="97"/>
      <c r="AA87" s="97"/>
      <c r="AB87" s="99"/>
      <c r="AC87" s="1"/>
      <c r="AD87" s="1"/>
      <c r="AE87" s="1"/>
    </row>
    <row r="88" spans="1:31" x14ac:dyDescent="0.25">
      <c r="A88" s="101"/>
      <c r="B88" s="14"/>
      <c r="C88" s="14"/>
      <c r="D88" s="14"/>
      <c r="E88" s="14"/>
      <c r="F88" s="14"/>
      <c r="G88" s="14"/>
      <c r="H88" s="97"/>
      <c r="I88" s="97"/>
      <c r="J88" s="58"/>
      <c r="K88" s="59"/>
      <c r="L88" s="14"/>
      <c r="M88" s="105"/>
      <c r="N88" s="105"/>
      <c r="O88" s="105"/>
      <c r="P88" s="90"/>
      <c r="Q88" s="16"/>
      <c r="R88" s="14"/>
      <c r="S88" s="14"/>
      <c r="T88" s="14"/>
      <c r="U88" s="14"/>
      <c r="V88" s="60"/>
      <c r="W88" s="97"/>
      <c r="X88" s="114"/>
      <c r="Y88" s="97"/>
      <c r="Z88" s="97"/>
      <c r="AA88" s="97"/>
      <c r="AB88" s="99"/>
      <c r="AC88" s="1"/>
      <c r="AD88" s="1"/>
      <c r="AE88" s="1"/>
    </row>
    <row r="89" spans="1:31" ht="15.75" thickBot="1" x14ac:dyDescent="0.3">
      <c r="A89" s="107"/>
      <c r="B89" s="17"/>
      <c r="C89" s="17"/>
      <c r="D89" s="17"/>
      <c r="E89" s="17"/>
      <c r="F89" s="17"/>
      <c r="G89" s="17"/>
      <c r="H89" s="98"/>
      <c r="I89" s="98"/>
      <c r="J89" s="61"/>
      <c r="K89" s="25"/>
      <c r="L89" s="17"/>
      <c r="M89" s="108"/>
      <c r="N89" s="108"/>
      <c r="O89" s="108"/>
      <c r="P89" s="109"/>
      <c r="Q89" s="18"/>
      <c r="R89" s="17"/>
      <c r="S89" s="17"/>
      <c r="T89" s="17"/>
      <c r="U89" s="17"/>
      <c r="V89" s="62"/>
      <c r="W89" s="98"/>
      <c r="X89" s="115"/>
      <c r="Y89" s="98"/>
      <c r="Z89" s="98"/>
      <c r="AA89" s="98"/>
      <c r="AB89" s="99"/>
      <c r="AC89" s="1"/>
      <c r="AD89" s="1"/>
      <c r="AE89" s="1"/>
    </row>
    <row r="90" spans="1:31" x14ac:dyDescent="0.25">
      <c r="A90" s="100"/>
      <c r="B90" s="11"/>
      <c r="C90" s="11"/>
      <c r="D90" s="11"/>
      <c r="E90" s="11"/>
      <c r="F90" s="11"/>
      <c r="G90" s="11"/>
      <c r="H90" s="96"/>
      <c r="I90" s="96"/>
      <c r="J90" s="63"/>
      <c r="K90" s="64"/>
      <c r="L90" s="11"/>
      <c r="M90" s="104"/>
      <c r="N90" s="104"/>
      <c r="O90" s="104"/>
      <c r="P90" s="89"/>
      <c r="Q90" s="13"/>
      <c r="R90" s="11"/>
      <c r="S90" s="11"/>
      <c r="T90" s="11"/>
      <c r="U90" s="11"/>
      <c r="V90" s="35"/>
      <c r="W90" s="96"/>
      <c r="X90" s="110"/>
      <c r="Y90" s="96"/>
      <c r="Z90" s="96"/>
      <c r="AA90" s="96"/>
      <c r="AB90" s="99"/>
      <c r="AC90" s="1"/>
      <c r="AD90" s="1"/>
      <c r="AE90" s="1"/>
    </row>
    <row r="91" spans="1:31" x14ac:dyDescent="0.25">
      <c r="A91" s="101"/>
      <c r="B91" s="14"/>
      <c r="C91" s="14"/>
      <c r="D91" s="14"/>
      <c r="E91" s="14"/>
      <c r="F91" s="14"/>
      <c r="G91" s="14"/>
      <c r="H91" s="97"/>
      <c r="I91" s="97"/>
      <c r="J91" s="65"/>
      <c r="K91" s="23"/>
      <c r="L91" s="14"/>
      <c r="M91" s="105"/>
      <c r="N91" s="105"/>
      <c r="O91" s="105"/>
      <c r="P91" s="90"/>
      <c r="Q91" s="16"/>
      <c r="R91" s="14"/>
      <c r="S91" s="14"/>
      <c r="T91" s="14"/>
      <c r="U91" s="14"/>
      <c r="V91" s="66"/>
      <c r="W91" s="97"/>
      <c r="X91" s="111"/>
      <c r="Y91" s="97"/>
      <c r="Z91" s="97"/>
      <c r="AA91" s="97"/>
      <c r="AB91" s="99"/>
      <c r="AC91" s="1"/>
      <c r="AD91" s="1"/>
      <c r="AE91" s="1"/>
    </row>
    <row r="92" spans="1:31" x14ac:dyDescent="0.25">
      <c r="A92" s="101"/>
      <c r="B92" s="14"/>
      <c r="C92" s="14"/>
      <c r="D92" s="14"/>
      <c r="E92" s="14"/>
      <c r="F92" s="14"/>
      <c r="G92" s="14"/>
      <c r="H92" s="97"/>
      <c r="I92" s="97"/>
      <c r="J92" s="67"/>
      <c r="K92" s="28"/>
      <c r="L92" s="14"/>
      <c r="M92" s="105"/>
      <c r="N92" s="105"/>
      <c r="O92" s="105"/>
      <c r="P92" s="90"/>
      <c r="Q92" s="16"/>
      <c r="R92" s="14"/>
      <c r="S92" s="14"/>
      <c r="T92" s="14"/>
      <c r="U92" s="14"/>
      <c r="V92" s="68"/>
      <c r="W92" s="97"/>
      <c r="X92" s="111"/>
      <c r="Y92" s="97"/>
      <c r="Z92" s="97"/>
      <c r="AA92" s="97"/>
      <c r="AB92" s="99"/>
      <c r="AC92" s="1"/>
      <c r="AD92" s="1"/>
      <c r="AE92" s="1"/>
    </row>
    <row r="93" spans="1:31" ht="15.75" thickBot="1" x14ac:dyDescent="0.3">
      <c r="A93" s="107"/>
      <c r="B93" s="17"/>
      <c r="C93" s="17"/>
      <c r="D93" s="17"/>
      <c r="E93" s="17"/>
      <c r="F93" s="17"/>
      <c r="G93" s="17"/>
      <c r="H93" s="98"/>
      <c r="I93" s="98"/>
      <c r="J93" s="69"/>
      <c r="K93" s="19"/>
      <c r="L93" s="17"/>
      <c r="M93" s="108"/>
      <c r="N93" s="108"/>
      <c r="O93" s="108"/>
      <c r="P93" s="109"/>
      <c r="Q93" s="18"/>
      <c r="R93" s="17"/>
      <c r="S93" s="17"/>
      <c r="T93" s="17"/>
      <c r="U93" s="17"/>
      <c r="V93" s="70"/>
      <c r="W93" s="98"/>
      <c r="X93" s="112"/>
      <c r="Y93" s="98"/>
      <c r="Z93" s="98"/>
      <c r="AA93" s="98"/>
      <c r="AB93" s="99"/>
      <c r="AC93" s="1"/>
      <c r="AD93" s="1"/>
      <c r="AE93" s="1"/>
    </row>
    <row r="94" spans="1:31" x14ac:dyDescent="0.25">
      <c r="A94" s="100"/>
      <c r="B94" s="11"/>
      <c r="C94" s="11"/>
      <c r="D94" s="11"/>
      <c r="E94" s="11"/>
      <c r="F94" s="11"/>
      <c r="G94" s="11"/>
      <c r="H94" s="96"/>
      <c r="I94" s="96"/>
      <c r="J94" s="71"/>
      <c r="K94" s="72"/>
      <c r="L94" s="11"/>
      <c r="M94" s="104"/>
      <c r="N94" s="104"/>
      <c r="O94" s="104"/>
      <c r="P94" s="89"/>
      <c r="Q94" s="13"/>
      <c r="R94" s="11"/>
      <c r="S94" s="11"/>
      <c r="T94" s="11"/>
      <c r="U94" s="11"/>
      <c r="V94" s="73"/>
      <c r="W94" s="92"/>
      <c r="X94" s="94"/>
      <c r="Y94" s="96"/>
      <c r="Z94" s="96"/>
      <c r="AA94" s="96"/>
      <c r="AB94" s="99"/>
      <c r="AC94" s="1"/>
      <c r="AD94" s="1"/>
      <c r="AE94" s="1"/>
    </row>
    <row r="95" spans="1:31" x14ac:dyDescent="0.25">
      <c r="A95" s="101"/>
      <c r="B95" s="14"/>
      <c r="C95" s="14"/>
      <c r="D95" s="14"/>
      <c r="E95" s="14"/>
      <c r="F95" s="14"/>
      <c r="G95" s="14"/>
      <c r="H95" s="97"/>
      <c r="I95" s="97"/>
      <c r="J95" s="74"/>
      <c r="K95" s="75"/>
      <c r="L95" s="14"/>
      <c r="M95" s="105"/>
      <c r="N95" s="105"/>
      <c r="O95" s="105"/>
      <c r="P95" s="90"/>
      <c r="Q95" s="16"/>
      <c r="R95" s="14"/>
      <c r="S95" s="14"/>
      <c r="T95" s="14"/>
      <c r="U95" s="14"/>
      <c r="V95" s="76"/>
      <c r="W95" s="93"/>
      <c r="X95" s="95"/>
      <c r="Y95" s="97"/>
      <c r="Z95" s="97"/>
      <c r="AA95" s="97"/>
      <c r="AB95" s="99"/>
      <c r="AC95" s="1"/>
      <c r="AD95" s="1"/>
      <c r="AE95" s="1"/>
    </row>
    <row r="96" spans="1:31" x14ac:dyDescent="0.25">
      <c r="A96" s="101"/>
      <c r="B96" s="14"/>
      <c r="C96" s="14"/>
      <c r="D96" s="14"/>
      <c r="E96" s="14"/>
      <c r="F96" s="14"/>
      <c r="G96" s="14"/>
      <c r="H96" s="97"/>
      <c r="I96" s="97"/>
      <c r="J96" s="77"/>
      <c r="K96" s="78"/>
      <c r="L96" s="14"/>
      <c r="M96" s="105"/>
      <c r="N96" s="105"/>
      <c r="O96" s="105"/>
      <c r="P96" s="90"/>
      <c r="Q96" s="16"/>
      <c r="R96" s="14"/>
      <c r="S96" s="14"/>
      <c r="T96" s="14"/>
      <c r="U96" s="14"/>
      <c r="V96" s="79"/>
      <c r="W96" s="93"/>
      <c r="X96" s="95"/>
      <c r="Y96" s="97"/>
      <c r="Z96" s="97"/>
      <c r="AA96" s="97"/>
      <c r="AB96" s="99"/>
      <c r="AC96" s="1"/>
      <c r="AD96" s="1"/>
      <c r="AE96" s="1"/>
    </row>
    <row r="97" spans="1:31" ht="15.75" thickBot="1" x14ac:dyDescent="0.3">
      <c r="A97" s="102"/>
      <c r="B97" s="17"/>
      <c r="C97" s="17"/>
      <c r="D97" s="17"/>
      <c r="E97" s="17"/>
      <c r="F97" s="17"/>
      <c r="G97" s="17"/>
      <c r="H97" s="103"/>
      <c r="I97" s="103"/>
      <c r="J97" s="80"/>
      <c r="K97" s="81"/>
      <c r="L97" s="17"/>
      <c r="M97" s="106"/>
      <c r="N97" s="106"/>
      <c r="O97" s="106"/>
      <c r="P97" s="91"/>
      <c r="Q97" s="18"/>
      <c r="R97" s="17"/>
      <c r="S97" s="17"/>
      <c r="T97" s="17"/>
      <c r="U97" s="17"/>
      <c r="V97" s="82"/>
      <c r="W97" s="93"/>
      <c r="X97" s="95"/>
      <c r="Y97" s="97"/>
      <c r="Z97" s="97"/>
      <c r="AA97" s="97"/>
      <c r="AB97" s="99"/>
      <c r="AC97" s="1"/>
      <c r="AD97" s="1"/>
      <c r="AE97" s="1"/>
    </row>
    <row r="98" spans="1:31" x14ac:dyDescent="0.25">
      <c r="A98" s="1"/>
      <c r="B98" s="1"/>
      <c r="C98" s="88"/>
      <c r="D98" s="8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5">
      <c r="A99" s="1"/>
      <c r="B99" s="1"/>
      <c r="C99" s="87"/>
      <c r="D99" s="8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5">
      <c r="A100" s="1"/>
      <c r="B100" s="1"/>
      <c r="C100" s="87"/>
      <c r="D100" s="8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5">
      <c r="A101" s="1"/>
      <c r="B101" s="1"/>
      <c r="C101" s="87"/>
      <c r="D101" s="8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25">
      <c r="A102" s="1"/>
      <c r="B102" s="1"/>
      <c r="C102" s="87"/>
      <c r="D102" s="8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25">
      <c r="A103" s="1"/>
      <c r="B103" s="1"/>
      <c r="C103" s="87"/>
      <c r="D103" s="8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25">
      <c r="A104" s="1"/>
      <c r="B104" s="1"/>
      <c r="C104" s="87"/>
      <c r="D104" s="8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25">
      <c r="A105" s="1"/>
      <c r="B105" s="1"/>
      <c r="C105" s="87"/>
      <c r="D105" s="8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25">
      <c r="A106" s="1"/>
      <c r="B106" s="1"/>
      <c r="C106" s="87"/>
      <c r="D106" s="8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s="1"/>
      <c r="B107" s="1"/>
      <c r="C107" s="87"/>
      <c r="D107" s="8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25">
      <c r="A108" s="1"/>
      <c r="B108" s="1"/>
      <c r="C108" s="87"/>
      <c r="D108" s="8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x14ac:dyDescent="0.25">
      <c r="A109" s="1"/>
      <c r="B109" s="1"/>
      <c r="C109" s="87"/>
      <c r="D109" s="8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25">
      <c r="A110" s="1"/>
      <c r="B110" s="1"/>
      <c r="C110" s="87"/>
      <c r="D110" s="8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x14ac:dyDescent="0.25">
      <c r="A111" s="1"/>
      <c r="B111" s="1"/>
      <c r="C111" s="87"/>
      <c r="D111" s="8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x14ac:dyDescent="0.25">
      <c r="A112" s="1"/>
      <c r="B112" s="1"/>
      <c r="C112" s="87"/>
      <c r="D112" s="8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x14ac:dyDescent="0.25">
      <c r="A113" s="1"/>
      <c r="B113" s="1"/>
      <c r="C113" s="87"/>
      <c r="D113" s="8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</sheetData>
  <mergeCells count="302">
    <mergeCell ref="X2:X5"/>
    <mergeCell ref="Y2:Y5"/>
    <mergeCell ref="Z2:Z5"/>
    <mergeCell ref="AB2:AB5"/>
    <mergeCell ref="AD2:AD3"/>
    <mergeCell ref="AE2:AE3"/>
    <mergeCell ref="AD4:AD5"/>
    <mergeCell ref="AE4:AE5"/>
    <mergeCell ref="A2:A5"/>
    <mergeCell ref="M2:M5"/>
    <mergeCell ref="N2:N5"/>
    <mergeCell ref="O2:O5"/>
    <mergeCell ref="P2:P5"/>
    <mergeCell ref="W2:W5"/>
    <mergeCell ref="X6:X9"/>
    <mergeCell ref="Y6:Y9"/>
    <mergeCell ref="Z6:Z9"/>
    <mergeCell ref="AB6:AB9"/>
    <mergeCell ref="AD6:AD7"/>
    <mergeCell ref="AE6:AE7"/>
    <mergeCell ref="AD8:AD9"/>
    <mergeCell ref="AE8:AE9"/>
    <mergeCell ref="A6:A9"/>
    <mergeCell ref="M6:M9"/>
    <mergeCell ref="N6:N9"/>
    <mergeCell ref="O6:O9"/>
    <mergeCell ref="P6:P9"/>
    <mergeCell ref="W6:W9"/>
    <mergeCell ref="X10:X13"/>
    <mergeCell ref="Y10:Y13"/>
    <mergeCell ref="Z10:Z13"/>
    <mergeCell ref="AB10:AB13"/>
    <mergeCell ref="AD10:AD11"/>
    <mergeCell ref="AE10:AE11"/>
    <mergeCell ref="AD12:AD13"/>
    <mergeCell ref="AE12:AE13"/>
    <mergeCell ref="A10:A13"/>
    <mergeCell ref="M10:M13"/>
    <mergeCell ref="N10:N13"/>
    <mergeCell ref="O10:O13"/>
    <mergeCell ref="P10:P13"/>
    <mergeCell ref="W10:W13"/>
    <mergeCell ref="X14:X17"/>
    <mergeCell ref="Y14:Y17"/>
    <mergeCell ref="Z14:Z17"/>
    <mergeCell ref="AB14:AB17"/>
    <mergeCell ref="AD14:AD15"/>
    <mergeCell ref="AE14:AE15"/>
    <mergeCell ref="AD16:AD17"/>
    <mergeCell ref="AE16:AE17"/>
    <mergeCell ref="A14:A17"/>
    <mergeCell ref="M14:M17"/>
    <mergeCell ref="N14:N17"/>
    <mergeCell ref="O14:O17"/>
    <mergeCell ref="P14:P17"/>
    <mergeCell ref="W14:W17"/>
    <mergeCell ref="X18:X21"/>
    <mergeCell ref="Y18:Y21"/>
    <mergeCell ref="Z18:Z21"/>
    <mergeCell ref="AB18:AB21"/>
    <mergeCell ref="AD18:AD19"/>
    <mergeCell ref="AE18:AE19"/>
    <mergeCell ref="AD20:AD21"/>
    <mergeCell ref="AE20:AE21"/>
    <mergeCell ref="A18:A21"/>
    <mergeCell ref="M18:M21"/>
    <mergeCell ref="N18:N21"/>
    <mergeCell ref="O18:O21"/>
    <mergeCell ref="P18:P21"/>
    <mergeCell ref="W18:W21"/>
    <mergeCell ref="X22:X25"/>
    <mergeCell ref="Y22:Y25"/>
    <mergeCell ref="Z22:Z25"/>
    <mergeCell ref="AB22:AB25"/>
    <mergeCell ref="AD22:AD23"/>
    <mergeCell ref="AE22:AE23"/>
    <mergeCell ref="AD24:AD25"/>
    <mergeCell ref="AE24:AE25"/>
    <mergeCell ref="A22:A25"/>
    <mergeCell ref="M22:M25"/>
    <mergeCell ref="N22:N25"/>
    <mergeCell ref="O22:O25"/>
    <mergeCell ref="P22:P25"/>
    <mergeCell ref="W22:W25"/>
    <mergeCell ref="X26:X29"/>
    <mergeCell ref="Y26:Y29"/>
    <mergeCell ref="Z26:Z29"/>
    <mergeCell ref="AB26:AB29"/>
    <mergeCell ref="AD26:AD27"/>
    <mergeCell ref="AE26:AE27"/>
    <mergeCell ref="AD28:AD29"/>
    <mergeCell ref="AE28:AE29"/>
    <mergeCell ref="A26:A29"/>
    <mergeCell ref="M26:M29"/>
    <mergeCell ref="N26:N29"/>
    <mergeCell ref="O26:O29"/>
    <mergeCell ref="P26:P29"/>
    <mergeCell ref="W26:W29"/>
    <mergeCell ref="X30:X33"/>
    <mergeCell ref="Y30:Y33"/>
    <mergeCell ref="Z30:Z33"/>
    <mergeCell ref="AB30:AB33"/>
    <mergeCell ref="A34:A37"/>
    <mergeCell ref="M34:M37"/>
    <mergeCell ref="N34:N37"/>
    <mergeCell ref="O34:O37"/>
    <mergeCell ref="P34:P37"/>
    <mergeCell ref="W34:W37"/>
    <mergeCell ref="A30:A33"/>
    <mergeCell ref="M30:M33"/>
    <mergeCell ref="N30:N33"/>
    <mergeCell ref="O30:O33"/>
    <mergeCell ref="P30:P33"/>
    <mergeCell ref="W30:W33"/>
    <mergeCell ref="X34:X37"/>
    <mergeCell ref="Y34:Y37"/>
    <mergeCell ref="Z34:Z37"/>
    <mergeCell ref="AB34:AB37"/>
    <mergeCell ref="AB38:AB41"/>
    <mergeCell ref="A42:A45"/>
    <mergeCell ref="M42:M45"/>
    <mergeCell ref="N42:N45"/>
    <mergeCell ref="O42:O45"/>
    <mergeCell ref="P42:P45"/>
    <mergeCell ref="W42:W45"/>
    <mergeCell ref="X42:X45"/>
    <mergeCell ref="Y42:Y45"/>
    <mergeCell ref="Z42:Z45"/>
    <mergeCell ref="AB42:AB45"/>
    <mergeCell ref="A38:A41"/>
    <mergeCell ref="M38:M41"/>
    <mergeCell ref="N38:N41"/>
    <mergeCell ref="O38:O41"/>
    <mergeCell ref="P38:P41"/>
    <mergeCell ref="W38:W41"/>
    <mergeCell ref="X38:X41"/>
    <mergeCell ref="Y38:Y41"/>
    <mergeCell ref="Z38:Z41"/>
    <mergeCell ref="AB46:AB49"/>
    <mergeCell ref="A50:A53"/>
    <mergeCell ref="M50:M53"/>
    <mergeCell ref="N50:N53"/>
    <mergeCell ref="O50:O53"/>
    <mergeCell ref="P50:P53"/>
    <mergeCell ref="W50:W53"/>
    <mergeCell ref="X50:X53"/>
    <mergeCell ref="Y50:Y53"/>
    <mergeCell ref="Z50:Z53"/>
    <mergeCell ref="AB50:AB53"/>
    <mergeCell ref="A46:A49"/>
    <mergeCell ref="M46:M49"/>
    <mergeCell ref="N46:N49"/>
    <mergeCell ref="O46:O49"/>
    <mergeCell ref="P46:P49"/>
    <mergeCell ref="W46:W49"/>
    <mergeCell ref="X46:X49"/>
    <mergeCell ref="Y46:Y49"/>
    <mergeCell ref="Z46:Z49"/>
    <mergeCell ref="AB54:AB57"/>
    <mergeCell ref="A58:A61"/>
    <mergeCell ref="M58:M61"/>
    <mergeCell ref="N58:N61"/>
    <mergeCell ref="O58:O61"/>
    <mergeCell ref="P58:P61"/>
    <mergeCell ref="W58:W61"/>
    <mergeCell ref="X58:X61"/>
    <mergeCell ref="Y58:Y61"/>
    <mergeCell ref="Z58:Z61"/>
    <mergeCell ref="AB58:AB61"/>
    <mergeCell ref="A54:A57"/>
    <mergeCell ref="M54:M57"/>
    <mergeCell ref="N54:N57"/>
    <mergeCell ref="O54:O57"/>
    <mergeCell ref="P54:P57"/>
    <mergeCell ref="W54:W57"/>
    <mergeCell ref="X54:X57"/>
    <mergeCell ref="Y54:Y57"/>
    <mergeCell ref="Z54:Z57"/>
    <mergeCell ref="AB62:AB65"/>
    <mergeCell ref="A66:A69"/>
    <mergeCell ref="M66:M69"/>
    <mergeCell ref="N66:N69"/>
    <mergeCell ref="O66:O69"/>
    <mergeCell ref="P66:P69"/>
    <mergeCell ref="W66:W69"/>
    <mergeCell ref="X66:X69"/>
    <mergeCell ref="Y66:Y69"/>
    <mergeCell ref="Z66:Z69"/>
    <mergeCell ref="AB66:AB69"/>
    <mergeCell ref="A62:A65"/>
    <mergeCell ref="M62:M65"/>
    <mergeCell ref="N62:N65"/>
    <mergeCell ref="O62:O65"/>
    <mergeCell ref="P62:P65"/>
    <mergeCell ref="W62:W65"/>
    <mergeCell ref="X62:X65"/>
    <mergeCell ref="Y62:Y65"/>
    <mergeCell ref="Z62:Z65"/>
    <mergeCell ref="A70:A73"/>
    <mergeCell ref="M70:M73"/>
    <mergeCell ref="N70:N73"/>
    <mergeCell ref="O70:O73"/>
    <mergeCell ref="P70:P73"/>
    <mergeCell ref="W70:W73"/>
    <mergeCell ref="X70:X73"/>
    <mergeCell ref="Y70:Y73"/>
    <mergeCell ref="Z70:Z73"/>
    <mergeCell ref="AB70:AB73"/>
    <mergeCell ref="A74:A77"/>
    <mergeCell ref="H74:H77"/>
    <mergeCell ref="I74:I77"/>
    <mergeCell ref="M74:M77"/>
    <mergeCell ref="N74:N77"/>
    <mergeCell ref="O74:O77"/>
    <mergeCell ref="AB74:AB77"/>
    <mergeCell ref="A78:A81"/>
    <mergeCell ref="H78:H81"/>
    <mergeCell ref="I78:I81"/>
    <mergeCell ref="M78:M81"/>
    <mergeCell ref="N78:N81"/>
    <mergeCell ref="O78:O81"/>
    <mergeCell ref="P78:P81"/>
    <mergeCell ref="W78:W81"/>
    <mergeCell ref="X78:X81"/>
    <mergeCell ref="P74:P77"/>
    <mergeCell ref="W74:W77"/>
    <mergeCell ref="X74:X77"/>
    <mergeCell ref="Y74:Y77"/>
    <mergeCell ref="Z74:Z77"/>
    <mergeCell ref="AA74:AA77"/>
    <mergeCell ref="Y78:Y81"/>
    <mergeCell ref="Z78:Z81"/>
    <mergeCell ref="AA78:AA81"/>
    <mergeCell ref="AB78:AB81"/>
    <mergeCell ref="A82:A85"/>
    <mergeCell ref="H82:H85"/>
    <mergeCell ref="I82:I85"/>
    <mergeCell ref="M82:M85"/>
    <mergeCell ref="N82:N85"/>
    <mergeCell ref="O82:O85"/>
    <mergeCell ref="AB82:AB85"/>
    <mergeCell ref="P82:P85"/>
    <mergeCell ref="W82:W85"/>
    <mergeCell ref="X82:X85"/>
    <mergeCell ref="Y82:Y85"/>
    <mergeCell ref="Z82:Z85"/>
    <mergeCell ref="AA82:AA85"/>
    <mergeCell ref="Y86:Y89"/>
    <mergeCell ref="Z86:Z89"/>
    <mergeCell ref="AA86:AA89"/>
    <mergeCell ref="AB86:AB89"/>
    <mergeCell ref="A90:A93"/>
    <mergeCell ref="H90:H93"/>
    <mergeCell ref="I90:I93"/>
    <mergeCell ref="M90:M93"/>
    <mergeCell ref="N90:N93"/>
    <mergeCell ref="O90:O93"/>
    <mergeCell ref="A86:A89"/>
    <mergeCell ref="H86:H89"/>
    <mergeCell ref="I86:I89"/>
    <mergeCell ref="M86:M89"/>
    <mergeCell ref="N86:N89"/>
    <mergeCell ref="O86:O89"/>
    <mergeCell ref="P86:P89"/>
    <mergeCell ref="W86:W89"/>
    <mergeCell ref="X86:X89"/>
    <mergeCell ref="Y94:Y97"/>
    <mergeCell ref="Z94:Z97"/>
    <mergeCell ref="AA94:AA97"/>
    <mergeCell ref="AB94:AB97"/>
    <mergeCell ref="C98:D98"/>
    <mergeCell ref="C99:D99"/>
    <mergeCell ref="AB90:AB93"/>
    <mergeCell ref="A94:A97"/>
    <mergeCell ref="H94:H97"/>
    <mergeCell ref="I94:I97"/>
    <mergeCell ref="M94:M97"/>
    <mergeCell ref="N94:N97"/>
    <mergeCell ref="O94:O97"/>
    <mergeCell ref="P94:P97"/>
    <mergeCell ref="W94:W97"/>
    <mergeCell ref="X94:X97"/>
    <mergeCell ref="P90:P93"/>
    <mergeCell ref="W90:W93"/>
    <mergeCell ref="X90:X93"/>
    <mergeCell ref="Y90:Y93"/>
    <mergeCell ref="Z90:Z93"/>
    <mergeCell ref="AA90:AA93"/>
    <mergeCell ref="C112:D112"/>
    <mergeCell ref="C113:D113"/>
    <mergeCell ref="C106:D106"/>
    <mergeCell ref="C107:D107"/>
    <mergeCell ref="C108:D108"/>
    <mergeCell ref="C109:D109"/>
    <mergeCell ref="C110:D110"/>
    <mergeCell ref="C111:D111"/>
    <mergeCell ref="C100:D100"/>
    <mergeCell ref="C101:D101"/>
    <mergeCell ref="C102:D102"/>
    <mergeCell ref="C103:D103"/>
    <mergeCell ref="C104:D104"/>
    <mergeCell ref="C105:D10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56F4-A8C6-4272-867C-8EE92B5B1F70}">
  <dimension ref="A1:AN113"/>
  <sheetViews>
    <sheetView topLeftCell="Q1" workbookViewId="0">
      <selection activeCell="AG6" sqref="AG6:AN8"/>
    </sheetView>
  </sheetViews>
  <sheetFormatPr defaultRowHeight="15" x14ac:dyDescent="0.25"/>
  <cols>
    <col min="5" max="5" width="49.42578125" customWidth="1"/>
    <col min="8" max="8" width="14" customWidth="1"/>
    <col min="9" max="9" width="18.28515625" customWidth="1"/>
    <col min="13" max="13" width="17.28515625" customWidth="1"/>
    <col min="17" max="17" width="36.28515625" customWidth="1"/>
    <col min="30" max="30" width="16.42578125" customWidth="1"/>
  </cols>
  <sheetData>
    <row r="1" spans="1:40" ht="15.75" thickBot="1" x14ac:dyDescent="0.3">
      <c r="A1" s="1"/>
      <c r="B1" s="4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6" t="s">
        <v>428</v>
      </c>
      <c r="I1" s="6" t="s">
        <v>429</v>
      </c>
      <c r="J1" s="7" t="s">
        <v>430</v>
      </c>
      <c r="K1" s="7" t="s">
        <v>431</v>
      </c>
      <c r="L1" s="8" t="s">
        <v>432</v>
      </c>
      <c r="M1" s="8" t="s">
        <v>433</v>
      </c>
      <c r="N1" s="4" t="s">
        <v>434</v>
      </c>
      <c r="O1" s="5"/>
      <c r="P1" s="5" t="s">
        <v>435</v>
      </c>
      <c r="Q1" s="5" t="s">
        <v>63</v>
      </c>
      <c r="R1" s="5" t="s">
        <v>64</v>
      </c>
      <c r="S1" s="5" t="s">
        <v>65</v>
      </c>
      <c r="T1" s="5" t="s">
        <v>66</v>
      </c>
      <c r="U1" s="5" t="s">
        <v>67</v>
      </c>
      <c r="V1" s="7" t="s">
        <v>68</v>
      </c>
      <c r="W1" s="5" t="s">
        <v>436</v>
      </c>
      <c r="X1" s="8" t="s">
        <v>437</v>
      </c>
      <c r="Y1" s="9" t="s">
        <v>438</v>
      </c>
      <c r="Z1" s="9" t="s">
        <v>439</v>
      </c>
      <c r="AA1" s="10" t="s">
        <v>440</v>
      </c>
      <c r="AB1" s="1"/>
      <c r="AC1" s="9" t="s">
        <v>441</v>
      </c>
      <c r="AD1" s="1"/>
      <c r="AE1" s="1"/>
    </row>
    <row r="2" spans="1:40" x14ac:dyDescent="0.25">
      <c r="A2" s="100"/>
      <c r="B2" s="9">
        <v>337</v>
      </c>
      <c r="C2" s="9" t="s">
        <v>386</v>
      </c>
      <c r="D2" s="9" t="s">
        <v>103</v>
      </c>
      <c r="E2" s="9" t="s">
        <v>104</v>
      </c>
      <c r="F2" s="9" t="s">
        <v>332</v>
      </c>
      <c r="G2" s="9" t="s">
        <v>106</v>
      </c>
      <c r="H2" s="9"/>
      <c r="I2" s="9"/>
      <c r="J2" s="9">
        <v>23.096</v>
      </c>
      <c r="K2" s="9">
        <v>18.398</v>
      </c>
      <c r="L2" s="11"/>
      <c r="M2" s="104">
        <f>AVERAGE(J2:J5)</f>
        <v>23.071750000000002</v>
      </c>
      <c r="N2" s="104">
        <f>AVERAGE(K2:K5)</f>
        <v>18.297750000000001</v>
      </c>
      <c r="O2" s="104"/>
      <c r="P2" s="89">
        <f>GEOMEAN(M2,N2)</f>
        <v>20.546559652713153</v>
      </c>
      <c r="Q2" s="1" t="s">
        <v>104</v>
      </c>
      <c r="R2" s="1" t="s">
        <v>191</v>
      </c>
      <c r="S2" s="1" t="s">
        <v>106</v>
      </c>
      <c r="T2" s="1" t="s">
        <v>107</v>
      </c>
      <c r="U2" s="1" t="s">
        <v>108</v>
      </c>
      <c r="V2" s="1">
        <v>22.907</v>
      </c>
      <c r="W2" s="96">
        <f>_xlfn.STDEV.S(V2:V5)</f>
        <v>3.7202150475475669E-2</v>
      </c>
      <c r="X2" s="128">
        <f>AVERAGE(V2:V5)</f>
        <v>22.951000000000001</v>
      </c>
      <c r="Y2" s="96">
        <f>X2-P2</f>
        <v>2.4044403472868474</v>
      </c>
      <c r="Z2" s="96">
        <f>Y2-$AE$2</f>
        <v>-2.3207461957271747E-2</v>
      </c>
      <c r="AA2" s="84">
        <f>2^-Z2</f>
        <v>1.0162162660839904</v>
      </c>
      <c r="AB2" s="150"/>
      <c r="AC2" s="1">
        <f>LOG(AA2,2)</f>
        <v>2.3207461957271625E-2</v>
      </c>
      <c r="AD2" s="153" t="s">
        <v>442</v>
      </c>
      <c r="AE2" s="155">
        <f>AVERAGE(Y2,Y6)</f>
        <v>2.4276478092441192</v>
      </c>
      <c r="AG2">
        <f>AC2</f>
        <v>2.3207461957271625E-2</v>
      </c>
      <c r="AH2">
        <f>AC6</f>
        <v>-2.3207461957271549E-2</v>
      </c>
      <c r="AJ2">
        <f>AC26</f>
        <v>0.24257730835094918</v>
      </c>
      <c r="AK2">
        <f>AC30</f>
        <v>-0.24257730835094909</v>
      </c>
      <c r="AM2">
        <f>AC50</f>
        <v>0.11675920469739318</v>
      </c>
      <c r="AN2">
        <f>AC54</f>
        <v>-0.11675920469739326</v>
      </c>
    </row>
    <row r="3" spans="1:40" x14ac:dyDescent="0.25">
      <c r="A3" s="101"/>
      <c r="B3" s="1">
        <v>361</v>
      </c>
      <c r="C3" s="1" t="s">
        <v>398</v>
      </c>
      <c r="D3" s="1" t="s">
        <v>103</v>
      </c>
      <c r="E3" s="1" t="s">
        <v>104</v>
      </c>
      <c r="F3" s="1" t="s">
        <v>332</v>
      </c>
      <c r="G3" s="1" t="s">
        <v>106</v>
      </c>
      <c r="H3" s="1"/>
      <c r="I3" s="1"/>
      <c r="J3" s="1">
        <v>23.042999999999999</v>
      </c>
      <c r="K3" s="1">
        <v>18.263999999999999</v>
      </c>
      <c r="L3" s="14"/>
      <c r="M3" s="105"/>
      <c r="N3" s="105"/>
      <c r="O3" s="105"/>
      <c r="P3" s="90"/>
      <c r="Q3" s="1" t="s">
        <v>104</v>
      </c>
      <c r="R3" s="1" t="s">
        <v>191</v>
      </c>
      <c r="S3" s="1" t="s">
        <v>106</v>
      </c>
      <c r="T3" s="1" t="s">
        <v>107</v>
      </c>
      <c r="U3" s="1" t="s">
        <v>108</v>
      </c>
      <c r="V3" s="1">
        <v>22.937000000000001</v>
      </c>
      <c r="W3" s="97"/>
      <c r="X3" s="129"/>
      <c r="Y3" s="97"/>
      <c r="Z3" s="97"/>
      <c r="AA3" s="85"/>
      <c r="AB3" s="151"/>
      <c r="AC3" s="1"/>
      <c r="AD3" s="154"/>
      <c r="AE3" s="156"/>
      <c r="AG3">
        <f>AC10</f>
        <v>1.5890010310984461</v>
      </c>
      <c r="AH3">
        <f>AC14</f>
        <v>1.5190482747070266</v>
      </c>
      <c r="AJ3">
        <f>AC34</f>
        <v>1.989656977626556</v>
      </c>
      <c r="AK3">
        <f>AC38</f>
        <v>2.0222960963909813</v>
      </c>
      <c r="AM3">
        <f>AC58</f>
        <v>1.6420771201973157</v>
      </c>
      <c r="AN3">
        <f>AC62</f>
        <v>1.4050067887890823</v>
      </c>
    </row>
    <row r="4" spans="1:40" x14ac:dyDescent="0.25">
      <c r="A4" s="101"/>
      <c r="B4" s="1">
        <v>338</v>
      </c>
      <c r="C4" s="1" t="s">
        <v>387</v>
      </c>
      <c r="D4" s="1" t="s">
        <v>103</v>
      </c>
      <c r="E4" s="1" t="s">
        <v>104</v>
      </c>
      <c r="F4" s="1" t="s">
        <v>332</v>
      </c>
      <c r="G4" s="1" t="s">
        <v>106</v>
      </c>
      <c r="H4" s="1"/>
      <c r="I4" s="1"/>
      <c r="J4" s="1">
        <v>23.064</v>
      </c>
      <c r="K4" s="1">
        <v>18.318999999999999</v>
      </c>
      <c r="L4" s="14"/>
      <c r="M4" s="105"/>
      <c r="N4" s="105"/>
      <c r="O4" s="105"/>
      <c r="P4" s="90"/>
      <c r="Q4" s="1" t="s">
        <v>104</v>
      </c>
      <c r="R4" s="1" t="s">
        <v>191</v>
      </c>
      <c r="S4" s="1" t="s">
        <v>106</v>
      </c>
      <c r="T4" s="1" t="s">
        <v>107</v>
      </c>
      <c r="U4" s="1" t="s">
        <v>108</v>
      </c>
      <c r="V4" s="1">
        <v>22.992999999999999</v>
      </c>
      <c r="W4" s="97"/>
      <c r="X4" s="129"/>
      <c r="Y4" s="97"/>
      <c r="Z4" s="97"/>
      <c r="AA4" s="85"/>
      <c r="AB4" s="151"/>
      <c r="AC4" s="1"/>
      <c r="AD4" s="153" t="s">
        <v>443</v>
      </c>
      <c r="AE4" s="155">
        <f>AVERAGE(Y26,Y30)</f>
        <v>2.567835972136006</v>
      </c>
      <c r="AG4">
        <f>AC18</f>
        <v>0.18813968847727999</v>
      </c>
      <c r="AH4">
        <f>AC22</f>
        <v>0.28278331580334826</v>
      </c>
      <c r="AJ4">
        <f>AC42</f>
        <v>0.15348257176950844</v>
      </c>
      <c r="AK4">
        <f>AC46</f>
        <v>0.69171664378970743</v>
      </c>
      <c r="AM4">
        <f>AC66</f>
        <v>-0.19333875708726639</v>
      </c>
      <c r="AN4">
        <f>AC70</f>
        <v>-0.40931397249743812</v>
      </c>
    </row>
    <row r="5" spans="1:40" ht="15.75" thickBot="1" x14ac:dyDescent="0.3">
      <c r="A5" s="107"/>
      <c r="B5" s="83">
        <v>362</v>
      </c>
      <c r="C5" s="83" t="s">
        <v>399</v>
      </c>
      <c r="D5" s="83" t="s">
        <v>103</v>
      </c>
      <c r="E5" s="83" t="s">
        <v>104</v>
      </c>
      <c r="F5" s="83" t="s">
        <v>332</v>
      </c>
      <c r="G5" s="83" t="s">
        <v>106</v>
      </c>
      <c r="H5" s="83">
        <f>_xlfn.STDEV.S(K2:K5)</f>
        <v>8.0292693731538217E-2</v>
      </c>
      <c r="I5" s="83">
        <f>_xlfn.STDEV.S(J2:J5)</f>
        <v>2.3271943050234237E-2</v>
      </c>
      <c r="J5" s="83">
        <v>23.084</v>
      </c>
      <c r="K5" s="83">
        <v>18.21</v>
      </c>
      <c r="L5" s="17"/>
      <c r="M5" s="108"/>
      <c r="N5" s="108"/>
      <c r="O5" s="108"/>
      <c r="P5" s="109"/>
      <c r="Q5" s="1" t="s">
        <v>104</v>
      </c>
      <c r="R5" s="1" t="s">
        <v>191</v>
      </c>
      <c r="S5" s="1" t="s">
        <v>106</v>
      </c>
      <c r="T5" s="1" t="s">
        <v>107</v>
      </c>
      <c r="U5" s="1" t="s">
        <v>108</v>
      </c>
      <c r="V5" s="1">
        <v>22.966999999999999</v>
      </c>
      <c r="W5" s="98"/>
      <c r="X5" s="130"/>
      <c r="Y5" s="98"/>
      <c r="Z5" s="98"/>
      <c r="AA5" s="86"/>
      <c r="AB5" s="152"/>
      <c r="AC5" s="1"/>
      <c r="AD5" s="154"/>
      <c r="AE5" s="156"/>
      <c r="AF5">
        <v>75</v>
      </c>
      <c r="AI5">
        <v>100</v>
      </c>
      <c r="AL5">
        <v>150</v>
      </c>
    </row>
    <row r="6" spans="1:40" x14ac:dyDescent="0.25">
      <c r="A6" s="101"/>
      <c r="B6" s="9">
        <v>339</v>
      </c>
      <c r="C6" s="9" t="s">
        <v>388</v>
      </c>
      <c r="D6" s="9" t="s">
        <v>103</v>
      </c>
      <c r="E6" s="9" t="s">
        <v>114</v>
      </c>
      <c r="F6" s="9" t="s">
        <v>332</v>
      </c>
      <c r="G6" s="9" t="s">
        <v>106</v>
      </c>
      <c r="H6" s="9"/>
      <c r="I6" s="9"/>
      <c r="J6" s="9">
        <v>22.887</v>
      </c>
      <c r="K6" s="9">
        <v>18.141999999999999</v>
      </c>
      <c r="L6" s="11"/>
      <c r="M6" s="104">
        <f t="shared" ref="M6:N6" si="0">AVERAGE(J6:J9)</f>
        <v>22.817999999999998</v>
      </c>
      <c r="N6" s="104">
        <f t="shared" si="0"/>
        <v>18.093499999999999</v>
      </c>
      <c r="O6" s="104"/>
      <c r="P6" s="89">
        <f t="shared" ref="P6" si="1">GEOMEAN(M6,N6)</f>
        <v>20.318894728798611</v>
      </c>
      <c r="Q6" s="1" t="s">
        <v>114</v>
      </c>
      <c r="R6" s="1" t="s">
        <v>191</v>
      </c>
      <c r="S6" s="1" t="s">
        <v>106</v>
      </c>
      <c r="T6" s="1" t="s">
        <v>107</v>
      </c>
      <c r="U6" s="1" t="s">
        <v>108</v>
      </c>
      <c r="V6" s="1">
        <v>22.687000000000001</v>
      </c>
      <c r="W6" s="96">
        <f t="shared" ref="W6" si="2">_xlfn.STDEV.S(V6:V9)</f>
        <v>8.107352629969139E-2</v>
      </c>
      <c r="X6" s="128">
        <f t="shared" ref="X6" si="3">AVERAGE(V6:V9)</f>
        <v>22.769750000000002</v>
      </c>
      <c r="Y6" s="96">
        <f t="shared" ref="Y6" si="4">X6-P6</f>
        <v>2.4508552712013909</v>
      </c>
      <c r="Z6" s="96">
        <f t="shared" ref="Z6" si="5">Y6-$AE$2</f>
        <v>2.3207461957271747E-2</v>
      </c>
      <c r="AA6" s="84">
        <f t="shared" ref="AA6" si="6">2^-Z6</f>
        <v>0.98404250490254397</v>
      </c>
      <c r="AB6" s="157"/>
      <c r="AC6" s="1">
        <f t="shared" ref="AC6" si="7">LOG(AA6,2)</f>
        <v>-2.3207461957271549E-2</v>
      </c>
      <c r="AD6" s="153" t="s">
        <v>444</v>
      </c>
      <c r="AE6" s="159">
        <f>AVERAGE(Y50,Y54)</f>
        <v>2.1507152373277147</v>
      </c>
      <c r="AG6">
        <f>AM2</f>
        <v>0.11675920469739318</v>
      </c>
      <c r="AH6">
        <f>AN2</f>
        <v>-0.11675920469739326</v>
      </c>
      <c r="AJ6">
        <f>AG2</f>
        <v>2.3207461957271625E-2</v>
      </c>
      <c r="AK6">
        <f>AH2</f>
        <v>-2.3207461957271549E-2</v>
      </c>
      <c r="AM6">
        <f>AJ2</f>
        <v>0.24257730835094918</v>
      </c>
      <c r="AN6">
        <f>AK2</f>
        <v>-0.24257730835094909</v>
      </c>
    </row>
    <row r="7" spans="1:40" x14ac:dyDescent="0.25">
      <c r="A7" s="101"/>
      <c r="B7" s="1">
        <v>363</v>
      </c>
      <c r="C7" s="1" t="s">
        <v>400</v>
      </c>
      <c r="D7" s="1" t="s">
        <v>103</v>
      </c>
      <c r="E7" s="1" t="s">
        <v>114</v>
      </c>
      <c r="F7" s="1" t="s">
        <v>332</v>
      </c>
      <c r="G7" s="1" t="s">
        <v>106</v>
      </c>
      <c r="H7" s="1"/>
      <c r="I7" s="1"/>
      <c r="J7" s="1">
        <v>22.777999999999999</v>
      </c>
      <c r="K7" s="1">
        <v>18.074000000000002</v>
      </c>
      <c r="L7" s="14"/>
      <c r="M7" s="105"/>
      <c r="N7" s="105"/>
      <c r="O7" s="105"/>
      <c r="P7" s="90"/>
      <c r="Q7" s="1" t="s">
        <v>114</v>
      </c>
      <c r="R7" s="1" t="s">
        <v>191</v>
      </c>
      <c r="S7" s="1" t="s">
        <v>106</v>
      </c>
      <c r="T7" s="1" t="s">
        <v>107</v>
      </c>
      <c r="U7" s="1" t="s">
        <v>108</v>
      </c>
      <c r="V7" s="1">
        <v>22.853000000000002</v>
      </c>
      <c r="W7" s="97"/>
      <c r="X7" s="129"/>
      <c r="Y7" s="97"/>
      <c r="Z7" s="97"/>
      <c r="AA7" s="85"/>
      <c r="AB7" s="157"/>
      <c r="AC7" s="1"/>
      <c r="AD7" s="154"/>
      <c r="AE7" s="142"/>
      <c r="AG7">
        <f t="shared" ref="AG7:AH8" si="8">AM3</f>
        <v>1.6420771201973157</v>
      </c>
      <c r="AH7">
        <f t="shared" si="8"/>
        <v>1.4050067887890823</v>
      </c>
      <c r="AJ7">
        <f t="shared" ref="AJ7:AK8" si="9">AG3</f>
        <v>1.5890010310984461</v>
      </c>
      <c r="AK7">
        <f t="shared" si="9"/>
        <v>1.5190482747070266</v>
      </c>
      <c r="AM7">
        <f t="shared" ref="AM7:AN8" si="10">AJ3</f>
        <v>1.989656977626556</v>
      </c>
      <c r="AN7">
        <f t="shared" si="10"/>
        <v>2.0222960963909813</v>
      </c>
    </row>
    <row r="8" spans="1:40" x14ac:dyDescent="0.25">
      <c r="A8" s="101"/>
      <c r="B8" s="1">
        <v>340</v>
      </c>
      <c r="C8" s="1" t="s">
        <v>389</v>
      </c>
      <c r="D8" s="1" t="s">
        <v>103</v>
      </c>
      <c r="E8" s="1" t="s">
        <v>114</v>
      </c>
      <c r="F8" s="1" t="s">
        <v>332</v>
      </c>
      <c r="G8" s="1" t="s">
        <v>106</v>
      </c>
      <c r="H8" s="1"/>
      <c r="I8" s="1"/>
      <c r="J8" s="1">
        <v>22.84</v>
      </c>
      <c r="K8" s="1">
        <v>18.117000000000001</v>
      </c>
      <c r="L8" s="14"/>
      <c r="M8" s="105"/>
      <c r="N8" s="105"/>
      <c r="O8" s="105"/>
      <c r="P8" s="90"/>
      <c r="Q8" s="1" t="s">
        <v>114</v>
      </c>
      <c r="R8" s="1" t="s">
        <v>191</v>
      </c>
      <c r="S8" s="1" t="s">
        <v>106</v>
      </c>
      <c r="T8" s="1" t="s">
        <v>107</v>
      </c>
      <c r="U8" s="1" t="s">
        <v>108</v>
      </c>
      <c r="V8" s="1">
        <v>22.824000000000002</v>
      </c>
      <c r="W8" s="97"/>
      <c r="X8" s="129"/>
      <c r="Y8" s="97"/>
      <c r="Z8" s="97"/>
      <c r="AA8" s="85"/>
      <c r="AB8" s="157"/>
      <c r="AC8" s="1"/>
      <c r="AD8" s="143"/>
      <c r="AE8" s="142"/>
      <c r="AG8">
        <f t="shared" si="8"/>
        <v>-0.19333875708726639</v>
      </c>
      <c r="AH8">
        <f t="shared" si="8"/>
        <v>-0.40931397249743812</v>
      </c>
      <c r="AJ8">
        <f t="shared" si="9"/>
        <v>0.18813968847727999</v>
      </c>
      <c r="AK8">
        <f t="shared" si="9"/>
        <v>0.28278331580334826</v>
      </c>
      <c r="AM8">
        <f t="shared" si="10"/>
        <v>0.15348257176950844</v>
      </c>
      <c r="AN8">
        <f t="shared" si="10"/>
        <v>0.69171664378970743</v>
      </c>
    </row>
    <row r="9" spans="1:40" ht="15.75" thickBot="1" x14ac:dyDescent="0.3">
      <c r="A9" s="107"/>
      <c r="B9" s="83">
        <v>364</v>
      </c>
      <c r="C9" s="83" t="s">
        <v>401</v>
      </c>
      <c r="D9" s="83" t="s">
        <v>103</v>
      </c>
      <c r="E9" s="83" t="s">
        <v>114</v>
      </c>
      <c r="F9" s="83" t="s">
        <v>332</v>
      </c>
      <c r="G9" s="83" t="s">
        <v>106</v>
      </c>
      <c r="H9" s="83">
        <f t="shared" ref="H9" si="11">_xlfn.STDEV.S(K6:K9)</f>
        <v>4.4873897386639251E-2</v>
      </c>
      <c r="I9" s="83">
        <f t="shared" ref="I9" si="12">_xlfn.STDEV.S(J6:J9)</f>
        <v>5.6112981266964762E-2</v>
      </c>
      <c r="J9" s="83">
        <v>22.766999999999999</v>
      </c>
      <c r="K9" s="83">
        <v>18.041</v>
      </c>
      <c r="L9" s="17"/>
      <c r="M9" s="108"/>
      <c r="N9" s="108"/>
      <c r="O9" s="108"/>
      <c r="P9" s="109"/>
      <c r="Q9" s="1" t="s">
        <v>114</v>
      </c>
      <c r="R9" s="1" t="s">
        <v>191</v>
      </c>
      <c r="S9" s="1" t="s">
        <v>106</v>
      </c>
      <c r="T9" s="1" t="s">
        <v>107</v>
      </c>
      <c r="U9" s="1" t="s">
        <v>108</v>
      </c>
      <c r="V9" s="1">
        <v>22.715</v>
      </c>
      <c r="W9" s="98"/>
      <c r="X9" s="130"/>
      <c r="Y9" s="98"/>
      <c r="Z9" s="98"/>
      <c r="AA9" s="86"/>
      <c r="AB9" s="158"/>
      <c r="AC9" s="1"/>
      <c r="AD9" s="143"/>
      <c r="AE9" s="142"/>
    </row>
    <row r="10" spans="1:40" x14ac:dyDescent="0.25">
      <c r="A10" s="100"/>
      <c r="B10" s="9">
        <v>341</v>
      </c>
      <c r="C10" s="9" t="s">
        <v>390</v>
      </c>
      <c r="D10" s="9" t="s">
        <v>103</v>
      </c>
      <c r="E10" s="9" t="s">
        <v>117</v>
      </c>
      <c r="F10" s="9" t="s">
        <v>332</v>
      </c>
      <c r="G10" s="9" t="s">
        <v>106</v>
      </c>
      <c r="H10" s="9"/>
      <c r="I10" s="9"/>
      <c r="J10" s="9">
        <v>22.46</v>
      </c>
      <c r="K10" s="9">
        <v>17.544</v>
      </c>
      <c r="L10" s="11"/>
      <c r="M10" s="104">
        <f t="shared" ref="M10:N10" si="13">AVERAGE(J10:J13)</f>
        <v>22.5335</v>
      </c>
      <c r="N10" s="104">
        <f t="shared" si="13"/>
        <v>17.604499999999998</v>
      </c>
      <c r="O10" s="104"/>
      <c r="P10" s="89">
        <f t="shared" ref="P10" si="14">GEOMEAN(M10,N10)</f>
        <v>19.917103221854326</v>
      </c>
      <c r="Q10" s="1" t="s">
        <v>117</v>
      </c>
      <c r="R10" s="1" t="s">
        <v>191</v>
      </c>
      <c r="S10" s="1" t="s">
        <v>106</v>
      </c>
      <c r="T10" s="1" t="s">
        <v>107</v>
      </c>
      <c r="U10" s="1" t="s">
        <v>108</v>
      </c>
      <c r="V10" s="1">
        <v>20.744</v>
      </c>
      <c r="W10" s="96">
        <f t="shared" ref="W10" si="15">_xlfn.STDEV.S(V10:V13)</f>
        <v>4.8431222711525362E-2</v>
      </c>
      <c r="X10" s="128">
        <f t="shared" ref="X10" si="16">AVERAGE(V10:V13)</f>
        <v>20.755749999999999</v>
      </c>
      <c r="Y10" s="96">
        <f t="shared" ref="Y10" si="17">X10-P10</f>
        <v>0.83864677814567301</v>
      </c>
      <c r="Z10" s="96">
        <f t="shared" ref="Z10" si="18">Y10-$AE$2</f>
        <v>-1.5890010310984461</v>
      </c>
      <c r="AA10" s="84">
        <f t="shared" ref="AA10" si="19">2^-Z10</f>
        <v>3.0084096528959532</v>
      </c>
      <c r="AB10" s="147"/>
      <c r="AC10" s="1">
        <f t="shared" ref="AC10" si="20">LOG(AA10,2)</f>
        <v>1.5890010310984461</v>
      </c>
      <c r="AD10" s="143"/>
      <c r="AE10" s="142"/>
    </row>
    <row r="11" spans="1:40" x14ac:dyDescent="0.25">
      <c r="A11" s="101"/>
      <c r="B11" s="1">
        <v>365</v>
      </c>
      <c r="C11" s="1" t="s">
        <v>402</v>
      </c>
      <c r="D11" s="1" t="s">
        <v>103</v>
      </c>
      <c r="E11" s="1" t="s">
        <v>117</v>
      </c>
      <c r="F11" s="1" t="s">
        <v>332</v>
      </c>
      <c r="G11" s="1" t="s">
        <v>106</v>
      </c>
      <c r="H11" s="1"/>
      <c r="I11" s="1"/>
      <c r="J11" s="1">
        <v>22.52</v>
      </c>
      <c r="K11" s="1">
        <v>17.760999999999999</v>
      </c>
      <c r="L11" s="14"/>
      <c r="M11" s="105"/>
      <c r="N11" s="105"/>
      <c r="O11" s="105"/>
      <c r="P11" s="90"/>
      <c r="Q11" s="1" t="s">
        <v>117</v>
      </c>
      <c r="R11" s="1" t="s">
        <v>191</v>
      </c>
      <c r="S11" s="1" t="s">
        <v>106</v>
      </c>
      <c r="T11" s="1" t="s">
        <v>107</v>
      </c>
      <c r="U11" s="1" t="s">
        <v>108</v>
      </c>
      <c r="V11" s="1">
        <v>20.817</v>
      </c>
      <c r="W11" s="97"/>
      <c r="X11" s="129"/>
      <c r="Y11" s="97"/>
      <c r="Z11" s="97"/>
      <c r="AA11" s="85"/>
      <c r="AB11" s="148"/>
      <c r="AC11" s="1"/>
      <c r="AD11" s="143"/>
      <c r="AE11" s="142"/>
    </row>
    <row r="12" spans="1:40" x14ac:dyDescent="0.25">
      <c r="A12" s="101"/>
      <c r="B12" s="1">
        <v>342</v>
      </c>
      <c r="C12" s="1" t="s">
        <v>391</v>
      </c>
      <c r="D12" s="1" t="s">
        <v>103</v>
      </c>
      <c r="E12" s="1" t="s">
        <v>117</v>
      </c>
      <c r="F12" s="1" t="s">
        <v>332</v>
      </c>
      <c r="G12" s="1" t="s">
        <v>106</v>
      </c>
      <c r="H12" s="1"/>
      <c r="I12" s="1"/>
      <c r="J12" s="1">
        <v>22.559000000000001</v>
      </c>
      <c r="K12" s="1">
        <v>17.477</v>
      </c>
      <c r="L12" s="14"/>
      <c r="M12" s="105"/>
      <c r="N12" s="105"/>
      <c r="O12" s="105"/>
      <c r="P12" s="90"/>
      <c r="Q12" s="1" t="s">
        <v>117</v>
      </c>
      <c r="R12" s="1" t="s">
        <v>191</v>
      </c>
      <c r="S12" s="1" t="s">
        <v>106</v>
      </c>
      <c r="T12" s="1" t="s">
        <v>107</v>
      </c>
      <c r="U12" s="1" t="s">
        <v>108</v>
      </c>
      <c r="V12" s="1">
        <v>20.762</v>
      </c>
      <c r="W12" s="97"/>
      <c r="X12" s="129"/>
      <c r="Y12" s="97"/>
      <c r="Z12" s="97"/>
      <c r="AA12" s="85"/>
      <c r="AB12" s="148"/>
      <c r="AC12" s="1"/>
      <c r="AD12" s="143"/>
      <c r="AE12" s="142"/>
    </row>
    <row r="13" spans="1:40" ht="15.75" thickBot="1" x14ac:dyDescent="0.3">
      <c r="A13" s="107"/>
      <c r="B13" s="83">
        <v>366</v>
      </c>
      <c r="C13" s="83" t="s">
        <v>403</v>
      </c>
      <c r="D13" s="83" t="s">
        <v>103</v>
      </c>
      <c r="E13" s="83" t="s">
        <v>117</v>
      </c>
      <c r="F13" s="83" t="s">
        <v>332</v>
      </c>
      <c r="G13" s="83" t="s">
        <v>106</v>
      </c>
      <c r="H13" s="83">
        <f t="shared" ref="H13" si="21">_xlfn.STDEV.S(K10:K13)</f>
        <v>0.12301896872704846</v>
      </c>
      <c r="I13" s="83">
        <f t="shared" ref="I13" si="22">_xlfn.STDEV.S(J10:J13)</f>
        <v>5.7784080852774096E-2</v>
      </c>
      <c r="J13" s="83">
        <v>22.594999999999999</v>
      </c>
      <c r="K13" s="83">
        <v>17.635999999999999</v>
      </c>
      <c r="L13" s="17"/>
      <c r="M13" s="108"/>
      <c r="N13" s="108"/>
      <c r="O13" s="108"/>
      <c r="P13" s="109"/>
      <c r="Q13" s="1" t="s">
        <v>117</v>
      </c>
      <c r="R13" s="1" t="s">
        <v>191</v>
      </c>
      <c r="S13" s="1" t="s">
        <v>106</v>
      </c>
      <c r="T13" s="1" t="s">
        <v>107</v>
      </c>
      <c r="U13" s="1" t="s">
        <v>108</v>
      </c>
      <c r="V13" s="1">
        <v>20.7</v>
      </c>
      <c r="W13" s="98"/>
      <c r="X13" s="130"/>
      <c r="Y13" s="98"/>
      <c r="Z13" s="98"/>
      <c r="AA13" s="86"/>
      <c r="AB13" s="149"/>
      <c r="AC13" s="1"/>
      <c r="AD13" s="143"/>
      <c r="AE13" s="142"/>
    </row>
    <row r="14" spans="1:40" x14ac:dyDescent="0.25">
      <c r="A14" s="100"/>
      <c r="B14" s="9">
        <v>343</v>
      </c>
      <c r="C14" s="9" t="s">
        <v>392</v>
      </c>
      <c r="D14" s="9" t="s">
        <v>103</v>
      </c>
      <c r="E14" s="9" t="s">
        <v>120</v>
      </c>
      <c r="F14" s="9" t="s">
        <v>332</v>
      </c>
      <c r="G14" s="9" t="s">
        <v>106</v>
      </c>
      <c r="H14" s="9"/>
      <c r="I14" s="9"/>
      <c r="J14" s="9">
        <v>22.733000000000001</v>
      </c>
      <c r="K14" s="9">
        <v>17.564</v>
      </c>
      <c r="L14" s="11"/>
      <c r="M14" s="104">
        <f t="shared" ref="M14:N14" si="23">AVERAGE(J14:J17)</f>
        <v>22.652999999999999</v>
      </c>
      <c r="N14" s="104">
        <f t="shared" si="23"/>
        <v>17.67475</v>
      </c>
      <c r="O14" s="104"/>
      <c r="P14" s="89">
        <f t="shared" ref="P14" si="24">GEOMEAN(M14,N14)</f>
        <v>20.009650465462908</v>
      </c>
      <c r="Q14" s="1" t="s">
        <v>120</v>
      </c>
      <c r="R14" s="1" t="s">
        <v>191</v>
      </c>
      <c r="S14" s="1" t="s">
        <v>106</v>
      </c>
      <c r="T14" s="1" t="s">
        <v>107</v>
      </c>
      <c r="U14" s="1" t="s">
        <v>108</v>
      </c>
      <c r="V14" s="1">
        <v>20.864000000000001</v>
      </c>
      <c r="W14" s="96">
        <f t="shared" ref="W14" si="25">_xlfn.STDEV.S(V14:V17)</f>
        <v>0.10451275839181857</v>
      </c>
      <c r="X14" s="128">
        <f t="shared" ref="X14" si="26">AVERAGE(V14:V17)</f>
        <v>20.91825</v>
      </c>
      <c r="Y14" s="96">
        <f t="shared" ref="Y14" si="27">X14-P14</f>
        <v>0.90859953453709252</v>
      </c>
      <c r="Z14" s="96">
        <f t="shared" ref="Z14" si="28">Y14-$AE$2</f>
        <v>-1.5190482747070266</v>
      </c>
      <c r="AA14" s="84">
        <f t="shared" ref="AA14" si="29">2^-Z14</f>
        <v>2.866019200377468</v>
      </c>
      <c r="AB14" s="147"/>
      <c r="AC14" s="1">
        <f t="shared" ref="AC14" si="30">LOG(AA14,2)</f>
        <v>1.5190482747070266</v>
      </c>
      <c r="AD14" s="143"/>
      <c r="AE14" s="142"/>
    </row>
    <row r="15" spans="1:40" x14ac:dyDescent="0.25">
      <c r="A15" s="101"/>
      <c r="B15" s="1">
        <v>367</v>
      </c>
      <c r="C15" s="1" t="s">
        <v>404</v>
      </c>
      <c r="D15" s="1" t="s">
        <v>103</v>
      </c>
      <c r="E15" s="1" t="s">
        <v>120</v>
      </c>
      <c r="F15" s="1" t="s">
        <v>332</v>
      </c>
      <c r="G15" s="1" t="s">
        <v>106</v>
      </c>
      <c r="H15" s="1"/>
      <c r="I15" s="1"/>
      <c r="J15" s="1">
        <v>22.678000000000001</v>
      </c>
      <c r="K15" s="1">
        <v>17.535</v>
      </c>
      <c r="L15" s="14"/>
      <c r="M15" s="105"/>
      <c r="N15" s="105"/>
      <c r="O15" s="105"/>
      <c r="P15" s="90"/>
      <c r="Q15" s="1" t="s">
        <v>120</v>
      </c>
      <c r="R15" s="1" t="s">
        <v>191</v>
      </c>
      <c r="S15" s="1" t="s">
        <v>106</v>
      </c>
      <c r="T15" s="1" t="s">
        <v>107</v>
      </c>
      <c r="U15" s="1" t="s">
        <v>108</v>
      </c>
      <c r="V15" s="1">
        <v>21.036000000000001</v>
      </c>
      <c r="W15" s="97"/>
      <c r="X15" s="129"/>
      <c r="Y15" s="97"/>
      <c r="Z15" s="97"/>
      <c r="AA15" s="85"/>
      <c r="AB15" s="148"/>
      <c r="AC15" s="1"/>
      <c r="AD15" s="143"/>
      <c r="AE15" s="142"/>
    </row>
    <row r="16" spans="1:40" x14ac:dyDescent="0.25">
      <c r="A16" s="101"/>
      <c r="B16" s="1">
        <v>344</v>
      </c>
      <c r="C16" s="1" t="s">
        <v>393</v>
      </c>
      <c r="D16" s="1" t="s">
        <v>103</v>
      </c>
      <c r="E16" s="1" t="s">
        <v>120</v>
      </c>
      <c r="F16" s="1" t="s">
        <v>332</v>
      </c>
      <c r="G16" s="1" t="s">
        <v>106</v>
      </c>
      <c r="H16" s="1"/>
      <c r="I16" s="1"/>
      <c r="J16" s="1">
        <v>22.619</v>
      </c>
      <c r="K16" s="1">
        <v>17.882999999999999</v>
      </c>
      <c r="L16" s="14"/>
      <c r="M16" s="105"/>
      <c r="N16" s="105"/>
      <c r="O16" s="105"/>
      <c r="P16" s="90"/>
      <c r="Q16" s="1" t="s">
        <v>120</v>
      </c>
      <c r="R16" s="1" t="s">
        <v>191</v>
      </c>
      <c r="S16" s="1" t="s">
        <v>106</v>
      </c>
      <c r="T16" s="1" t="s">
        <v>107</v>
      </c>
      <c r="U16" s="1" t="s">
        <v>108</v>
      </c>
      <c r="V16" s="1">
        <v>20.97</v>
      </c>
      <c r="W16" s="97"/>
      <c r="X16" s="129"/>
      <c r="Y16" s="97"/>
      <c r="Z16" s="97"/>
      <c r="AA16" s="85"/>
      <c r="AB16" s="148"/>
      <c r="AC16" s="1"/>
      <c r="AD16" s="143"/>
      <c r="AE16" s="142"/>
    </row>
    <row r="17" spans="1:31" ht="15.75" thickBot="1" x14ac:dyDescent="0.3">
      <c r="A17" s="107"/>
      <c r="B17" s="83">
        <v>368</v>
      </c>
      <c r="C17" s="83" t="s">
        <v>405</v>
      </c>
      <c r="D17" s="83" t="s">
        <v>103</v>
      </c>
      <c r="E17" s="83" t="s">
        <v>120</v>
      </c>
      <c r="F17" s="83" t="s">
        <v>332</v>
      </c>
      <c r="G17" s="83" t="s">
        <v>106</v>
      </c>
      <c r="H17" s="83">
        <f t="shared" ref="H17" si="31">_xlfn.STDEV.S(K14:K17)</f>
        <v>0.16015487296155917</v>
      </c>
      <c r="I17" s="83">
        <f t="shared" ref="I17" si="32">_xlfn.STDEV.S(J14:J17)</f>
        <v>6.6387749874004212E-2</v>
      </c>
      <c r="J17" s="83">
        <v>22.582000000000001</v>
      </c>
      <c r="K17" s="83">
        <v>17.716999999999999</v>
      </c>
      <c r="L17" s="17"/>
      <c r="M17" s="108"/>
      <c r="N17" s="108"/>
      <c r="O17" s="108"/>
      <c r="P17" s="109"/>
      <c r="Q17" s="1" t="s">
        <v>120</v>
      </c>
      <c r="R17" s="1" t="s">
        <v>191</v>
      </c>
      <c r="S17" s="1" t="s">
        <v>106</v>
      </c>
      <c r="T17" s="1" t="s">
        <v>107</v>
      </c>
      <c r="U17" s="1" t="s">
        <v>108</v>
      </c>
      <c r="V17" s="1">
        <v>20.803000000000001</v>
      </c>
      <c r="W17" s="98"/>
      <c r="X17" s="130"/>
      <c r="Y17" s="98"/>
      <c r="Z17" s="98"/>
      <c r="AA17" s="86"/>
      <c r="AB17" s="149"/>
      <c r="AC17" s="1"/>
      <c r="AD17" s="143"/>
      <c r="AE17" s="142"/>
    </row>
    <row r="18" spans="1:31" x14ac:dyDescent="0.25">
      <c r="A18" s="100"/>
      <c r="B18" s="9">
        <v>345</v>
      </c>
      <c r="C18" s="9" t="s">
        <v>394</v>
      </c>
      <c r="D18" s="9" t="s">
        <v>103</v>
      </c>
      <c r="E18" s="9" t="s">
        <v>123</v>
      </c>
      <c r="F18" s="9" t="s">
        <v>332</v>
      </c>
      <c r="G18" s="9" t="s">
        <v>106</v>
      </c>
      <c r="H18" s="9"/>
      <c r="I18" s="9"/>
      <c r="J18" s="9">
        <v>23.177</v>
      </c>
      <c r="K18" s="9">
        <v>18.623999999999999</v>
      </c>
      <c r="L18" s="11"/>
      <c r="M18" s="104">
        <f t="shared" ref="M18:N18" si="33">AVERAGE(J18:J21)</f>
        <v>23.083500000000001</v>
      </c>
      <c r="N18" s="104">
        <f t="shared" si="33"/>
        <v>18.561250000000001</v>
      </c>
      <c r="O18" s="104"/>
      <c r="P18" s="89">
        <f t="shared" ref="P18" si="34">GEOMEAN(M18,N18)</f>
        <v>20.699241879233163</v>
      </c>
      <c r="Q18" s="1" t="s">
        <v>123</v>
      </c>
      <c r="R18" s="1" t="s">
        <v>191</v>
      </c>
      <c r="S18" s="1" t="s">
        <v>106</v>
      </c>
      <c r="T18" s="1" t="s">
        <v>107</v>
      </c>
      <c r="U18" s="1" t="s">
        <v>108</v>
      </c>
      <c r="V18" s="1">
        <v>22.98</v>
      </c>
      <c r="W18" s="96">
        <f t="shared" ref="W18" si="35">_xlfn.STDEV.S(V18:V21)</f>
        <v>5.622203008311473E-2</v>
      </c>
      <c r="X18" s="128">
        <f t="shared" ref="X18" si="36">AVERAGE(V18:V21)</f>
        <v>22.938750000000002</v>
      </c>
      <c r="Y18" s="96">
        <f t="shared" ref="Y18" si="37">X18-P18</f>
        <v>2.239508120766839</v>
      </c>
      <c r="Z18" s="96">
        <f t="shared" ref="Z18" si="38">Y18-$AE$2</f>
        <v>-0.18813968847728013</v>
      </c>
      <c r="AA18" s="84">
        <f t="shared" ref="AA18" si="39">2^-Z18</f>
        <v>1.1392936836215539</v>
      </c>
      <c r="AB18" s="144"/>
      <c r="AC18" s="1">
        <f t="shared" ref="AC18" si="40">LOG(AA18,2)</f>
        <v>0.18813968847727999</v>
      </c>
      <c r="AD18" s="143"/>
      <c r="AE18" s="142"/>
    </row>
    <row r="19" spans="1:31" x14ac:dyDescent="0.25">
      <c r="A19" s="101"/>
      <c r="B19" s="1">
        <v>369</v>
      </c>
      <c r="C19" s="1" t="s">
        <v>406</v>
      </c>
      <c r="D19" s="1" t="s">
        <v>103</v>
      </c>
      <c r="E19" s="1" t="s">
        <v>123</v>
      </c>
      <c r="F19" s="1" t="s">
        <v>332</v>
      </c>
      <c r="G19" s="1" t="s">
        <v>106</v>
      </c>
      <c r="H19" s="1"/>
      <c r="I19" s="1"/>
      <c r="J19" s="1">
        <v>23.096</v>
      </c>
      <c r="K19" s="1">
        <v>18.565999999999999</v>
      </c>
      <c r="L19" s="14"/>
      <c r="M19" s="105"/>
      <c r="N19" s="105"/>
      <c r="O19" s="105"/>
      <c r="P19" s="90"/>
      <c r="Q19" s="1" t="s">
        <v>123</v>
      </c>
      <c r="R19" s="1" t="s">
        <v>191</v>
      </c>
      <c r="S19" s="1" t="s">
        <v>106</v>
      </c>
      <c r="T19" s="1" t="s">
        <v>107</v>
      </c>
      <c r="U19" s="1" t="s">
        <v>108</v>
      </c>
      <c r="V19" s="1">
        <v>22.992000000000001</v>
      </c>
      <c r="W19" s="97"/>
      <c r="X19" s="129"/>
      <c r="Y19" s="97"/>
      <c r="Z19" s="97"/>
      <c r="AA19" s="85"/>
      <c r="AB19" s="145"/>
      <c r="AC19" s="1"/>
      <c r="AD19" s="143"/>
      <c r="AE19" s="142"/>
    </row>
    <row r="20" spans="1:31" x14ac:dyDescent="0.25">
      <c r="A20" s="101"/>
      <c r="B20" s="1">
        <v>346</v>
      </c>
      <c r="C20" s="1" t="s">
        <v>395</v>
      </c>
      <c r="D20" s="1" t="s">
        <v>103</v>
      </c>
      <c r="E20" s="1" t="s">
        <v>123</v>
      </c>
      <c r="F20" s="1" t="s">
        <v>332</v>
      </c>
      <c r="G20" s="1" t="s">
        <v>106</v>
      </c>
      <c r="H20" s="1"/>
      <c r="I20" s="1"/>
      <c r="J20" s="1">
        <v>22.966999999999999</v>
      </c>
      <c r="K20" s="1">
        <v>18.457000000000001</v>
      </c>
      <c r="L20" s="14"/>
      <c r="M20" s="105"/>
      <c r="N20" s="105"/>
      <c r="O20" s="105"/>
      <c r="P20" s="90"/>
      <c r="Q20" s="1" t="s">
        <v>123</v>
      </c>
      <c r="R20" s="1" t="s">
        <v>191</v>
      </c>
      <c r="S20" s="1" t="s">
        <v>106</v>
      </c>
      <c r="T20" s="1" t="s">
        <v>107</v>
      </c>
      <c r="U20" s="1" t="s">
        <v>108</v>
      </c>
      <c r="V20" s="1">
        <v>22.907</v>
      </c>
      <c r="W20" s="97"/>
      <c r="X20" s="129"/>
      <c r="Y20" s="97"/>
      <c r="Z20" s="97"/>
      <c r="AA20" s="85"/>
      <c r="AB20" s="145"/>
      <c r="AC20" s="1"/>
      <c r="AD20" s="143"/>
      <c r="AE20" s="142"/>
    </row>
    <row r="21" spans="1:31" ht="15.75" thickBot="1" x14ac:dyDescent="0.3">
      <c r="A21" s="107"/>
      <c r="B21" s="83">
        <v>370</v>
      </c>
      <c r="C21" s="83" t="s">
        <v>407</v>
      </c>
      <c r="D21" s="83" t="s">
        <v>103</v>
      </c>
      <c r="E21" s="83" t="s">
        <v>123</v>
      </c>
      <c r="F21" s="83" t="s">
        <v>332</v>
      </c>
      <c r="G21" s="83" t="s">
        <v>106</v>
      </c>
      <c r="H21" s="83">
        <f t="shared" ref="H21" si="41">_xlfn.STDEV.S(K18:K21)</f>
        <v>7.3436480489376232E-2</v>
      </c>
      <c r="I21" s="83">
        <f t="shared" ref="I21" si="42">_xlfn.STDEV.S(J18:J21)</f>
        <v>8.675828490697636E-2</v>
      </c>
      <c r="J21" s="83">
        <v>23.094000000000001</v>
      </c>
      <c r="K21" s="83">
        <v>18.597999999999999</v>
      </c>
      <c r="L21" s="17"/>
      <c r="M21" s="108"/>
      <c r="N21" s="108"/>
      <c r="O21" s="108"/>
      <c r="P21" s="109"/>
      <c r="Q21" s="1" t="s">
        <v>123</v>
      </c>
      <c r="R21" s="1" t="s">
        <v>191</v>
      </c>
      <c r="S21" s="1" t="s">
        <v>106</v>
      </c>
      <c r="T21" s="1" t="s">
        <v>107</v>
      </c>
      <c r="U21" s="1" t="s">
        <v>108</v>
      </c>
      <c r="V21" s="1">
        <v>22.876000000000001</v>
      </c>
      <c r="W21" s="98"/>
      <c r="X21" s="130"/>
      <c r="Y21" s="98"/>
      <c r="Z21" s="98"/>
      <c r="AA21" s="86"/>
      <c r="AB21" s="146"/>
      <c r="AC21" s="1"/>
      <c r="AD21" s="143"/>
      <c r="AE21" s="142"/>
    </row>
    <row r="22" spans="1:31" x14ac:dyDescent="0.25">
      <c r="A22" s="100"/>
      <c r="B22" s="9">
        <v>347</v>
      </c>
      <c r="C22" s="9" t="s">
        <v>396</v>
      </c>
      <c r="D22" s="9" t="s">
        <v>103</v>
      </c>
      <c r="E22" s="9" t="s">
        <v>126</v>
      </c>
      <c r="F22" s="9" t="s">
        <v>332</v>
      </c>
      <c r="G22" s="9" t="s">
        <v>106</v>
      </c>
      <c r="H22" s="9"/>
      <c r="I22" s="9"/>
      <c r="J22" s="9">
        <v>22.98</v>
      </c>
      <c r="K22" s="9">
        <v>18.567</v>
      </c>
      <c r="L22" s="11"/>
      <c r="M22" s="104">
        <f t="shared" ref="M22:N22" si="43">AVERAGE(J22:J25)</f>
        <v>22.962500000000002</v>
      </c>
      <c r="N22" s="104">
        <f t="shared" si="43"/>
        <v>18.500999999999998</v>
      </c>
      <c r="O22" s="104"/>
      <c r="P22" s="89">
        <f t="shared" ref="P22" si="44">GEOMEAN(M22,N22)</f>
        <v>20.61138550655923</v>
      </c>
      <c r="Q22" s="1" t="s">
        <v>126</v>
      </c>
      <c r="R22" s="1" t="s">
        <v>191</v>
      </c>
      <c r="S22" s="1" t="s">
        <v>106</v>
      </c>
      <c r="T22" s="1" t="s">
        <v>107</v>
      </c>
      <c r="U22" s="1" t="s">
        <v>108</v>
      </c>
      <c r="V22" s="1">
        <v>22.808</v>
      </c>
      <c r="W22" s="96">
        <f t="shared" ref="W22" si="45">_xlfn.STDEV.S(V22:V25)</f>
        <v>6.9634163071488286E-2</v>
      </c>
      <c r="X22" s="128">
        <f t="shared" ref="X22" si="46">AVERAGE(V22:V25)</f>
        <v>22.756250000000001</v>
      </c>
      <c r="Y22" s="96">
        <f t="shared" ref="Y22" si="47">X22-P22</f>
        <v>2.144864493440771</v>
      </c>
      <c r="Z22" s="96">
        <f t="shared" ref="Z22" si="48">Y22-$AE$2</f>
        <v>-0.28278331580334815</v>
      </c>
      <c r="AA22" s="84">
        <f t="shared" ref="AA22" si="49">2^-Z22</f>
        <v>1.2165396279103655</v>
      </c>
      <c r="AB22" s="144"/>
      <c r="AC22" s="1">
        <f t="shared" ref="AC22" si="50">LOG(AA22,2)</f>
        <v>0.28278331580334826</v>
      </c>
      <c r="AD22" s="143"/>
      <c r="AE22" s="142"/>
    </row>
    <row r="23" spans="1:31" x14ac:dyDescent="0.25">
      <c r="A23" s="101"/>
      <c r="B23" s="1">
        <v>371</v>
      </c>
      <c r="C23" s="1" t="s">
        <v>408</v>
      </c>
      <c r="D23" s="1" t="s">
        <v>103</v>
      </c>
      <c r="E23" s="1" t="s">
        <v>126</v>
      </c>
      <c r="F23" s="1" t="s">
        <v>332</v>
      </c>
      <c r="G23" s="1" t="s">
        <v>106</v>
      </c>
      <c r="H23" s="1"/>
      <c r="I23" s="1"/>
      <c r="J23" s="1">
        <v>22.972000000000001</v>
      </c>
      <c r="K23" s="1">
        <v>18.613</v>
      </c>
      <c r="L23" s="14"/>
      <c r="M23" s="105"/>
      <c r="N23" s="105"/>
      <c r="O23" s="105"/>
      <c r="P23" s="90"/>
      <c r="Q23" s="1" t="s">
        <v>126</v>
      </c>
      <c r="R23" s="1" t="s">
        <v>191</v>
      </c>
      <c r="S23" s="1" t="s">
        <v>106</v>
      </c>
      <c r="T23" s="1" t="s">
        <v>107</v>
      </c>
      <c r="U23" s="1" t="s">
        <v>108</v>
      </c>
      <c r="V23" s="1">
        <v>22.734999999999999</v>
      </c>
      <c r="W23" s="97"/>
      <c r="X23" s="129"/>
      <c r="Y23" s="97"/>
      <c r="Z23" s="97"/>
      <c r="AA23" s="85"/>
      <c r="AB23" s="145"/>
      <c r="AC23" s="1"/>
      <c r="AD23" s="143"/>
      <c r="AE23" s="142"/>
    </row>
    <row r="24" spans="1:31" x14ac:dyDescent="0.25">
      <c r="A24" s="101"/>
      <c r="B24" s="1">
        <v>348</v>
      </c>
      <c r="C24" s="1" t="s">
        <v>397</v>
      </c>
      <c r="D24" s="1" t="s">
        <v>103</v>
      </c>
      <c r="E24" s="1" t="s">
        <v>126</v>
      </c>
      <c r="F24" s="1" t="s">
        <v>332</v>
      </c>
      <c r="G24" s="1" t="s">
        <v>106</v>
      </c>
      <c r="H24" s="1"/>
      <c r="I24" s="1"/>
      <c r="J24" s="1">
        <v>22.96</v>
      </c>
      <c r="K24" s="1">
        <v>18.332999999999998</v>
      </c>
      <c r="L24" s="14"/>
      <c r="M24" s="105"/>
      <c r="N24" s="105"/>
      <c r="O24" s="105"/>
      <c r="P24" s="90"/>
      <c r="Q24" s="1" t="s">
        <v>126</v>
      </c>
      <c r="R24" s="1" t="s">
        <v>191</v>
      </c>
      <c r="S24" s="1" t="s">
        <v>106</v>
      </c>
      <c r="T24" s="1" t="s">
        <v>107</v>
      </c>
      <c r="U24" s="1" t="s">
        <v>108</v>
      </c>
      <c r="V24" s="1">
        <v>22.815000000000001</v>
      </c>
      <c r="W24" s="97"/>
      <c r="X24" s="129"/>
      <c r="Y24" s="97"/>
      <c r="Z24" s="97"/>
      <c r="AA24" s="85"/>
      <c r="AB24" s="145"/>
      <c r="AC24" s="1"/>
      <c r="AD24" s="143"/>
      <c r="AE24" s="142"/>
    </row>
    <row r="25" spans="1:31" ht="15.75" thickBot="1" x14ac:dyDescent="0.3">
      <c r="A25" s="107"/>
      <c r="B25" s="83">
        <v>372</v>
      </c>
      <c r="C25" s="83" t="s">
        <v>409</v>
      </c>
      <c r="D25" s="83" t="s">
        <v>103</v>
      </c>
      <c r="E25" s="83" t="s">
        <v>126</v>
      </c>
      <c r="F25" s="83" t="s">
        <v>332</v>
      </c>
      <c r="G25" s="83" t="s">
        <v>106</v>
      </c>
      <c r="H25" s="83">
        <f t="shared" ref="H25" si="51">_xlfn.STDEV.S(K22:K25)</f>
        <v>0.12277893413231286</v>
      </c>
      <c r="I25" s="83">
        <f t="shared" ref="I25" si="52">_xlfn.STDEV.S(J22:J25)</f>
        <v>1.8284784202537482E-2</v>
      </c>
      <c r="J25" s="83">
        <v>22.937999999999999</v>
      </c>
      <c r="K25" s="83">
        <v>18.491</v>
      </c>
      <c r="L25" s="17"/>
      <c r="M25" s="108"/>
      <c r="N25" s="108"/>
      <c r="O25" s="108"/>
      <c r="P25" s="109"/>
      <c r="Q25" s="1" t="s">
        <v>126</v>
      </c>
      <c r="R25" s="1" t="s">
        <v>191</v>
      </c>
      <c r="S25" s="1" t="s">
        <v>106</v>
      </c>
      <c r="T25" s="1" t="s">
        <v>107</v>
      </c>
      <c r="U25" s="1" t="s">
        <v>108</v>
      </c>
      <c r="V25" s="1">
        <v>22.667000000000002</v>
      </c>
      <c r="W25" s="98"/>
      <c r="X25" s="130"/>
      <c r="Y25" s="98"/>
      <c r="Z25" s="98"/>
      <c r="AA25" s="86"/>
      <c r="AB25" s="146"/>
      <c r="AC25" s="1"/>
      <c r="AD25" s="143"/>
      <c r="AE25" s="142"/>
    </row>
    <row r="26" spans="1:31" x14ac:dyDescent="0.25">
      <c r="A26" s="100"/>
      <c r="B26" s="9">
        <v>337</v>
      </c>
      <c r="C26" s="9" t="s">
        <v>386</v>
      </c>
      <c r="D26" s="9" t="s">
        <v>103</v>
      </c>
      <c r="E26" s="9" t="s">
        <v>416</v>
      </c>
      <c r="F26" s="9" t="s">
        <v>332</v>
      </c>
      <c r="G26" s="9" t="s">
        <v>106</v>
      </c>
      <c r="H26" s="9"/>
      <c r="I26" s="9"/>
      <c r="J26" s="9">
        <v>22.983000000000001</v>
      </c>
      <c r="K26" s="9">
        <v>18.667000000000002</v>
      </c>
      <c r="L26" s="11"/>
      <c r="M26" s="104">
        <f t="shared" ref="M26:N26" si="53">AVERAGE(J26:J29)</f>
        <v>23.02</v>
      </c>
      <c r="N26" s="104">
        <f t="shared" si="53"/>
        <v>18.7575</v>
      </c>
      <c r="O26" s="104"/>
      <c r="P26" s="89">
        <f t="shared" ref="P26" si="54">GEOMEAN(M26,N26)</f>
        <v>20.779741336214943</v>
      </c>
      <c r="Q26" s="1" t="s">
        <v>416</v>
      </c>
      <c r="R26" s="1" t="s">
        <v>191</v>
      </c>
      <c r="S26" s="1" t="s">
        <v>106</v>
      </c>
      <c r="T26" s="1" t="s">
        <v>107</v>
      </c>
      <c r="U26" s="1" t="s">
        <v>108</v>
      </c>
      <c r="V26" s="1">
        <v>23.042000000000002</v>
      </c>
      <c r="W26" s="96">
        <f t="shared" ref="W26" si="55">_xlfn.STDEV.S(V26:V29)</f>
        <v>0.10743680312940565</v>
      </c>
      <c r="X26" s="128">
        <f t="shared" ref="X26" si="56">AVERAGE(V26:V29)</f>
        <v>23.105</v>
      </c>
      <c r="Y26" s="96">
        <f t="shared" ref="Y26" si="57">X26-P26</f>
        <v>2.325258663785057</v>
      </c>
      <c r="Z26" s="96">
        <f>Y26-$AE$4</f>
        <v>-0.24257730835094904</v>
      </c>
      <c r="AA26" s="84">
        <f t="shared" ref="AA26" si="58">2^-Z26</f>
        <v>1.1831043361567599</v>
      </c>
      <c r="AB26" s="139"/>
      <c r="AC26" s="1">
        <f t="shared" ref="AC26" si="59">LOG(AA26,2)</f>
        <v>0.24257730835094918</v>
      </c>
      <c r="AD26" s="143"/>
      <c r="AE26" s="142"/>
    </row>
    <row r="27" spans="1:31" x14ac:dyDescent="0.25">
      <c r="A27" s="101"/>
      <c r="B27" s="1">
        <v>361</v>
      </c>
      <c r="C27" s="1" t="s">
        <v>398</v>
      </c>
      <c r="D27" s="1" t="s">
        <v>103</v>
      </c>
      <c r="E27" s="1" t="s">
        <v>416</v>
      </c>
      <c r="F27" s="1" t="s">
        <v>332</v>
      </c>
      <c r="G27" s="1" t="s">
        <v>106</v>
      </c>
      <c r="H27" s="1"/>
      <c r="I27" s="1"/>
      <c r="J27" s="1">
        <v>22.923999999999999</v>
      </c>
      <c r="K27" s="1">
        <v>18.940000000000001</v>
      </c>
      <c r="L27" s="14"/>
      <c r="M27" s="105"/>
      <c r="N27" s="105"/>
      <c r="O27" s="105"/>
      <c r="P27" s="90"/>
      <c r="Q27" s="1" t="s">
        <v>416</v>
      </c>
      <c r="R27" s="1" t="s">
        <v>191</v>
      </c>
      <c r="S27" s="1" t="s">
        <v>106</v>
      </c>
      <c r="T27" s="1" t="s">
        <v>107</v>
      </c>
      <c r="U27" s="1" t="s">
        <v>108</v>
      </c>
      <c r="V27" s="1">
        <v>23.007999999999999</v>
      </c>
      <c r="W27" s="97"/>
      <c r="X27" s="129"/>
      <c r="Y27" s="97"/>
      <c r="Z27" s="97"/>
      <c r="AA27" s="85"/>
      <c r="AB27" s="140"/>
      <c r="AC27" s="1"/>
      <c r="AD27" s="143"/>
      <c r="AE27" s="142"/>
    </row>
    <row r="28" spans="1:31" x14ac:dyDescent="0.25">
      <c r="A28" s="101"/>
      <c r="B28" s="1">
        <v>338</v>
      </c>
      <c r="C28" s="1" t="s">
        <v>387</v>
      </c>
      <c r="D28" s="1" t="s">
        <v>103</v>
      </c>
      <c r="E28" s="1" t="s">
        <v>416</v>
      </c>
      <c r="F28" s="1" t="s">
        <v>332</v>
      </c>
      <c r="G28" s="1" t="s">
        <v>106</v>
      </c>
      <c r="H28" s="1"/>
      <c r="I28" s="1"/>
      <c r="J28" s="1">
        <v>23.096</v>
      </c>
      <c r="K28" s="1">
        <v>18.649000000000001</v>
      </c>
      <c r="L28" s="14"/>
      <c r="M28" s="105"/>
      <c r="N28" s="105"/>
      <c r="O28" s="105"/>
      <c r="P28" s="90"/>
      <c r="Q28" s="1" t="s">
        <v>416</v>
      </c>
      <c r="R28" s="1" t="s">
        <v>191</v>
      </c>
      <c r="S28" s="1" t="s">
        <v>106</v>
      </c>
      <c r="T28" s="1" t="s">
        <v>107</v>
      </c>
      <c r="U28" s="1" t="s">
        <v>108</v>
      </c>
      <c r="V28" s="1">
        <v>23.25</v>
      </c>
      <c r="W28" s="97"/>
      <c r="X28" s="129"/>
      <c r="Y28" s="97"/>
      <c r="Z28" s="97"/>
      <c r="AA28" s="85"/>
      <c r="AB28" s="140"/>
      <c r="AC28" s="1"/>
      <c r="AD28" s="143"/>
      <c r="AE28" s="142"/>
    </row>
    <row r="29" spans="1:31" ht="15.75" thickBot="1" x14ac:dyDescent="0.3">
      <c r="A29" s="107"/>
      <c r="B29" s="83">
        <v>362</v>
      </c>
      <c r="C29" s="83" t="s">
        <v>399</v>
      </c>
      <c r="D29" s="83" t="s">
        <v>103</v>
      </c>
      <c r="E29" s="83" t="s">
        <v>416</v>
      </c>
      <c r="F29" s="83" t="s">
        <v>332</v>
      </c>
      <c r="G29" s="83" t="s">
        <v>106</v>
      </c>
      <c r="H29" s="83">
        <f t="shared" ref="H29" si="60">_xlfn.STDEV.S(K26:K29)</f>
        <v>0.13359266446927393</v>
      </c>
      <c r="I29" s="83">
        <f t="shared" ref="I29" si="61">_xlfn.STDEV.S(J26:J29)</f>
        <v>8.0849654709632221E-2</v>
      </c>
      <c r="J29" s="83">
        <v>23.077000000000002</v>
      </c>
      <c r="K29" s="83">
        <v>18.774000000000001</v>
      </c>
      <c r="L29" s="17"/>
      <c r="M29" s="108"/>
      <c r="N29" s="108"/>
      <c r="O29" s="108"/>
      <c r="P29" s="109"/>
      <c r="Q29" s="1" t="s">
        <v>416</v>
      </c>
      <c r="R29" s="1" t="s">
        <v>191</v>
      </c>
      <c r="S29" s="1" t="s">
        <v>106</v>
      </c>
      <c r="T29" s="1" t="s">
        <v>107</v>
      </c>
      <c r="U29" s="1" t="s">
        <v>108</v>
      </c>
      <c r="V29" s="1">
        <v>23.12</v>
      </c>
      <c r="W29" s="98"/>
      <c r="X29" s="130"/>
      <c r="Y29" s="98"/>
      <c r="Z29" s="98"/>
      <c r="AA29" s="86"/>
      <c r="AB29" s="141"/>
      <c r="AC29" s="1"/>
      <c r="AD29" s="143"/>
      <c r="AE29" s="142"/>
    </row>
    <row r="30" spans="1:31" x14ac:dyDescent="0.25">
      <c r="A30" s="100"/>
      <c r="B30" s="9">
        <v>339</v>
      </c>
      <c r="C30" s="9" t="s">
        <v>388</v>
      </c>
      <c r="D30" s="9" t="s">
        <v>103</v>
      </c>
      <c r="E30" s="9" t="s">
        <v>417</v>
      </c>
      <c r="F30" s="9" t="s">
        <v>332</v>
      </c>
      <c r="G30" s="9" t="s">
        <v>106</v>
      </c>
      <c r="H30" s="9"/>
      <c r="I30" s="9"/>
      <c r="J30" s="9">
        <v>22.806000000000001</v>
      </c>
      <c r="K30" s="9">
        <v>18.515000000000001</v>
      </c>
      <c r="L30" s="11"/>
      <c r="M30" s="104">
        <f t="shared" ref="M30:N30" si="62">AVERAGE(J30:J33)</f>
        <v>22.781750000000002</v>
      </c>
      <c r="N30" s="104">
        <f t="shared" si="62"/>
        <v>18.29025</v>
      </c>
      <c r="O30" s="104"/>
      <c r="P30" s="89">
        <f t="shared" ref="P30" si="63">GEOMEAN(M30,N30)</f>
        <v>20.412836719513045</v>
      </c>
      <c r="Q30" s="1" t="s">
        <v>417</v>
      </c>
      <c r="R30" s="1" t="s">
        <v>191</v>
      </c>
      <c r="S30" s="1" t="s">
        <v>106</v>
      </c>
      <c r="T30" s="1" t="s">
        <v>107</v>
      </c>
      <c r="U30" s="1" t="s">
        <v>108</v>
      </c>
      <c r="V30" s="1">
        <v>23.37</v>
      </c>
      <c r="W30" s="96">
        <f t="shared" ref="W30" si="64">_xlfn.STDEV.S(V30:V33)</f>
        <v>0.1007285957412298</v>
      </c>
      <c r="X30" s="128">
        <f t="shared" ref="X30" si="65">AVERAGE(V30:V33)</f>
        <v>23.22325</v>
      </c>
      <c r="Y30" s="96">
        <f t="shared" ref="Y30" si="66">X30-P30</f>
        <v>2.810413280486955</v>
      </c>
      <c r="Z30" s="96">
        <f t="shared" ref="Z30" si="67">Y30-$AE$4</f>
        <v>0.24257730835094904</v>
      </c>
      <c r="AA30" s="84">
        <f t="shared" ref="AA30" si="68">2^-Z30</f>
        <v>0.84523399115283204</v>
      </c>
      <c r="AB30" s="139"/>
      <c r="AC30" s="1">
        <f t="shared" ref="AC30" si="69">LOG(AA30,2)</f>
        <v>-0.24257730835094909</v>
      </c>
      <c r="AD30" s="1"/>
      <c r="AE30" s="1"/>
    </row>
    <row r="31" spans="1:31" x14ac:dyDescent="0.25">
      <c r="A31" s="101"/>
      <c r="B31" s="1">
        <v>363</v>
      </c>
      <c r="C31" s="1" t="s">
        <v>400</v>
      </c>
      <c r="D31" s="1" t="s">
        <v>103</v>
      </c>
      <c r="E31" s="1" t="s">
        <v>417</v>
      </c>
      <c r="F31" s="1" t="s">
        <v>332</v>
      </c>
      <c r="G31" s="1" t="s">
        <v>106</v>
      </c>
      <c r="H31" s="1"/>
      <c r="I31" s="1"/>
      <c r="J31" s="1">
        <v>22.748999999999999</v>
      </c>
      <c r="K31" s="1">
        <v>18.596</v>
      </c>
      <c r="L31" s="14"/>
      <c r="M31" s="105"/>
      <c r="N31" s="105"/>
      <c r="O31" s="105"/>
      <c r="P31" s="90"/>
      <c r="Q31" s="1" t="s">
        <v>417</v>
      </c>
      <c r="R31" s="1" t="s">
        <v>191</v>
      </c>
      <c r="S31" s="1" t="s">
        <v>106</v>
      </c>
      <c r="T31" s="1" t="s">
        <v>107</v>
      </c>
      <c r="U31" s="1" t="s">
        <v>108</v>
      </c>
      <c r="V31" s="1">
        <v>23.169</v>
      </c>
      <c r="W31" s="97"/>
      <c r="X31" s="129"/>
      <c r="Y31" s="97"/>
      <c r="Z31" s="97"/>
      <c r="AA31" s="85"/>
      <c r="AB31" s="140"/>
      <c r="AC31" s="1"/>
      <c r="AD31" s="1"/>
      <c r="AE31" s="1"/>
    </row>
    <row r="32" spans="1:31" x14ac:dyDescent="0.25">
      <c r="A32" s="101"/>
      <c r="B32" s="1">
        <v>340</v>
      </c>
      <c r="C32" s="1" t="s">
        <v>389</v>
      </c>
      <c r="D32" s="1" t="s">
        <v>103</v>
      </c>
      <c r="E32" s="1" t="s">
        <v>417</v>
      </c>
      <c r="F32" s="1" t="s">
        <v>332</v>
      </c>
      <c r="G32" s="1" t="s">
        <v>106</v>
      </c>
      <c r="H32" s="1"/>
      <c r="I32" s="1"/>
      <c r="J32" s="1">
        <v>22.742999999999999</v>
      </c>
      <c r="K32" s="1">
        <v>18.411999999999999</v>
      </c>
      <c r="L32" s="14"/>
      <c r="M32" s="105"/>
      <c r="N32" s="105"/>
      <c r="O32" s="105"/>
      <c r="P32" s="90"/>
      <c r="Q32" s="1" t="s">
        <v>417</v>
      </c>
      <c r="R32" s="1" t="s">
        <v>191</v>
      </c>
      <c r="S32" s="1" t="s">
        <v>106</v>
      </c>
      <c r="T32" s="1" t="s">
        <v>107</v>
      </c>
      <c r="U32" s="1" t="s">
        <v>108</v>
      </c>
      <c r="V32" s="1">
        <v>23.148</v>
      </c>
      <c r="W32" s="97"/>
      <c r="X32" s="129"/>
      <c r="Y32" s="97"/>
      <c r="Z32" s="97"/>
      <c r="AA32" s="85"/>
      <c r="AB32" s="140"/>
      <c r="AC32" s="1"/>
      <c r="AD32" s="1"/>
      <c r="AE32" s="1"/>
    </row>
    <row r="33" spans="1:31" ht="15.75" thickBot="1" x14ac:dyDescent="0.3">
      <c r="A33" s="107"/>
      <c r="B33" s="83">
        <v>364</v>
      </c>
      <c r="C33" s="83" t="s">
        <v>401</v>
      </c>
      <c r="D33" s="83" t="s">
        <v>103</v>
      </c>
      <c r="E33" s="83" t="s">
        <v>417</v>
      </c>
      <c r="F33" s="83" t="s">
        <v>332</v>
      </c>
      <c r="G33" s="83" t="s">
        <v>106</v>
      </c>
      <c r="H33" s="83">
        <f t="shared" ref="H33" si="70">_xlfn.STDEV.S(K30:K33)</f>
        <v>0.44130441118725816</v>
      </c>
      <c r="I33" s="83">
        <f t="shared" ref="I33" si="71">_xlfn.STDEV.S(J30:J33)</f>
        <v>4.2405777908206085E-2</v>
      </c>
      <c r="J33" s="83">
        <v>22.829000000000001</v>
      </c>
      <c r="K33" s="83">
        <v>17.638000000000002</v>
      </c>
      <c r="L33" s="17"/>
      <c r="M33" s="108"/>
      <c r="N33" s="108"/>
      <c r="O33" s="108"/>
      <c r="P33" s="109"/>
      <c r="Q33" s="1" t="s">
        <v>417</v>
      </c>
      <c r="R33" s="1" t="s">
        <v>191</v>
      </c>
      <c r="S33" s="1" t="s">
        <v>106</v>
      </c>
      <c r="T33" s="1" t="s">
        <v>107</v>
      </c>
      <c r="U33" s="1" t="s">
        <v>108</v>
      </c>
      <c r="V33" s="1">
        <v>23.206</v>
      </c>
      <c r="W33" s="98"/>
      <c r="X33" s="130"/>
      <c r="Y33" s="98"/>
      <c r="Z33" s="98"/>
      <c r="AA33" s="86"/>
      <c r="AB33" s="141"/>
      <c r="AC33" s="1"/>
      <c r="AD33" s="1"/>
      <c r="AE33" s="1"/>
    </row>
    <row r="34" spans="1:31" x14ac:dyDescent="0.25">
      <c r="A34" s="100"/>
      <c r="B34" s="9">
        <v>341</v>
      </c>
      <c r="C34" s="9" t="s">
        <v>390</v>
      </c>
      <c r="D34" s="9" t="s">
        <v>103</v>
      </c>
      <c r="E34" s="9" t="s">
        <v>418</v>
      </c>
      <c r="F34" s="9" t="s">
        <v>332</v>
      </c>
      <c r="G34" s="9" t="s">
        <v>106</v>
      </c>
      <c r="H34" s="9"/>
      <c r="I34" s="9"/>
      <c r="J34" s="9">
        <v>22.611000000000001</v>
      </c>
      <c r="K34" s="9">
        <v>18.010000000000002</v>
      </c>
      <c r="L34" s="11"/>
      <c r="M34" s="104">
        <f t="shared" ref="M34:N34" si="72">AVERAGE(J34:J37)</f>
        <v>22.61225</v>
      </c>
      <c r="N34" s="104">
        <f t="shared" si="72"/>
        <v>18.068000000000001</v>
      </c>
      <c r="O34" s="104"/>
      <c r="P34" s="89">
        <f t="shared" ref="P34" si="73">GEOMEAN(M34,N34)</f>
        <v>20.21282100549055</v>
      </c>
      <c r="Q34" s="1" t="s">
        <v>418</v>
      </c>
      <c r="R34" s="1" t="s">
        <v>191</v>
      </c>
      <c r="S34" s="1" t="s">
        <v>106</v>
      </c>
      <c r="T34" s="1" t="s">
        <v>107</v>
      </c>
      <c r="U34" s="1" t="s">
        <v>108</v>
      </c>
      <c r="V34" s="1">
        <v>20.812000000000001</v>
      </c>
      <c r="W34" s="96">
        <f t="shared" ref="W34" si="74">_xlfn.STDEV.S(V34:V37)</f>
        <v>1.8129166187850588E-2</v>
      </c>
      <c r="X34" s="128">
        <f t="shared" ref="X34" si="75">AVERAGE(V34:V37)</f>
        <v>20.791</v>
      </c>
      <c r="Y34" s="96">
        <f t="shared" ref="Y34" si="76">X34-P34</f>
        <v>0.57817899450945021</v>
      </c>
      <c r="Z34" s="96">
        <f t="shared" ref="Z34" si="77">Y34-$AE$4</f>
        <v>-1.9896569776265558</v>
      </c>
      <c r="AA34" s="84">
        <f t="shared" ref="AA34" si="78">2^-Z34</f>
        <v>3.971425603509589</v>
      </c>
      <c r="AB34" s="136"/>
      <c r="AC34" s="1">
        <f t="shared" ref="AC34" si="79">LOG(AA34,2)</f>
        <v>1.989656977626556</v>
      </c>
      <c r="AD34" s="1"/>
      <c r="AE34" s="1"/>
    </row>
    <row r="35" spans="1:31" x14ac:dyDescent="0.25">
      <c r="A35" s="101"/>
      <c r="B35" s="1">
        <v>365</v>
      </c>
      <c r="C35" s="1" t="s">
        <v>402</v>
      </c>
      <c r="D35" s="1" t="s">
        <v>103</v>
      </c>
      <c r="E35" s="1" t="s">
        <v>418</v>
      </c>
      <c r="F35" s="1" t="s">
        <v>332</v>
      </c>
      <c r="G35" s="1" t="s">
        <v>106</v>
      </c>
      <c r="H35" s="1"/>
      <c r="I35" s="1"/>
      <c r="J35" s="1">
        <v>22.594000000000001</v>
      </c>
      <c r="K35" s="1">
        <v>18.193000000000001</v>
      </c>
      <c r="L35" s="14"/>
      <c r="M35" s="105"/>
      <c r="N35" s="105"/>
      <c r="O35" s="105"/>
      <c r="P35" s="90"/>
      <c r="Q35" s="1" t="s">
        <v>418</v>
      </c>
      <c r="R35" s="1" t="s">
        <v>191</v>
      </c>
      <c r="S35" s="1" t="s">
        <v>106</v>
      </c>
      <c r="T35" s="1" t="s">
        <v>107</v>
      </c>
      <c r="U35" s="1" t="s">
        <v>108</v>
      </c>
      <c r="V35" s="1">
        <v>20.797000000000001</v>
      </c>
      <c r="W35" s="97"/>
      <c r="X35" s="129"/>
      <c r="Y35" s="97"/>
      <c r="Z35" s="97"/>
      <c r="AA35" s="85"/>
      <c r="AB35" s="137"/>
      <c r="AC35" s="1"/>
      <c r="AD35" s="1"/>
      <c r="AE35" s="1"/>
    </row>
    <row r="36" spans="1:31" x14ac:dyDescent="0.25">
      <c r="A36" s="101"/>
      <c r="B36" s="1">
        <v>342</v>
      </c>
      <c r="C36" s="1" t="s">
        <v>391</v>
      </c>
      <c r="D36" s="1" t="s">
        <v>103</v>
      </c>
      <c r="E36" s="1" t="s">
        <v>418</v>
      </c>
      <c r="F36" s="1" t="s">
        <v>332</v>
      </c>
      <c r="G36" s="1" t="s">
        <v>106</v>
      </c>
      <c r="H36" s="1"/>
      <c r="I36" s="1"/>
      <c r="J36" s="1">
        <v>22.55</v>
      </c>
      <c r="K36" s="1">
        <v>17.946000000000002</v>
      </c>
      <c r="L36" s="14"/>
      <c r="M36" s="105"/>
      <c r="N36" s="105"/>
      <c r="O36" s="105"/>
      <c r="P36" s="90"/>
      <c r="Q36" s="1" t="s">
        <v>418</v>
      </c>
      <c r="R36" s="1" t="s">
        <v>191</v>
      </c>
      <c r="S36" s="1" t="s">
        <v>106</v>
      </c>
      <c r="T36" s="1" t="s">
        <v>107</v>
      </c>
      <c r="U36" s="1" t="s">
        <v>108</v>
      </c>
      <c r="V36" s="1">
        <v>20.786000000000001</v>
      </c>
      <c r="W36" s="97"/>
      <c r="X36" s="129"/>
      <c r="Y36" s="97"/>
      <c r="Z36" s="97"/>
      <c r="AA36" s="85"/>
      <c r="AB36" s="137"/>
      <c r="AC36" s="1"/>
      <c r="AD36" s="1"/>
      <c r="AE36" s="1"/>
    </row>
    <row r="37" spans="1:31" ht="15.75" thickBot="1" x14ac:dyDescent="0.3">
      <c r="A37" s="107"/>
      <c r="B37" s="83">
        <v>366</v>
      </c>
      <c r="C37" s="83" t="s">
        <v>403</v>
      </c>
      <c r="D37" s="83" t="s">
        <v>103</v>
      </c>
      <c r="E37" s="83" t="s">
        <v>418</v>
      </c>
      <c r="F37" s="83" t="s">
        <v>332</v>
      </c>
      <c r="G37" s="83" t="s">
        <v>106</v>
      </c>
      <c r="H37" s="83">
        <f t="shared" ref="H37" si="80">_xlfn.STDEV.S(K34:K37)</f>
        <v>0.11090235945791824</v>
      </c>
      <c r="I37" s="83">
        <f t="shared" ref="I37" si="81">_xlfn.STDEV.S(J34:J37)</f>
        <v>6.0257088103115065E-2</v>
      </c>
      <c r="J37" s="83">
        <v>22.693999999999999</v>
      </c>
      <c r="K37" s="83">
        <v>18.123000000000001</v>
      </c>
      <c r="L37" s="17"/>
      <c r="M37" s="108"/>
      <c r="N37" s="108"/>
      <c r="O37" s="108"/>
      <c r="P37" s="109"/>
      <c r="Q37" s="1" t="s">
        <v>418</v>
      </c>
      <c r="R37" s="1" t="s">
        <v>191</v>
      </c>
      <c r="S37" s="1" t="s">
        <v>106</v>
      </c>
      <c r="T37" s="1" t="s">
        <v>107</v>
      </c>
      <c r="U37" s="1" t="s">
        <v>108</v>
      </c>
      <c r="V37" s="1">
        <v>20.768999999999998</v>
      </c>
      <c r="W37" s="98"/>
      <c r="X37" s="130"/>
      <c r="Y37" s="98"/>
      <c r="Z37" s="98"/>
      <c r="AA37" s="86"/>
      <c r="AB37" s="138"/>
      <c r="AC37" s="1"/>
      <c r="AD37" s="1"/>
      <c r="AE37" s="1"/>
    </row>
    <row r="38" spans="1:31" x14ac:dyDescent="0.25">
      <c r="A38" s="100"/>
      <c r="B38" s="9">
        <v>343</v>
      </c>
      <c r="C38" s="9" t="s">
        <v>392</v>
      </c>
      <c r="D38" s="9" t="s">
        <v>103</v>
      </c>
      <c r="E38" s="9" t="s">
        <v>419</v>
      </c>
      <c r="F38" s="9" t="s">
        <v>332</v>
      </c>
      <c r="G38" s="9" t="s">
        <v>106</v>
      </c>
      <c r="H38" s="9"/>
      <c r="I38" s="9"/>
      <c r="J38" s="9">
        <v>22.65</v>
      </c>
      <c r="K38" s="9">
        <v>17.954999999999998</v>
      </c>
      <c r="L38" s="11"/>
      <c r="M38" s="104">
        <f t="shared" ref="M38:N38" si="82">AVERAGE(J38:J41)</f>
        <v>22.660999999999998</v>
      </c>
      <c r="N38" s="104">
        <f t="shared" si="82"/>
        <v>17.9955</v>
      </c>
      <c r="O38" s="104"/>
      <c r="P38" s="89">
        <f t="shared" ref="P38" si="83">GEOMEAN(M38,N38)</f>
        <v>20.193960124254975</v>
      </c>
      <c r="Q38" s="1" t="s">
        <v>419</v>
      </c>
      <c r="R38" s="1" t="s">
        <v>191</v>
      </c>
      <c r="S38" s="1" t="s">
        <v>106</v>
      </c>
      <c r="T38" s="1" t="s">
        <v>107</v>
      </c>
      <c r="U38" s="1" t="s">
        <v>108</v>
      </c>
      <c r="V38" s="1">
        <v>20.734999999999999</v>
      </c>
      <c r="W38" s="96">
        <f t="shared" ref="W38" si="84">_xlfn.STDEV.S(V38:V41)</f>
        <v>7.1816896804767286E-2</v>
      </c>
      <c r="X38" s="128">
        <f t="shared" ref="X38" si="85">AVERAGE(V38:V41)</f>
        <v>20.7395</v>
      </c>
      <c r="Y38" s="96">
        <f t="shared" ref="Y38" si="86">X38-P38</f>
        <v>0.54553987574502472</v>
      </c>
      <c r="Z38" s="96">
        <f t="shared" ref="Z38" si="87">Y38-$AE$4</f>
        <v>-2.0222960963909813</v>
      </c>
      <c r="AA38" s="84">
        <f t="shared" ref="AA38" si="88">2^-Z38</f>
        <v>4.062298057392522</v>
      </c>
      <c r="AB38" s="136"/>
      <c r="AC38" s="1">
        <f t="shared" ref="AC38" si="89">LOG(AA38,2)</f>
        <v>2.0222960963909813</v>
      </c>
      <c r="AD38" s="1"/>
      <c r="AE38" s="1"/>
    </row>
    <row r="39" spans="1:31" x14ac:dyDescent="0.25">
      <c r="A39" s="101"/>
      <c r="B39" s="1">
        <v>367</v>
      </c>
      <c r="C39" s="1" t="s">
        <v>404</v>
      </c>
      <c r="D39" s="1" t="s">
        <v>103</v>
      </c>
      <c r="E39" s="1" t="s">
        <v>419</v>
      </c>
      <c r="F39" s="1" t="s">
        <v>332</v>
      </c>
      <c r="G39" s="1" t="s">
        <v>106</v>
      </c>
      <c r="H39" s="1"/>
      <c r="I39" s="1"/>
      <c r="J39" s="1">
        <v>22.596</v>
      </c>
      <c r="K39" s="1">
        <v>18.097000000000001</v>
      </c>
      <c r="L39" s="14"/>
      <c r="M39" s="105"/>
      <c r="N39" s="105"/>
      <c r="O39" s="105"/>
      <c r="P39" s="90"/>
      <c r="Q39" s="1" t="s">
        <v>419</v>
      </c>
      <c r="R39" s="1" t="s">
        <v>191</v>
      </c>
      <c r="S39" s="1" t="s">
        <v>106</v>
      </c>
      <c r="T39" s="1" t="s">
        <v>107</v>
      </c>
      <c r="U39" s="1" t="s">
        <v>108</v>
      </c>
      <c r="V39" s="1">
        <v>20.841999999999999</v>
      </c>
      <c r="W39" s="97"/>
      <c r="X39" s="129"/>
      <c r="Y39" s="97"/>
      <c r="Z39" s="97"/>
      <c r="AA39" s="85"/>
      <c r="AB39" s="137"/>
      <c r="AC39" s="1"/>
      <c r="AD39" s="1"/>
      <c r="AE39" s="1"/>
    </row>
    <row r="40" spans="1:31" x14ac:dyDescent="0.25">
      <c r="A40" s="101"/>
      <c r="B40" s="1">
        <v>344</v>
      </c>
      <c r="C40" s="1" t="s">
        <v>393</v>
      </c>
      <c r="D40" s="1" t="s">
        <v>103</v>
      </c>
      <c r="E40" s="1" t="s">
        <v>419</v>
      </c>
      <c r="F40" s="1" t="s">
        <v>332</v>
      </c>
      <c r="G40" s="1" t="s">
        <v>106</v>
      </c>
      <c r="H40" s="1"/>
      <c r="I40" s="1"/>
      <c r="J40" s="1">
        <v>22.698</v>
      </c>
      <c r="K40" s="1">
        <v>17.888999999999999</v>
      </c>
      <c r="L40" s="14"/>
      <c r="M40" s="105"/>
      <c r="N40" s="105"/>
      <c r="O40" s="105"/>
      <c r="P40" s="90"/>
      <c r="Q40" s="1" t="s">
        <v>419</v>
      </c>
      <c r="R40" s="1" t="s">
        <v>191</v>
      </c>
      <c r="S40" s="1" t="s">
        <v>106</v>
      </c>
      <c r="T40" s="1" t="s">
        <v>107</v>
      </c>
      <c r="U40" s="1" t="s">
        <v>108</v>
      </c>
      <c r="V40" s="1">
        <v>20.681999999999999</v>
      </c>
      <c r="W40" s="97"/>
      <c r="X40" s="129"/>
      <c r="Y40" s="97"/>
      <c r="Z40" s="97"/>
      <c r="AA40" s="85"/>
      <c r="AB40" s="137"/>
      <c r="AC40" s="1"/>
      <c r="AD40" s="1"/>
      <c r="AE40" s="1"/>
    </row>
    <row r="41" spans="1:31" ht="15.75" thickBot="1" x14ac:dyDescent="0.3">
      <c r="A41" s="107"/>
      <c r="B41" s="83">
        <v>368</v>
      </c>
      <c r="C41" s="83" t="s">
        <v>405</v>
      </c>
      <c r="D41" s="83" t="s">
        <v>103</v>
      </c>
      <c r="E41" s="83" t="s">
        <v>419</v>
      </c>
      <c r="F41" s="83" t="s">
        <v>332</v>
      </c>
      <c r="G41" s="83" t="s">
        <v>106</v>
      </c>
      <c r="H41" s="83">
        <f t="shared" ref="H41" si="90">_xlfn.STDEV.S(K38:K41)</f>
        <v>9.1932946578834621E-2</v>
      </c>
      <c r="I41" s="83">
        <f t="shared" ref="I41" si="91">_xlfn.STDEV.S(J38:J41)</f>
        <v>4.911211663123468E-2</v>
      </c>
      <c r="J41" s="83">
        <v>22.7</v>
      </c>
      <c r="K41" s="83">
        <v>18.041</v>
      </c>
      <c r="L41" s="17"/>
      <c r="M41" s="108"/>
      <c r="N41" s="108"/>
      <c r="O41" s="108"/>
      <c r="P41" s="109"/>
      <c r="Q41" s="1" t="s">
        <v>419</v>
      </c>
      <c r="R41" s="1" t="s">
        <v>191</v>
      </c>
      <c r="S41" s="1" t="s">
        <v>106</v>
      </c>
      <c r="T41" s="1" t="s">
        <v>107</v>
      </c>
      <c r="U41" s="1" t="s">
        <v>108</v>
      </c>
      <c r="V41" s="1">
        <v>20.699000000000002</v>
      </c>
      <c r="W41" s="98"/>
      <c r="X41" s="130"/>
      <c r="Y41" s="98"/>
      <c r="Z41" s="98"/>
      <c r="AA41" s="86"/>
      <c r="AB41" s="138"/>
      <c r="AC41" s="1"/>
      <c r="AD41" s="1"/>
      <c r="AE41" s="1"/>
    </row>
    <row r="42" spans="1:31" x14ac:dyDescent="0.25">
      <c r="A42" s="100"/>
      <c r="B42" s="9">
        <v>345</v>
      </c>
      <c r="C42" s="9" t="s">
        <v>394</v>
      </c>
      <c r="D42" s="9" t="s">
        <v>103</v>
      </c>
      <c r="E42" s="9" t="s">
        <v>420</v>
      </c>
      <c r="F42" s="9" t="s">
        <v>332</v>
      </c>
      <c r="G42" s="9" t="s">
        <v>106</v>
      </c>
      <c r="H42" s="9"/>
      <c r="I42" s="9"/>
      <c r="J42" s="9">
        <v>24.039000000000001</v>
      </c>
      <c r="K42" s="9">
        <v>20.016999999999999</v>
      </c>
      <c r="L42" s="11"/>
      <c r="M42" s="104">
        <f t="shared" ref="M42:N42" si="92">AVERAGE(J42:J45)</f>
        <v>24.10125</v>
      </c>
      <c r="N42" s="104">
        <f t="shared" si="92"/>
        <v>19.996499999999997</v>
      </c>
      <c r="O42" s="104"/>
      <c r="P42" s="89">
        <f t="shared" ref="P42" si="93">GEOMEAN(M42,N42)</f>
        <v>21.953146599633502</v>
      </c>
      <c r="Q42" s="1" t="s">
        <v>420</v>
      </c>
      <c r="R42" s="1" t="s">
        <v>191</v>
      </c>
      <c r="S42" s="1" t="s">
        <v>106</v>
      </c>
      <c r="T42" s="1" t="s">
        <v>107</v>
      </c>
      <c r="U42" s="1" t="s">
        <v>108</v>
      </c>
      <c r="V42" s="1">
        <v>24.262</v>
      </c>
      <c r="W42" s="96">
        <f t="shared" ref="W42" si="94">_xlfn.STDEV.S(V42:V45)</f>
        <v>7.4728397101325145E-2</v>
      </c>
      <c r="X42" s="128">
        <f t="shared" ref="X42" si="95">AVERAGE(V42:V45)</f>
        <v>24.3675</v>
      </c>
      <c r="Y42" s="96">
        <f t="shared" ref="Y42" si="96">X42-P42</f>
        <v>2.4143534003664975</v>
      </c>
      <c r="Z42" s="96">
        <f t="shared" ref="Z42" si="97">Y42-$AE$4</f>
        <v>-0.15348257176950852</v>
      </c>
      <c r="AA42" s="84">
        <f t="shared" ref="AA42" si="98">2^-Z42</f>
        <v>1.1122511358114942</v>
      </c>
      <c r="AB42" s="132"/>
      <c r="AC42" s="1">
        <f t="shared" ref="AC42" si="99">LOG(AA42,2)</f>
        <v>0.15348257176950844</v>
      </c>
      <c r="AD42" s="1"/>
      <c r="AE42" s="1"/>
    </row>
    <row r="43" spans="1:31" x14ac:dyDescent="0.25">
      <c r="A43" s="101"/>
      <c r="B43" s="1">
        <v>369</v>
      </c>
      <c r="C43" s="1" t="s">
        <v>406</v>
      </c>
      <c r="D43" s="1" t="s">
        <v>103</v>
      </c>
      <c r="E43" s="1" t="s">
        <v>420</v>
      </c>
      <c r="F43" s="1" t="s">
        <v>332</v>
      </c>
      <c r="G43" s="1" t="s">
        <v>106</v>
      </c>
      <c r="H43" s="1"/>
      <c r="I43" s="1"/>
      <c r="J43" s="1">
        <v>24.114999999999998</v>
      </c>
      <c r="K43" s="1">
        <v>20.026</v>
      </c>
      <c r="L43" s="14"/>
      <c r="M43" s="105"/>
      <c r="N43" s="105"/>
      <c r="O43" s="105"/>
      <c r="P43" s="90"/>
      <c r="Q43" s="1" t="s">
        <v>420</v>
      </c>
      <c r="R43" s="1" t="s">
        <v>191</v>
      </c>
      <c r="S43" s="1" t="s">
        <v>106</v>
      </c>
      <c r="T43" s="1" t="s">
        <v>107</v>
      </c>
      <c r="U43" s="1" t="s">
        <v>108</v>
      </c>
      <c r="V43" s="1">
        <v>24.419</v>
      </c>
      <c r="W43" s="97"/>
      <c r="X43" s="129"/>
      <c r="Y43" s="97"/>
      <c r="Z43" s="97"/>
      <c r="AA43" s="85"/>
      <c r="AB43" s="133"/>
      <c r="AC43" s="1"/>
      <c r="AD43" s="1"/>
      <c r="AE43" s="1"/>
    </row>
    <row r="44" spans="1:31" x14ac:dyDescent="0.25">
      <c r="A44" s="101"/>
      <c r="B44" s="1">
        <v>346</v>
      </c>
      <c r="C44" s="1" t="s">
        <v>395</v>
      </c>
      <c r="D44" s="1" t="s">
        <v>103</v>
      </c>
      <c r="E44" s="1" t="s">
        <v>420</v>
      </c>
      <c r="F44" s="1" t="s">
        <v>332</v>
      </c>
      <c r="G44" s="1" t="s">
        <v>106</v>
      </c>
      <c r="H44" s="1"/>
      <c r="I44" s="1"/>
      <c r="J44" s="1">
        <v>24.184000000000001</v>
      </c>
      <c r="K44" s="1">
        <v>19.843</v>
      </c>
      <c r="L44" s="14"/>
      <c r="M44" s="105"/>
      <c r="N44" s="105"/>
      <c r="O44" s="105"/>
      <c r="P44" s="90"/>
      <c r="Q44" s="1" t="s">
        <v>420</v>
      </c>
      <c r="R44" s="1" t="s">
        <v>191</v>
      </c>
      <c r="S44" s="1" t="s">
        <v>106</v>
      </c>
      <c r="T44" s="1" t="s">
        <v>107</v>
      </c>
      <c r="U44" s="1" t="s">
        <v>108</v>
      </c>
      <c r="V44" s="1">
        <v>24.422000000000001</v>
      </c>
      <c r="W44" s="97"/>
      <c r="X44" s="129"/>
      <c r="Y44" s="97"/>
      <c r="Z44" s="97"/>
      <c r="AA44" s="85"/>
      <c r="AB44" s="133"/>
      <c r="AC44" s="1"/>
      <c r="AD44" s="1"/>
      <c r="AE44" s="1"/>
    </row>
    <row r="45" spans="1:31" ht="15.75" thickBot="1" x14ac:dyDescent="0.3">
      <c r="A45" s="107"/>
      <c r="B45" s="83">
        <v>370</v>
      </c>
      <c r="C45" s="83" t="s">
        <v>407</v>
      </c>
      <c r="D45" s="83" t="s">
        <v>103</v>
      </c>
      <c r="E45" s="83" t="s">
        <v>420</v>
      </c>
      <c r="F45" s="83" t="s">
        <v>332</v>
      </c>
      <c r="G45" s="83" t="s">
        <v>106</v>
      </c>
      <c r="H45" s="83">
        <f t="shared" ref="H45" si="100">_xlfn.STDEV.S(K42:K45)</f>
        <v>0.1088806686239577</v>
      </c>
      <c r="I45" s="83">
        <f t="shared" ref="I45" si="101">_xlfn.STDEV.S(J42:J45)</f>
        <v>6.3468496122091766E-2</v>
      </c>
      <c r="J45" s="83">
        <v>24.067</v>
      </c>
      <c r="K45" s="83">
        <v>20.100000000000001</v>
      </c>
      <c r="L45" s="17"/>
      <c r="M45" s="108"/>
      <c r="N45" s="108"/>
      <c r="O45" s="108"/>
      <c r="P45" s="109"/>
      <c r="Q45" s="1" t="s">
        <v>420</v>
      </c>
      <c r="R45" s="1" t="s">
        <v>191</v>
      </c>
      <c r="S45" s="1" t="s">
        <v>106</v>
      </c>
      <c r="T45" s="1" t="s">
        <v>107</v>
      </c>
      <c r="U45" s="1" t="s">
        <v>108</v>
      </c>
      <c r="V45" s="1">
        <v>24.367000000000001</v>
      </c>
      <c r="W45" s="98"/>
      <c r="X45" s="130"/>
      <c r="Y45" s="98"/>
      <c r="Z45" s="98"/>
      <c r="AA45" s="86"/>
      <c r="AB45" s="135"/>
      <c r="AC45" s="1"/>
      <c r="AD45" s="1"/>
      <c r="AE45" s="1"/>
    </row>
    <row r="46" spans="1:31" x14ac:dyDescent="0.25">
      <c r="A46" s="100"/>
      <c r="B46" s="9">
        <v>347</v>
      </c>
      <c r="C46" s="9" t="s">
        <v>396</v>
      </c>
      <c r="D46" s="9" t="s">
        <v>103</v>
      </c>
      <c r="E46" s="9" t="s">
        <v>421</v>
      </c>
      <c r="F46" s="9" t="s">
        <v>332</v>
      </c>
      <c r="G46" s="9" t="s">
        <v>106</v>
      </c>
      <c r="H46" s="9"/>
      <c r="I46" s="9"/>
      <c r="J46" s="9">
        <v>23.227</v>
      </c>
      <c r="K46" s="9">
        <v>18.948</v>
      </c>
      <c r="L46" s="11"/>
      <c r="M46" s="104">
        <f t="shared" ref="M46:N46" si="102">AVERAGE(J46:J49)</f>
        <v>23.23875</v>
      </c>
      <c r="N46" s="104">
        <f t="shared" si="102"/>
        <v>18.911249999999999</v>
      </c>
      <c r="O46" s="104"/>
      <c r="P46" s="89">
        <f t="shared" ref="P46" si="103">GEOMEAN(M46,N46)</f>
        <v>20.963630671653704</v>
      </c>
      <c r="Q46" s="1" t="s">
        <v>421</v>
      </c>
      <c r="R46" s="1" t="s">
        <v>191</v>
      </c>
      <c r="S46" s="1" t="s">
        <v>106</v>
      </c>
      <c r="T46" s="1" t="s">
        <v>107</v>
      </c>
      <c r="U46" s="1" t="s">
        <v>108</v>
      </c>
      <c r="V46" s="1">
        <v>22.843</v>
      </c>
      <c r="W46" s="96">
        <f t="shared" ref="W46" si="104">_xlfn.STDEV.S(V46:V49)</f>
        <v>9.3439374284434176E-2</v>
      </c>
      <c r="X46" s="128">
        <f t="shared" ref="X46" si="105">AVERAGE(V46:V49)</f>
        <v>22.839750000000002</v>
      </c>
      <c r="Y46" s="96">
        <f t="shared" ref="Y46" si="106">X46-P46</f>
        <v>1.8761193283462987</v>
      </c>
      <c r="Z46" s="96">
        <f t="shared" ref="Z46" si="107">Y46-$AE$4</f>
        <v>-0.69171664378970732</v>
      </c>
      <c r="AA46" s="84">
        <f t="shared" ref="AA46" si="108">2^-Z46</f>
        <v>1.6152042857333242</v>
      </c>
      <c r="AB46" s="132"/>
      <c r="AC46" s="1">
        <f t="shared" ref="AC46" si="109">LOG(AA46,2)</f>
        <v>0.69171664378970743</v>
      </c>
      <c r="AD46" s="1"/>
      <c r="AE46" s="1"/>
    </row>
    <row r="47" spans="1:31" x14ac:dyDescent="0.25">
      <c r="A47" s="101"/>
      <c r="B47" s="1">
        <v>371</v>
      </c>
      <c r="C47" s="1" t="s">
        <v>408</v>
      </c>
      <c r="D47" s="1" t="s">
        <v>103</v>
      </c>
      <c r="E47" s="1" t="s">
        <v>421</v>
      </c>
      <c r="F47" s="1" t="s">
        <v>332</v>
      </c>
      <c r="G47" s="1" t="s">
        <v>106</v>
      </c>
      <c r="H47" s="1"/>
      <c r="I47" s="1"/>
      <c r="J47" s="1">
        <v>23.309000000000001</v>
      </c>
      <c r="K47" s="1">
        <v>18.928999999999998</v>
      </c>
      <c r="L47" s="14"/>
      <c r="M47" s="105"/>
      <c r="N47" s="105"/>
      <c r="O47" s="105"/>
      <c r="P47" s="90"/>
      <c r="Q47" s="1" t="s">
        <v>421</v>
      </c>
      <c r="R47" s="1" t="s">
        <v>191</v>
      </c>
      <c r="S47" s="1" t="s">
        <v>106</v>
      </c>
      <c r="T47" s="1" t="s">
        <v>107</v>
      </c>
      <c r="U47" s="1" t="s">
        <v>108</v>
      </c>
      <c r="V47" s="1">
        <v>22.962</v>
      </c>
      <c r="W47" s="97"/>
      <c r="X47" s="129"/>
      <c r="Y47" s="97"/>
      <c r="Z47" s="97"/>
      <c r="AA47" s="85"/>
      <c r="AB47" s="133"/>
      <c r="AC47" s="1"/>
      <c r="AD47" s="1"/>
      <c r="AE47" s="1"/>
    </row>
    <row r="48" spans="1:31" x14ac:dyDescent="0.25">
      <c r="A48" s="101"/>
      <c r="B48" s="1">
        <v>348</v>
      </c>
      <c r="C48" s="1" t="s">
        <v>397</v>
      </c>
      <c r="D48" s="1" t="s">
        <v>103</v>
      </c>
      <c r="E48" s="1" t="s">
        <v>421</v>
      </c>
      <c r="F48" s="1" t="s">
        <v>332</v>
      </c>
      <c r="G48" s="1" t="s">
        <v>106</v>
      </c>
      <c r="H48" s="1"/>
      <c r="I48" s="1"/>
      <c r="J48" s="1">
        <v>23.308</v>
      </c>
      <c r="K48" s="1">
        <v>18.931000000000001</v>
      </c>
      <c r="L48" s="14"/>
      <c r="M48" s="105"/>
      <c r="N48" s="105"/>
      <c r="O48" s="105"/>
      <c r="P48" s="90"/>
      <c r="Q48" s="1" t="s">
        <v>421</v>
      </c>
      <c r="R48" s="1" t="s">
        <v>191</v>
      </c>
      <c r="S48" s="1" t="s">
        <v>106</v>
      </c>
      <c r="T48" s="1" t="s">
        <v>107</v>
      </c>
      <c r="U48" s="1" t="s">
        <v>108</v>
      </c>
      <c r="V48" s="1">
        <v>22.818000000000001</v>
      </c>
      <c r="W48" s="97"/>
      <c r="X48" s="129"/>
      <c r="Y48" s="97"/>
      <c r="Z48" s="97"/>
      <c r="AA48" s="85"/>
      <c r="AB48" s="133"/>
      <c r="AC48" s="1"/>
      <c r="AD48" s="1"/>
      <c r="AE48" s="1"/>
    </row>
    <row r="49" spans="1:31" ht="15.75" thickBot="1" x14ac:dyDescent="0.3">
      <c r="A49" s="107"/>
      <c r="B49" s="83">
        <v>372</v>
      </c>
      <c r="C49" s="83" t="s">
        <v>409</v>
      </c>
      <c r="D49" s="83" t="s">
        <v>103</v>
      </c>
      <c r="E49" s="83" t="s">
        <v>421</v>
      </c>
      <c r="F49" s="83" t="s">
        <v>332</v>
      </c>
      <c r="G49" s="83" t="s">
        <v>106</v>
      </c>
      <c r="H49" s="83">
        <f t="shared" ref="H49" si="110">_xlfn.STDEV.S(K46:K49)</f>
        <v>5.0228643886398958E-2</v>
      </c>
      <c r="I49" s="83">
        <f t="shared" ref="I49" si="111">_xlfn.STDEV.S(J46:J49)</f>
        <v>9.3432239261045852E-2</v>
      </c>
      <c r="J49" s="83">
        <v>23.111000000000001</v>
      </c>
      <c r="K49" s="83">
        <v>18.837</v>
      </c>
      <c r="L49" s="17"/>
      <c r="M49" s="108"/>
      <c r="N49" s="108"/>
      <c r="O49" s="108"/>
      <c r="P49" s="109"/>
      <c r="Q49" s="1" t="s">
        <v>421</v>
      </c>
      <c r="R49" s="1" t="s">
        <v>191</v>
      </c>
      <c r="S49" s="1" t="s">
        <v>106</v>
      </c>
      <c r="T49" s="1" t="s">
        <v>107</v>
      </c>
      <c r="U49" s="1" t="s">
        <v>108</v>
      </c>
      <c r="V49" s="1">
        <v>22.736000000000001</v>
      </c>
      <c r="W49" s="98"/>
      <c r="X49" s="130"/>
      <c r="Y49" s="98"/>
      <c r="Z49" s="98"/>
      <c r="AA49" s="86"/>
      <c r="AB49" s="134"/>
      <c r="AC49" s="1"/>
      <c r="AD49" s="1"/>
      <c r="AE49" s="1"/>
    </row>
    <row r="50" spans="1:31" x14ac:dyDescent="0.25">
      <c r="A50" s="100"/>
      <c r="B50" s="9">
        <v>337</v>
      </c>
      <c r="C50" s="9" t="s">
        <v>386</v>
      </c>
      <c r="D50" s="9" t="b">
        <v>0</v>
      </c>
      <c r="E50" s="9" t="s">
        <v>422</v>
      </c>
      <c r="F50" s="9" t="s">
        <v>332</v>
      </c>
      <c r="G50" s="9" t="s">
        <v>106</v>
      </c>
      <c r="H50" s="9"/>
      <c r="I50" s="9"/>
      <c r="J50" s="9">
        <v>22.439899444580078</v>
      </c>
      <c r="K50" s="9">
        <v>17.946588516235352</v>
      </c>
      <c r="L50" s="11"/>
      <c r="M50" s="104">
        <f t="shared" ref="M50:N50" si="112">AVERAGE(J50:J53)</f>
        <v>22.516579151153564</v>
      </c>
      <c r="N50" s="104">
        <f t="shared" si="112"/>
        <v>17.914458751678467</v>
      </c>
      <c r="O50" s="104"/>
      <c r="P50" s="89">
        <f t="shared" ref="P50" si="113">GEOMEAN(M50,N50)</f>
        <v>20.084131259087208</v>
      </c>
      <c r="Q50" t="s">
        <v>422</v>
      </c>
      <c r="R50" t="s">
        <v>191</v>
      </c>
      <c r="S50" t="s">
        <v>106</v>
      </c>
      <c r="T50" t="s">
        <v>107</v>
      </c>
      <c r="U50" t="s">
        <v>108</v>
      </c>
      <c r="V50" s="3">
        <v>22.004108428955078</v>
      </c>
      <c r="W50" s="96">
        <f t="shared" ref="W50" si="114">_xlfn.STDEV.S(V50:V53)</f>
        <v>9.2500413738087553E-2</v>
      </c>
      <c r="X50" s="128">
        <f t="shared" ref="X50" si="115">AVERAGE(V50:V53)</f>
        <v>22.118087291717529</v>
      </c>
      <c r="Y50" s="96">
        <f t="shared" ref="Y50" si="116">X50-P50</f>
        <v>2.0339560326303214</v>
      </c>
      <c r="Z50" s="96">
        <f>Y50-$AE$6</f>
        <v>-0.11675920469739332</v>
      </c>
      <c r="AA50" s="84">
        <f t="shared" ref="AA50" si="117">2^-Z50</f>
        <v>1.0842964175268832</v>
      </c>
      <c r="AB50" s="131"/>
      <c r="AC50" s="1">
        <f t="shared" ref="AC50" si="118">LOG(AA50,2)</f>
        <v>0.11675920469739318</v>
      </c>
      <c r="AD50" s="1"/>
      <c r="AE50" s="1"/>
    </row>
    <row r="51" spans="1:31" x14ac:dyDescent="0.25">
      <c r="A51" s="101"/>
      <c r="B51" s="1">
        <v>361</v>
      </c>
      <c r="C51" s="1" t="s">
        <v>398</v>
      </c>
      <c r="D51" s="1" t="b">
        <v>0</v>
      </c>
      <c r="E51" s="1" t="s">
        <v>422</v>
      </c>
      <c r="F51" s="1" t="s">
        <v>332</v>
      </c>
      <c r="G51" s="1" t="s">
        <v>106</v>
      </c>
      <c r="H51" s="1"/>
      <c r="I51" s="1"/>
      <c r="J51" s="1">
        <v>22.503049850463867</v>
      </c>
      <c r="K51" s="1">
        <v>17.91816520690918</v>
      </c>
      <c r="L51" s="14"/>
      <c r="M51" s="105"/>
      <c r="N51" s="105"/>
      <c r="O51" s="105"/>
      <c r="P51" s="90"/>
      <c r="Q51" t="s">
        <v>422</v>
      </c>
      <c r="R51" t="s">
        <v>191</v>
      </c>
      <c r="S51" t="s">
        <v>106</v>
      </c>
      <c r="T51" t="s">
        <v>107</v>
      </c>
      <c r="U51" t="s">
        <v>108</v>
      </c>
      <c r="V51" s="3">
        <v>22.081638336181641</v>
      </c>
      <c r="W51" s="97"/>
      <c r="X51" s="129"/>
      <c r="Y51" s="97"/>
      <c r="Z51" s="97"/>
      <c r="AA51" s="85"/>
      <c r="AB51" s="127"/>
      <c r="AC51" s="1"/>
      <c r="AD51" s="1"/>
      <c r="AE51" s="1"/>
    </row>
    <row r="52" spans="1:31" x14ac:dyDescent="0.25">
      <c r="A52" s="101"/>
      <c r="B52" s="1">
        <v>338</v>
      </c>
      <c r="C52" s="1" t="s">
        <v>387</v>
      </c>
      <c r="D52" s="1" t="b">
        <v>0</v>
      </c>
      <c r="E52" s="1" t="s">
        <v>422</v>
      </c>
      <c r="F52" s="1" t="s">
        <v>332</v>
      </c>
      <c r="G52" s="1" t="s">
        <v>106</v>
      </c>
      <c r="H52" s="1"/>
      <c r="I52" s="1"/>
      <c r="J52" s="1">
        <v>22.497282028198242</v>
      </c>
      <c r="K52" s="1">
        <v>17.994478225708008</v>
      </c>
      <c r="L52" s="14"/>
      <c r="M52" s="105"/>
      <c r="N52" s="105"/>
      <c r="O52" s="105"/>
      <c r="P52" s="90"/>
      <c r="Q52" t="s">
        <v>422</v>
      </c>
      <c r="R52" t="s">
        <v>191</v>
      </c>
      <c r="S52" t="s">
        <v>106</v>
      </c>
      <c r="T52" t="s">
        <v>107</v>
      </c>
      <c r="U52" t="s">
        <v>108</v>
      </c>
      <c r="V52" s="3">
        <v>22.189117431640625</v>
      </c>
      <c r="W52" s="97"/>
      <c r="X52" s="129"/>
      <c r="Y52" s="97"/>
      <c r="Z52" s="97"/>
      <c r="AA52" s="85"/>
      <c r="AB52" s="127"/>
      <c r="AC52" s="1"/>
      <c r="AD52" s="1"/>
      <c r="AE52" s="1"/>
    </row>
    <row r="53" spans="1:31" ht="15.75" thickBot="1" x14ac:dyDescent="0.3">
      <c r="A53" s="107"/>
      <c r="B53" s="83">
        <v>362</v>
      </c>
      <c r="C53" s="83" t="s">
        <v>399</v>
      </c>
      <c r="D53" s="83" t="b">
        <v>0</v>
      </c>
      <c r="E53" s="83" t="s">
        <v>422</v>
      </c>
      <c r="F53" s="83" t="s">
        <v>332</v>
      </c>
      <c r="G53" s="83" t="s">
        <v>106</v>
      </c>
      <c r="H53" s="83">
        <f t="shared" ref="H53" si="119">_xlfn.STDEV.S(K50:K53)</f>
        <v>8.341006652811378E-2</v>
      </c>
      <c r="I53" s="83">
        <f t="shared" ref="I53" si="120">_xlfn.STDEV.S(J50:J53)</f>
        <v>7.8372594885230545E-2</v>
      </c>
      <c r="J53" s="83">
        <v>22.62608528137207</v>
      </c>
      <c r="K53" s="83">
        <v>17.798603057861328</v>
      </c>
      <c r="L53" s="17"/>
      <c r="M53" s="108"/>
      <c r="N53" s="108"/>
      <c r="O53" s="108"/>
      <c r="P53" s="109"/>
      <c r="Q53" t="s">
        <v>422</v>
      </c>
      <c r="R53" t="s">
        <v>191</v>
      </c>
      <c r="S53" t="s">
        <v>106</v>
      </c>
      <c r="T53" t="s">
        <v>107</v>
      </c>
      <c r="U53" t="s">
        <v>108</v>
      </c>
      <c r="V53" s="3">
        <v>22.197484970092773</v>
      </c>
      <c r="W53" s="98"/>
      <c r="X53" s="130"/>
      <c r="Y53" s="98"/>
      <c r="Z53" s="98"/>
      <c r="AA53" s="86"/>
      <c r="AB53" s="127"/>
      <c r="AC53" s="1"/>
      <c r="AD53" s="1"/>
      <c r="AE53" s="1"/>
    </row>
    <row r="54" spans="1:31" x14ac:dyDescent="0.25">
      <c r="A54" s="100"/>
      <c r="B54" s="9">
        <v>339</v>
      </c>
      <c r="C54" s="9" t="s">
        <v>388</v>
      </c>
      <c r="D54" s="9" t="b">
        <v>0</v>
      </c>
      <c r="E54" s="9" t="s">
        <v>424</v>
      </c>
      <c r="F54" s="9" t="s">
        <v>332</v>
      </c>
      <c r="G54" s="9" t="s">
        <v>106</v>
      </c>
      <c r="H54" s="9"/>
      <c r="I54" s="9"/>
      <c r="J54" s="9">
        <v>22.781806945800781</v>
      </c>
      <c r="K54" s="9">
        <v>18.156644821166992</v>
      </c>
      <c r="L54" s="11"/>
      <c r="M54" s="104">
        <f t="shared" ref="M54:N54" si="121">AVERAGE(J54:J57)</f>
        <v>22.707976341247559</v>
      </c>
      <c r="N54" s="104">
        <f t="shared" si="121"/>
        <v>18.165340423583984</v>
      </c>
      <c r="O54" s="104"/>
      <c r="P54" s="89">
        <f t="shared" ref="P54" si="122">GEOMEAN(M54,N54)</f>
        <v>20.310049743155556</v>
      </c>
      <c r="Q54" t="s">
        <v>424</v>
      </c>
      <c r="R54" t="s">
        <v>191</v>
      </c>
      <c r="S54" t="s">
        <v>106</v>
      </c>
      <c r="T54" t="s">
        <v>107</v>
      </c>
      <c r="U54" t="s">
        <v>108</v>
      </c>
      <c r="V54" s="3">
        <v>22.536487579345703</v>
      </c>
      <c r="W54" s="96">
        <f t="shared" ref="W54" si="123">_xlfn.STDEV.S(V54:V57)</f>
        <v>9.5606396763128057E-2</v>
      </c>
      <c r="X54" s="128">
        <f t="shared" ref="X54" si="124">AVERAGE(V54:V57)</f>
        <v>22.577524185180664</v>
      </c>
      <c r="Y54" s="96">
        <f t="shared" ref="Y54" si="125">X54-P54</f>
        <v>2.2674744420251081</v>
      </c>
      <c r="Z54" s="96">
        <f t="shared" ref="Z54" si="126">Y54-$AE$6</f>
        <v>0.11675920469739332</v>
      </c>
      <c r="AA54" s="84">
        <f t="shared" ref="AA54" si="127">2^-Z54</f>
        <v>0.92225703583974694</v>
      </c>
      <c r="AB54" s="127"/>
      <c r="AC54" s="1">
        <f t="shared" ref="AC54" si="128">LOG(AA54,2)</f>
        <v>-0.11675920469739326</v>
      </c>
      <c r="AD54" s="1"/>
      <c r="AE54" s="1"/>
    </row>
    <row r="55" spans="1:31" x14ac:dyDescent="0.25">
      <c r="A55" s="101"/>
      <c r="B55" s="1">
        <v>363</v>
      </c>
      <c r="C55" s="1" t="s">
        <v>400</v>
      </c>
      <c r="D55" s="1" t="b">
        <v>0</v>
      </c>
      <c r="E55" s="1" t="s">
        <v>424</v>
      </c>
      <c r="F55" s="1" t="s">
        <v>332</v>
      </c>
      <c r="G55" s="1" t="s">
        <v>106</v>
      </c>
      <c r="H55" s="1"/>
      <c r="I55" s="1"/>
      <c r="J55" s="1">
        <v>22.68287467956543</v>
      </c>
      <c r="K55" s="1">
        <v>19.030796051025391</v>
      </c>
      <c r="L55" s="14"/>
      <c r="M55" s="105"/>
      <c r="N55" s="105"/>
      <c r="O55" s="105"/>
      <c r="P55" s="90"/>
      <c r="Q55" t="s">
        <v>424</v>
      </c>
      <c r="R55" t="s">
        <v>191</v>
      </c>
      <c r="S55" t="s">
        <v>106</v>
      </c>
      <c r="T55" t="s">
        <v>107</v>
      </c>
      <c r="U55" t="s">
        <v>108</v>
      </c>
      <c r="V55" s="3">
        <v>22.463888168334961</v>
      </c>
      <c r="W55" s="97"/>
      <c r="X55" s="129"/>
      <c r="Y55" s="97"/>
      <c r="Z55" s="97"/>
      <c r="AA55" s="85"/>
      <c r="AB55" s="127"/>
      <c r="AC55" s="1"/>
      <c r="AD55" s="1"/>
      <c r="AE55" s="1"/>
    </row>
    <row r="56" spans="1:31" x14ac:dyDescent="0.25">
      <c r="A56" s="101"/>
      <c r="B56" s="1">
        <v>340</v>
      </c>
      <c r="C56" s="1" t="s">
        <v>389</v>
      </c>
      <c r="D56" s="1" t="b">
        <v>0</v>
      </c>
      <c r="E56" s="1" t="s">
        <v>424</v>
      </c>
      <c r="F56" s="1" t="s">
        <v>332</v>
      </c>
      <c r="G56" s="1" t="s">
        <v>106</v>
      </c>
      <c r="H56" s="1"/>
      <c r="I56" s="1"/>
      <c r="J56" s="1">
        <v>22.742557525634766</v>
      </c>
      <c r="K56" s="1">
        <v>18.100671768188477</v>
      </c>
      <c r="L56" s="14"/>
      <c r="M56" s="105"/>
      <c r="N56" s="105"/>
      <c r="O56" s="105"/>
      <c r="P56" s="90"/>
      <c r="Q56" t="s">
        <v>424</v>
      </c>
      <c r="R56" t="s">
        <v>191</v>
      </c>
      <c r="S56" t="s">
        <v>106</v>
      </c>
      <c r="T56" t="s">
        <v>107</v>
      </c>
      <c r="U56" t="s">
        <v>108</v>
      </c>
      <c r="V56" s="3">
        <v>22.634090423583984</v>
      </c>
      <c r="W56" s="97"/>
      <c r="X56" s="129"/>
      <c r="Y56" s="97"/>
      <c r="Z56" s="97"/>
      <c r="AA56" s="85"/>
      <c r="AB56" s="127"/>
      <c r="AC56" s="1"/>
      <c r="AD56" s="1"/>
      <c r="AE56" s="1"/>
    </row>
    <row r="57" spans="1:31" ht="15.75" thickBot="1" x14ac:dyDescent="0.3">
      <c r="A57" s="107"/>
      <c r="B57" s="83">
        <v>364</v>
      </c>
      <c r="C57" s="83" t="s">
        <v>401</v>
      </c>
      <c r="D57" s="83" t="b">
        <v>0</v>
      </c>
      <c r="E57" s="83" t="s">
        <v>424</v>
      </c>
      <c r="F57" s="83" t="s">
        <v>332</v>
      </c>
      <c r="G57" s="83" t="s">
        <v>106</v>
      </c>
      <c r="H57" s="83">
        <f t="shared" ref="H57" si="129">_xlfn.STDEV.S(K54:K57)</f>
        <v>0.67840003670465998</v>
      </c>
      <c r="I57" s="83">
        <f t="shared" ref="I57" si="130">_xlfn.STDEV.S(J54:J57)</f>
        <v>6.8841574660749597E-2</v>
      </c>
      <c r="J57" s="83">
        <v>22.624666213989258</v>
      </c>
      <c r="K57" s="83">
        <v>17.373249053955078</v>
      </c>
      <c r="L57" s="17"/>
      <c r="M57" s="108"/>
      <c r="N57" s="108"/>
      <c r="O57" s="108"/>
      <c r="P57" s="109"/>
      <c r="Q57" t="s">
        <v>424</v>
      </c>
      <c r="R57" t="s">
        <v>191</v>
      </c>
      <c r="S57" t="s">
        <v>106</v>
      </c>
      <c r="T57" t="s">
        <v>107</v>
      </c>
      <c r="U57" t="s">
        <v>108</v>
      </c>
      <c r="V57" s="3">
        <v>22.675630569458008</v>
      </c>
      <c r="W57" s="98"/>
      <c r="X57" s="130"/>
      <c r="Y57" s="98"/>
      <c r="Z57" s="98"/>
      <c r="AA57" s="86"/>
      <c r="AB57" s="127"/>
      <c r="AC57" s="1"/>
      <c r="AD57" s="1"/>
      <c r="AE57" s="1"/>
    </row>
    <row r="58" spans="1:31" x14ac:dyDescent="0.25">
      <c r="A58" s="100"/>
      <c r="B58" s="9">
        <v>341</v>
      </c>
      <c r="C58" s="9" t="s">
        <v>390</v>
      </c>
      <c r="D58" s="9" t="b">
        <v>0</v>
      </c>
      <c r="E58" s="9" t="s">
        <v>423</v>
      </c>
      <c r="F58" s="9" t="s">
        <v>332</v>
      </c>
      <c r="G58" s="9" t="s">
        <v>106</v>
      </c>
      <c r="H58" s="9"/>
      <c r="I58" s="9"/>
      <c r="J58" s="9">
        <v>22.543874740600586</v>
      </c>
      <c r="K58" s="9">
        <v>17.632972717285156</v>
      </c>
      <c r="L58" s="11"/>
      <c r="M58" s="104">
        <f t="shared" ref="M58:N58" si="131">AVERAGE(J58:J61)</f>
        <v>22.527778625488281</v>
      </c>
      <c r="N58" s="104">
        <f t="shared" si="131"/>
        <v>17.682387351989746</v>
      </c>
      <c r="O58" s="104"/>
      <c r="P58" s="89">
        <f t="shared" ref="P58" si="132">GEOMEAN(M58,N58)</f>
        <v>19.958579805080294</v>
      </c>
      <c r="Q58" t="s">
        <v>423</v>
      </c>
      <c r="R58" t="s">
        <v>191</v>
      </c>
      <c r="S58" t="s">
        <v>106</v>
      </c>
      <c r="T58" t="s">
        <v>107</v>
      </c>
      <c r="U58" t="s">
        <v>108</v>
      </c>
      <c r="V58" s="3">
        <v>20.419609069824219</v>
      </c>
      <c r="W58" s="96">
        <f t="shared" ref="W58" si="133">_xlfn.STDEV.S(V58:V61)</f>
        <v>6.2400514192013638E-2</v>
      </c>
      <c r="X58" s="128">
        <f t="shared" ref="X58" si="134">AVERAGE(V58:V61)</f>
        <v>20.467217922210693</v>
      </c>
      <c r="Y58" s="96">
        <f t="shared" ref="Y58" si="135">X58-P58</f>
        <v>0.50863811713039908</v>
      </c>
      <c r="Z58" s="96">
        <f t="shared" ref="Z58" si="136">Y58-$AE$6</f>
        <v>-1.6420771201973157</v>
      </c>
      <c r="AA58" s="84">
        <f t="shared" ref="AA58" si="137">2^-Z58</f>
        <v>3.1211487592628928</v>
      </c>
      <c r="AB58" s="127"/>
      <c r="AC58" s="1">
        <f t="shared" ref="AC58" si="138">LOG(AA58,2)</f>
        <v>1.6420771201973157</v>
      </c>
      <c r="AD58" s="1"/>
      <c r="AE58" s="1"/>
    </row>
    <row r="59" spans="1:31" x14ac:dyDescent="0.25">
      <c r="A59" s="101"/>
      <c r="B59" s="1">
        <v>365</v>
      </c>
      <c r="C59" s="1" t="s">
        <v>402</v>
      </c>
      <c r="D59" s="1" t="b">
        <v>0</v>
      </c>
      <c r="E59" s="1" t="s">
        <v>423</v>
      </c>
      <c r="F59" s="1" t="s">
        <v>332</v>
      </c>
      <c r="G59" s="1" t="s">
        <v>106</v>
      </c>
      <c r="H59" s="1"/>
      <c r="I59" s="1"/>
      <c r="J59" s="1">
        <v>22.497089385986328</v>
      </c>
      <c r="K59" s="1">
        <v>17.797683715820313</v>
      </c>
      <c r="L59" s="14"/>
      <c r="M59" s="105"/>
      <c r="N59" s="105"/>
      <c r="O59" s="105"/>
      <c r="P59" s="90"/>
      <c r="Q59" t="s">
        <v>423</v>
      </c>
      <c r="R59" t="s">
        <v>191</v>
      </c>
      <c r="S59" t="s">
        <v>106</v>
      </c>
      <c r="T59" t="s">
        <v>107</v>
      </c>
      <c r="U59" t="s">
        <v>108</v>
      </c>
      <c r="V59" s="3">
        <v>20.428749084472656</v>
      </c>
      <c r="W59" s="97"/>
      <c r="X59" s="129"/>
      <c r="Y59" s="97"/>
      <c r="Z59" s="97"/>
      <c r="AA59" s="85"/>
      <c r="AB59" s="127"/>
      <c r="AC59" s="1"/>
      <c r="AD59" s="1"/>
      <c r="AE59" s="1"/>
    </row>
    <row r="60" spans="1:31" x14ac:dyDescent="0.25">
      <c r="A60" s="101"/>
      <c r="B60" s="1">
        <v>342</v>
      </c>
      <c r="C60" s="1" t="s">
        <v>391</v>
      </c>
      <c r="D60" s="1" t="b">
        <v>0</v>
      </c>
      <c r="E60" s="1" t="s">
        <v>423</v>
      </c>
      <c r="F60" s="1" t="s">
        <v>332</v>
      </c>
      <c r="G60" s="1" t="s">
        <v>106</v>
      </c>
      <c r="H60" s="1"/>
      <c r="I60" s="1"/>
      <c r="J60" s="1">
        <v>22.538244247436523</v>
      </c>
      <c r="K60" s="1">
        <v>17.612838745117188</v>
      </c>
      <c r="L60" s="14"/>
      <c r="M60" s="105"/>
      <c r="N60" s="105"/>
      <c r="O60" s="105"/>
      <c r="P60" s="90"/>
      <c r="Q60" t="s">
        <v>423</v>
      </c>
      <c r="R60" t="s">
        <v>191</v>
      </c>
      <c r="S60" t="s">
        <v>106</v>
      </c>
      <c r="T60" t="s">
        <v>107</v>
      </c>
      <c r="U60" t="s">
        <v>108</v>
      </c>
      <c r="V60" s="3">
        <v>20.556247711181641</v>
      </c>
      <c r="W60" s="97"/>
      <c r="X60" s="129"/>
      <c r="Y60" s="97"/>
      <c r="Z60" s="97"/>
      <c r="AA60" s="85"/>
      <c r="AB60" s="127"/>
      <c r="AC60" s="1"/>
      <c r="AD60" s="1"/>
      <c r="AE60" s="1"/>
    </row>
    <row r="61" spans="1:31" ht="15.75" thickBot="1" x14ac:dyDescent="0.3">
      <c r="A61" s="107"/>
      <c r="B61" s="83">
        <v>366</v>
      </c>
      <c r="C61" s="83" t="s">
        <v>403</v>
      </c>
      <c r="D61" s="83" t="b">
        <v>0</v>
      </c>
      <c r="E61" s="83" t="s">
        <v>423</v>
      </c>
      <c r="F61" s="83" t="s">
        <v>332</v>
      </c>
      <c r="G61" s="83" t="s">
        <v>106</v>
      </c>
      <c r="H61" s="83">
        <f t="shared" ref="H61" si="139">_xlfn.STDEV.S(K58:K61)</f>
        <v>8.2836208560146937E-2</v>
      </c>
      <c r="I61" s="83">
        <f t="shared" ref="I61" si="140">_xlfn.STDEV.S(J58:J61)</f>
        <v>2.1035524413747859E-2</v>
      </c>
      <c r="J61" s="83">
        <v>22.531906127929688</v>
      </c>
      <c r="K61" s="83">
        <v>17.686054229736328</v>
      </c>
      <c r="L61" s="17"/>
      <c r="M61" s="108"/>
      <c r="N61" s="108"/>
      <c r="O61" s="108"/>
      <c r="P61" s="109"/>
      <c r="Q61" t="s">
        <v>423</v>
      </c>
      <c r="R61" t="s">
        <v>191</v>
      </c>
      <c r="S61" t="s">
        <v>106</v>
      </c>
      <c r="T61" t="s">
        <v>107</v>
      </c>
      <c r="U61" t="s">
        <v>108</v>
      </c>
      <c r="V61" s="3">
        <v>20.464265823364258</v>
      </c>
      <c r="W61" s="98"/>
      <c r="X61" s="130"/>
      <c r="Y61" s="98"/>
      <c r="Z61" s="98"/>
      <c r="AA61" s="86"/>
      <c r="AB61" s="127"/>
      <c r="AC61" s="1"/>
      <c r="AD61" s="1"/>
      <c r="AE61" s="1"/>
    </row>
    <row r="62" spans="1:31" x14ac:dyDescent="0.25">
      <c r="A62" s="100"/>
      <c r="B62" s="9">
        <v>343</v>
      </c>
      <c r="C62" s="9" t="s">
        <v>392</v>
      </c>
      <c r="D62" s="9" t="b">
        <v>0</v>
      </c>
      <c r="E62" s="9" t="s">
        <v>425</v>
      </c>
      <c r="F62" s="9" t="s">
        <v>332</v>
      </c>
      <c r="G62" s="9" t="s">
        <v>106</v>
      </c>
      <c r="H62" s="9"/>
      <c r="I62" s="9"/>
      <c r="J62" s="9">
        <v>22.504655838012695</v>
      </c>
      <c r="K62" s="9">
        <v>17.712419509887695</v>
      </c>
      <c r="L62" s="11"/>
      <c r="M62" s="104">
        <f t="shared" ref="M62:N62" si="141">AVERAGE(J62:J65)</f>
        <v>22.514381408691406</v>
      </c>
      <c r="N62" s="104">
        <f t="shared" si="141"/>
        <v>17.726653575897217</v>
      </c>
      <c r="O62" s="104"/>
      <c r="P62" s="89">
        <f t="shared" ref="P62" si="142">GEOMEAN(M62,N62)</f>
        <v>19.977603452553897</v>
      </c>
      <c r="Q62" t="s">
        <v>425</v>
      </c>
      <c r="R62" t="s">
        <v>191</v>
      </c>
      <c r="S62" t="s">
        <v>106</v>
      </c>
      <c r="T62" t="s">
        <v>107</v>
      </c>
      <c r="U62" t="s">
        <v>108</v>
      </c>
      <c r="V62" s="3">
        <v>20.741817474365234</v>
      </c>
      <c r="W62" s="96">
        <f t="shared" ref="W62" si="143">_xlfn.STDEV.S(V62:V65)</f>
        <v>3.0083819362851327E-2</v>
      </c>
      <c r="X62" s="128">
        <f t="shared" ref="X62" si="144">AVERAGE(V62:V65)</f>
        <v>20.723311901092529</v>
      </c>
      <c r="Y62" s="96">
        <f t="shared" ref="Y62" si="145">X62-P62</f>
        <v>0.7457084485386325</v>
      </c>
      <c r="Z62" s="96">
        <f t="shared" ref="Z62" si="146">Y62-$AE$6</f>
        <v>-1.4050067887890823</v>
      </c>
      <c r="AA62" s="84">
        <f t="shared" ref="AA62" si="147">2^-Z62</f>
        <v>2.6481902821651437</v>
      </c>
      <c r="AB62" s="127"/>
      <c r="AC62" s="1">
        <f t="shared" ref="AC62" si="148">LOG(AA62,2)</f>
        <v>1.4050067887890823</v>
      </c>
      <c r="AD62" s="1"/>
      <c r="AE62" s="1"/>
    </row>
    <row r="63" spans="1:31" x14ac:dyDescent="0.25">
      <c r="A63" s="101"/>
      <c r="B63" s="1">
        <v>367</v>
      </c>
      <c r="C63" s="1" t="s">
        <v>404</v>
      </c>
      <c r="D63" s="1" t="b">
        <v>0</v>
      </c>
      <c r="E63" s="1" t="s">
        <v>425</v>
      </c>
      <c r="F63" s="1" t="s">
        <v>332</v>
      </c>
      <c r="G63" s="1" t="s">
        <v>106</v>
      </c>
      <c r="H63" s="1"/>
      <c r="I63" s="1"/>
      <c r="J63" s="1">
        <v>22.53801155090332</v>
      </c>
      <c r="K63" s="1">
        <v>17.806955337524414</v>
      </c>
      <c r="L63" s="14"/>
      <c r="M63" s="105"/>
      <c r="N63" s="105"/>
      <c r="O63" s="105"/>
      <c r="P63" s="90"/>
      <c r="Q63" t="s">
        <v>425</v>
      </c>
      <c r="R63" t="s">
        <v>191</v>
      </c>
      <c r="S63" t="s">
        <v>106</v>
      </c>
      <c r="T63" t="s">
        <v>107</v>
      </c>
      <c r="U63" t="s">
        <v>108</v>
      </c>
      <c r="V63" s="3">
        <v>20.745397567749023</v>
      </c>
      <c r="W63" s="97"/>
      <c r="X63" s="129"/>
      <c r="Y63" s="97"/>
      <c r="Z63" s="97"/>
      <c r="AA63" s="85"/>
      <c r="AB63" s="127"/>
      <c r="AC63" s="1"/>
      <c r="AD63" s="1"/>
      <c r="AE63" s="1"/>
    </row>
    <row r="64" spans="1:31" x14ac:dyDescent="0.25">
      <c r="A64" s="101"/>
      <c r="B64" s="1">
        <v>344</v>
      </c>
      <c r="C64" s="1" t="s">
        <v>393</v>
      </c>
      <c r="D64" s="1" t="b">
        <v>0</v>
      </c>
      <c r="E64" s="1" t="s">
        <v>425</v>
      </c>
      <c r="F64" s="1" t="s">
        <v>332</v>
      </c>
      <c r="G64" s="1" t="s">
        <v>106</v>
      </c>
      <c r="H64" s="1"/>
      <c r="I64" s="1"/>
      <c r="J64" s="1">
        <v>22.499790191650391</v>
      </c>
      <c r="K64" s="1">
        <v>17.708463668823242</v>
      </c>
      <c r="L64" s="14"/>
      <c r="M64" s="105"/>
      <c r="N64" s="105"/>
      <c r="O64" s="105"/>
      <c r="P64" s="90"/>
      <c r="Q64" t="s">
        <v>425</v>
      </c>
      <c r="R64" t="s">
        <v>191</v>
      </c>
      <c r="S64" t="s">
        <v>106</v>
      </c>
      <c r="T64" t="s">
        <v>107</v>
      </c>
      <c r="U64" t="s">
        <v>108</v>
      </c>
      <c r="V64" s="3">
        <v>20.726049423217773</v>
      </c>
      <c r="W64" s="97"/>
      <c r="X64" s="129"/>
      <c r="Y64" s="97"/>
      <c r="Z64" s="97"/>
      <c r="AA64" s="85"/>
      <c r="AB64" s="127"/>
      <c r="AC64" s="1"/>
      <c r="AD64" s="1"/>
      <c r="AE64" s="1"/>
    </row>
    <row r="65" spans="1:31" ht="15.75" thickBot="1" x14ac:dyDescent="0.3">
      <c r="A65" s="107"/>
      <c r="B65" s="83">
        <v>368</v>
      </c>
      <c r="C65" s="83" t="s">
        <v>405</v>
      </c>
      <c r="D65" s="83" t="b">
        <v>0</v>
      </c>
      <c r="E65" s="83" t="s">
        <v>425</v>
      </c>
      <c r="F65" s="83" t="s">
        <v>332</v>
      </c>
      <c r="G65" s="83" t="s">
        <v>106</v>
      </c>
      <c r="H65" s="83">
        <f t="shared" ref="H65" si="149">_xlfn.STDEV.S(K62:K65)</f>
        <v>5.5600170595631028E-2</v>
      </c>
      <c r="I65" s="83">
        <f t="shared" ref="I65" si="150">_xlfn.STDEV.S(J62:J65)</f>
        <v>1.6993581560629578E-2</v>
      </c>
      <c r="J65" s="83">
        <v>22.515068054199219</v>
      </c>
      <c r="K65" s="83">
        <v>17.678775787353516</v>
      </c>
      <c r="L65" s="17"/>
      <c r="M65" s="108"/>
      <c r="N65" s="108"/>
      <c r="O65" s="108"/>
      <c r="P65" s="109"/>
      <c r="Q65" t="s">
        <v>425</v>
      </c>
      <c r="R65" t="s">
        <v>191</v>
      </c>
      <c r="S65" t="s">
        <v>106</v>
      </c>
      <c r="T65" t="s">
        <v>107</v>
      </c>
      <c r="U65" t="s">
        <v>108</v>
      </c>
      <c r="V65" s="3">
        <v>20.679983139038086</v>
      </c>
      <c r="W65" s="98"/>
      <c r="X65" s="130"/>
      <c r="Y65" s="98"/>
      <c r="Z65" s="98"/>
      <c r="AA65" s="86"/>
      <c r="AB65" s="127"/>
      <c r="AC65" s="1"/>
      <c r="AD65" s="1"/>
      <c r="AE65" s="1"/>
    </row>
    <row r="66" spans="1:31" x14ac:dyDescent="0.25">
      <c r="A66" s="100"/>
      <c r="B66" s="9">
        <v>345</v>
      </c>
      <c r="C66" s="9" t="s">
        <v>394</v>
      </c>
      <c r="D66" s="9" t="b">
        <v>0</v>
      </c>
      <c r="E66" s="9" t="s">
        <v>426</v>
      </c>
      <c r="F66" s="9" t="s">
        <v>332</v>
      </c>
      <c r="G66" s="9" t="s">
        <v>106</v>
      </c>
      <c r="H66" s="9"/>
      <c r="I66" s="9"/>
      <c r="J66" s="9">
        <v>22.853849411010742</v>
      </c>
      <c r="K66" s="9">
        <v>18.554037094116211</v>
      </c>
      <c r="L66" s="11"/>
      <c r="M66" s="104">
        <f t="shared" ref="M66:N66" si="151">AVERAGE(J66:J69)</f>
        <v>22.862873554229736</v>
      </c>
      <c r="N66" s="104">
        <f t="shared" si="151"/>
        <v>18.527228832244873</v>
      </c>
      <c r="O66" s="104"/>
      <c r="P66" s="89">
        <f t="shared" ref="P66" si="152">GEOMEAN(M66,N66)</f>
        <v>20.581197489502255</v>
      </c>
      <c r="Q66" t="s">
        <v>426</v>
      </c>
      <c r="R66" t="s">
        <v>191</v>
      </c>
      <c r="S66" t="s">
        <v>106</v>
      </c>
      <c r="T66" t="s">
        <v>107</v>
      </c>
      <c r="U66" t="s">
        <v>108</v>
      </c>
      <c r="V66" s="3">
        <v>22.820783615112305</v>
      </c>
      <c r="W66" s="96">
        <f t="shared" ref="W66" si="153">_xlfn.STDEV.S(V66:V69)</f>
        <v>9.1904467346245036E-2</v>
      </c>
      <c r="X66" s="128">
        <f t="shared" ref="X66" si="154">AVERAGE(V66:V69)</f>
        <v>22.925251483917236</v>
      </c>
      <c r="Y66" s="96">
        <f t="shared" ref="Y66" si="155">X66-P66</f>
        <v>2.3440539944149812</v>
      </c>
      <c r="Z66" s="96">
        <f t="shared" ref="Z66" si="156">Y66-$AE$6</f>
        <v>0.19333875708726644</v>
      </c>
      <c r="AA66" s="84">
        <f t="shared" ref="AA66" si="157">2^-Z66</f>
        <v>0.87457938210367347</v>
      </c>
      <c r="AB66" s="119"/>
      <c r="AC66" s="1">
        <f t="shared" ref="AC66" si="158">LOG(AA66,2)</f>
        <v>-0.19333875708726639</v>
      </c>
      <c r="AD66" s="1"/>
      <c r="AE66" s="1"/>
    </row>
    <row r="67" spans="1:31" x14ac:dyDescent="0.25">
      <c r="A67" s="101"/>
      <c r="B67" s="1">
        <v>369</v>
      </c>
      <c r="C67" s="1" t="s">
        <v>406</v>
      </c>
      <c r="D67" s="1" t="b">
        <v>0</v>
      </c>
      <c r="E67" s="1" t="s">
        <v>426</v>
      </c>
      <c r="F67" s="1" t="s">
        <v>332</v>
      </c>
      <c r="G67" s="1" t="s">
        <v>106</v>
      </c>
      <c r="H67" s="1"/>
      <c r="I67" s="1"/>
      <c r="J67" s="1">
        <v>22.905683517456055</v>
      </c>
      <c r="K67" s="1">
        <v>18.587224960327148</v>
      </c>
      <c r="L67" s="14"/>
      <c r="M67" s="105"/>
      <c r="N67" s="105"/>
      <c r="O67" s="105"/>
      <c r="P67" s="90"/>
      <c r="Q67" t="s">
        <v>426</v>
      </c>
      <c r="R67" t="s">
        <v>191</v>
      </c>
      <c r="S67" t="s">
        <v>106</v>
      </c>
      <c r="T67" t="s">
        <v>107</v>
      </c>
      <c r="U67" t="s">
        <v>108</v>
      </c>
      <c r="V67" s="3">
        <v>22.910049438476563</v>
      </c>
      <c r="W67" s="97"/>
      <c r="X67" s="129"/>
      <c r="Y67" s="97"/>
      <c r="Z67" s="97"/>
      <c r="AA67" s="85"/>
      <c r="AB67" s="119"/>
      <c r="AC67" s="1"/>
      <c r="AD67" s="1"/>
      <c r="AE67" s="1"/>
    </row>
    <row r="68" spans="1:31" x14ac:dyDescent="0.25">
      <c r="A68" s="101"/>
      <c r="B68" s="1">
        <v>346</v>
      </c>
      <c r="C68" s="1" t="s">
        <v>395</v>
      </c>
      <c r="D68" s="1" t="b">
        <v>0</v>
      </c>
      <c r="E68" s="1" t="s">
        <v>426</v>
      </c>
      <c r="F68" s="1" t="s">
        <v>332</v>
      </c>
      <c r="G68" s="1" t="s">
        <v>106</v>
      </c>
      <c r="H68" s="1"/>
      <c r="I68" s="1"/>
      <c r="J68" s="1">
        <v>22.859567642211914</v>
      </c>
      <c r="K68" s="1">
        <v>18.580108642578125</v>
      </c>
      <c r="L68" s="14"/>
      <c r="M68" s="105"/>
      <c r="N68" s="105"/>
      <c r="O68" s="105"/>
      <c r="P68" s="90"/>
      <c r="Q68" t="s">
        <v>426</v>
      </c>
      <c r="R68" t="s">
        <v>191</v>
      </c>
      <c r="S68" t="s">
        <v>106</v>
      </c>
      <c r="T68" t="s">
        <v>107</v>
      </c>
      <c r="U68" t="s">
        <v>108</v>
      </c>
      <c r="V68" s="3">
        <v>23.044391632080078</v>
      </c>
      <c r="W68" s="97"/>
      <c r="X68" s="129"/>
      <c r="Y68" s="97"/>
      <c r="Z68" s="97"/>
      <c r="AA68" s="85"/>
      <c r="AB68" s="119"/>
      <c r="AC68" s="1"/>
      <c r="AD68" s="1"/>
      <c r="AE68" s="1"/>
    </row>
    <row r="69" spans="1:31" ht="15.75" thickBot="1" x14ac:dyDescent="0.3">
      <c r="A69" s="107"/>
      <c r="B69" s="83">
        <v>370</v>
      </c>
      <c r="C69" s="83" t="s">
        <v>407</v>
      </c>
      <c r="D69" s="83" t="b">
        <v>0</v>
      </c>
      <c r="E69" s="83" t="s">
        <v>426</v>
      </c>
      <c r="F69" s="83" t="s">
        <v>332</v>
      </c>
      <c r="G69" s="83" t="s">
        <v>106</v>
      </c>
      <c r="H69" s="83">
        <f t="shared" ref="H69" si="159">_xlfn.STDEV.S(K66:K69)</f>
        <v>9.4209285529769315E-2</v>
      </c>
      <c r="I69" s="83">
        <f t="shared" ref="I69" si="160">_xlfn.STDEV.S(J66:J69)</f>
        <v>3.0844134815735145E-2</v>
      </c>
      <c r="J69" s="83">
        <v>22.832393646240234</v>
      </c>
      <c r="K69" s="83">
        <v>18.387544631958008</v>
      </c>
      <c r="L69" s="17"/>
      <c r="M69" s="108"/>
      <c r="N69" s="108"/>
      <c r="O69" s="108"/>
      <c r="P69" s="109"/>
      <c r="Q69" t="s">
        <v>426</v>
      </c>
      <c r="R69" t="s">
        <v>191</v>
      </c>
      <c r="S69" t="s">
        <v>106</v>
      </c>
      <c r="T69" t="s">
        <v>107</v>
      </c>
      <c r="U69" t="s">
        <v>108</v>
      </c>
      <c r="V69" s="3">
        <v>22.92578125</v>
      </c>
      <c r="W69" s="98"/>
      <c r="X69" s="130"/>
      <c r="Y69" s="98"/>
      <c r="Z69" s="98"/>
      <c r="AA69" s="86"/>
      <c r="AB69" s="119"/>
      <c r="AC69" s="1"/>
      <c r="AD69" s="1"/>
      <c r="AE69" s="1"/>
    </row>
    <row r="70" spans="1:31" x14ac:dyDescent="0.25">
      <c r="A70" s="100"/>
      <c r="B70" s="9">
        <v>347</v>
      </c>
      <c r="C70" s="9" t="s">
        <v>396</v>
      </c>
      <c r="D70" s="9" t="b">
        <v>0</v>
      </c>
      <c r="E70" s="9" t="s">
        <v>427</v>
      </c>
      <c r="F70" s="9" t="s">
        <v>332</v>
      </c>
      <c r="G70" s="9" t="s">
        <v>106</v>
      </c>
      <c r="H70" s="9"/>
      <c r="I70" s="9"/>
      <c r="J70" s="9">
        <v>22.899017333984375</v>
      </c>
      <c r="K70" s="9">
        <v>18.637588500976563</v>
      </c>
      <c r="L70" s="11"/>
      <c r="M70" s="104">
        <f t="shared" ref="M70:N70" si="161">AVERAGE(J70:J73)</f>
        <v>23.081553936004639</v>
      </c>
      <c r="N70" s="104">
        <f t="shared" si="161"/>
        <v>18.681993961334229</v>
      </c>
      <c r="O70" s="104"/>
      <c r="P70" s="89">
        <f t="shared" ref="P70" si="162">GEOMEAN(M70,N70)</f>
        <v>20.765583335188275</v>
      </c>
      <c r="Q70" t="s">
        <v>427</v>
      </c>
      <c r="R70" t="s">
        <v>191</v>
      </c>
      <c r="S70" t="s">
        <v>106</v>
      </c>
      <c r="T70" t="s">
        <v>107</v>
      </c>
      <c r="U70" t="s">
        <v>108</v>
      </c>
      <c r="V70" s="3">
        <v>23.057332992553711</v>
      </c>
      <c r="W70" s="96">
        <f t="shared" ref="W70" si="163">_xlfn.STDEV.S(V70:V73)</f>
        <v>0.37667300331646164</v>
      </c>
      <c r="X70" s="128">
        <f t="shared" ref="X70" si="164">AVERAGE(V70:V73)</f>
        <v>23.325612545013428</v>
      </c>
      <c r="Y70" s="96">
        <f t="shared" ref="Y70" si="165">X70-P70</f>
        <v>2.5600292098251529</v>
      </c>
      <c r="Z70" s="96">
        <f t="shared" ref="Z70" si="166">Y70-$AE$6</f>
        <v>0.40931397249743817</v>
      </c>
      <c r="AA70" s="84">
        <f t="shared" ref="AA70" si="167">2^-Z70</f>
        <v>0.75298134479302614</v>
      </c>
      <c r="AB70" s="119"/>
      <c r="AC70" s="1">
        <f t="shared" ref="AC70" si="168">LOG(AA70,2)</f>
        <v>-0.40931397249743812</v>
      </c>
      <c r="AD70" s="1"/>
      <c r="AE70" s="1"/>
    </row>
    <row r="71" spans="1:31" x14ac:dyDescent="0.25">
      <c r="A71" s="101"/>
      <c r="B71" s="1">
        <v>371</v>
      </c>
      <c r="C71" s="1" t="s">
        <v>408</v>
      </c>
      <c r="D71" s="1" t="b">
        <v>0</v>
      </c>
      <c r="E71" s="1" t="s">
        <v>427</v>
      </c>
      <c r="F71" s="1" t="s">
        <v>332</v>
      </c>
      <c r="G71" s="1" t="s">
        <v>106</v>
      </c>
      <c r="H71" s="1"/>
      <c r="I71" s="1"/>
      <c r="J71" s="1">
        <v>22.754722595214844</v>
      </c>
      <c r="K71" s="1">
        <v>18.74791145324707</v>
      </c>
      <c r="L71" s="14"/>
      <c r="M71" s="105"/>
      <c r="N71" s="105"/>
      <c r="O71" s="105"/>
      <c r="P71" s="90"/>
      <c r="Q71" t="s">
        <v>427</v>
      </c>
      <c r="R71" t="s">
        <v>191</v>
      </c>
      <c r="S71" t="s">
        <v>106</v>
      </c>
      <c r="T71" t="s">
        <v>107</v>
      </c>
      <c r="U71" t="s">
        <v>108</v>
      </c>
      <c r="V71" s="3">
        <v>23.121921539306641</v>
      </c>
      <c r="W71" s="97"/>
      <c r="X71" s="129"/>
      <c r="Y71" s="97"/>
      <c r="Z71" s="97"/>
      <c r="AA71" s="85"/>
      <c r="AB71" s="119"/>
      <c r="AC71" s="1"/>
      <c r="AD71" s="1"/>
      <c r="AE71" s="1"/>
    </row>
    <row r="72" spans="1:31" x14ac:dyDescent="0.25">
      <c r="A72" s="101"/>
      <c r="B72" s="1">
        <v>348</v>
      </c>
      <c r="C72" s="1" t="s">
        <v>397</v>
      </c>
      <c r="D72" s="1" t="b">
        <v>0</v>
      </c>
      <c r="E72" s="1" t="s">
        <v>427</v>
      </c>
      <c r="F72" s="1" t="s">
        <v>332</v>
      </c>
      <c r="G72" s="1" t="s">
        <v>106</v>
      </c>
      <c r="H72" s="1"/>
      <c r="I72" s="1"/>
      <c r="J72" s="1">
        <v>22.944528579711914</v>
      </c>
      <c r="K72" s="1">
        <v>18.6053466796875</v>
      </c>
      <c r="L72" s="14"/>
      <c r="M72" s="105"/>
      <c r="N72" s="105"/>
      <c r="O72" s="105"/>
      <c r="P72" s="90"/>
      <c r="Q72" t="s">
        <v>427</v>
      </c>
      <c r="R72" t="s">
        <v>191</v>
      </c>
      <c r="S72" t="s">
        <v>106</v>
      </c>
      <c r="T72" t="s">
        <v>107</v>
      </c>
      <c r="U72" t="s">
        <v>108</v>
      </c>
      <c r="V72" s="3">
        <v>23.878461837768555</v>
      </c>
      <c r="W72" s="97"/>
      <c r="X72" s="129"/>
      <c r="Y72" s="97"/>
      <c r="Z72" s="97"/>
      <c r="AA72" s="85"/>
      <c r="AB72" s="119"/>
      <c r="AC72" s="1"/>
      <c r="AD72" s="1"/>
      <c r="AE72" s="1"/>
    </row>
    <row r="73" spans="1:31" ht="15.75" thickBot="1" x14ac:dyDescent="0.3">
      <c r="A73" s="107"/>
      <c r="B73" s="83">
        <v>372</v>
      </c>
      <c r="C73" s="83" t="s">
        <v>409</v>
      </c>
      <c r="D73" s="83" t="b">
        <v>0</v>
      </c>
      <c r="E73" s="83" t="s">
        <v>427</v>
      </c>
      <c r="F73" s="83" t="s">
        <v>332</v>
      </c>
      <c r="G73" s="83" t="s">
        <v>106</v>
      </c>
      <c r="H73" s="83">
        <f t="shared" ref="H73" si="169">_xlfn.STDEV.S(K70:K73)</f>
        <v>7.1254619116112514E-2</v>
      </c>
      <c r="I73" s="83">
        <f t="shared" ref="I73" si="170">_xlfn.STDEV.S(J70:J73)</f>
        <v>0.43845888510846998</v>
      </c>
      <c r="J73" s="83">
        <v>23.727947235107422</v>
      </c>
      <c r="K73" s="83">
        <v>18.737129211425781</v>
      </c>
      <c r="L73" s="17"/>
      <c r="M73" s="108"/>
      <c r="N73" s="108"/>
      <c r="O73" s="108"/>
      <c r="P73" s="109"/>
      <c r="Q73" t="s">
        <v>427</v>
      </c>
      <c r="R73" t="s">
        <v>191</v>
      </c>
      <c r="S73" t="s">
        <v>106</v>
      </c>
      <c r="T73" t="s">
        <v>107</v>
      </c>
      <c r="U73" t="s">
        <v>108</v>
      </c>
      <c r="V73" s="3">
        <v>23.244733810424805</v>
      </c>
      <c r="W73" s="98"/>
      <c r="X73" s="130"/>
      <c r="Y73" s="98"/>
      <c r="Z73" s="98"/>
      <c r="AA73" s="86"/>
      <c r="AB73" s="119"/>
      <c r="AC73" s="1"/>
      <c r="AD73" s="1"/>
      <c r="AE73" s="1"/>
    </row>
    <row r="74" spans="1:31" x14ac:dyDescent="0.25">
      <c r="A74" s="100"/>
      <c r="B74" s="11"/>
      <c r="C74" s="11"/>
      <c r="D74" s="11"/>
      <c r="E74" s="11"/>
      <c r="F74" s="11"/>
      <c r="G74" s="11"/>
      <c r="H74" s="96"/>
      <c r="I74" s="96"/>
      <c r="J74" s="22"/>
      <c r="K74" s="27"/>
      <c r="L74" s="11"/>
      <c r="M74" s="104"/>
      <c r="N74" s="104"/>
      <c r="O74" s="104"/>
      <c r="P74" s="89"/>
      <c r="Q74" s="13"/>
      <c r="R74" s="11"/>
      <c r="S74" s="11"/>
      <c r="T74" s="11"/>
      <c r="U74" s="11"/>
      <c r="V74" s="29"/>
      <c r="W74" s="96"/>
      <c r="X74" s="124"/>
      <c r="Y74" s="96"/>
      <c r="Z74" s="96"/>
      <c r="AA74" s="96"/>
      <c r="AB74" s="119"/>
      <c r="AC74" s="1"/>
      <c r="AD74" s="1"/>
      <c r="AE74" s="1"/>
    </row>
    <row r="75" spans="1:31" x14ac:dyDescent="0.25">
      <c r="A75" s="101"/>
      <c r="B75" s="14"/>
      <c r="C75" s="14"/>
      <c r="D75" s="14"/>
      <c r="E75" s="14"/>
      <c r="F75" s="14"/>
      <c r="G75" s="14"/>
      <c r="H75" s="97"/>
      <c r="I75" s="97"/>
      <c r="J75" s="24"/>
      <c r="K75" s="30"/>
      <c r="L75" s="14"/>
      <c r="M75" s="105"/>
      <c r="N75" s="105"/>
      <c r="O75" s="105"/>
      <c r="P75" s="90"/>
      <c r="Q75" s="16"/>
      <c r="R75" s="14"/>
      <c r="S75" s="14"/>
      <c r="T75" s="14"/>
      <c r="U75" s="14"/>
      <c r="V75" s="26"/>
      <c r="W75" s="97"/>
      <c r="X75" s="125"/>
      <c r="Y75" s="97"/>
      <c r="Z75" s="97"/>
      <c r="AA75" s="97"/>
      <c r="AB75" s="119"/>
      <c r="AC75" s="1"/>
      <c r="AD75" s="1"/>
      <c r="AE75" s="1"/>
    </row>
    <row r="76" spans="1:31" x14ac:dyDescent="0.25">
      <c r="A76" s="101"/>
      <c r="B76" s="14"/>
      <c r="C76" s="14"/>
      <c r="D76" s="14"/>
      <c r="E76" s="14"/>
      <c r="F76" s="14"/>
      <c r="G76" s="14"/>
      <c r="H76" s="97"/>
      <c r="I76" s="97"/>
      <c r="J76" s="31"/>
      <c r="K76" s="32"/>
      <c r="L76" s="14"/>
      <c r="M76" s="105"/>
      <c r="N76" s="105"/>
      <c r="O76" s="105"/>
      <c r="P76" s="90"/>
      <c r="Q76" s="16"/>
      <c r="R76" s="14"/>
      <c r="S76" s="14"/>
      <c r="T76" s="14"/>
      <c r="U76" s="14"/>
      <c r="V76" s="26"/>
      <c r="W76" s="97"/>
      <c r="X76" s="125"/>
      <c r="Y76" s="97"/>
      <c r="Z76" s="97"/>
      <c r="AA76" s="97"/>
      <c r="AB76" s="119"/>
      <c r="AC76" s="1"/>
      <c r="AD76" s="1"/>
      <c r="AE76" s="1"/>
    </row>
    <row r="77" spans="1:31" ht="15.75" thickBot="1" x14ac:dyDescent="0.3">
      <c r="A77" s="107"/>
      <c r="B77" s="17"/>
      <c r="C77" s="17"/>
      <c r="D77" s="17"/>
      <c r="E77" s="17"/>
      <c r="F77" s="17"/>
      <c r="G77" s="17"/>
      <c r="H77" s="98"/>
      <c r="I77" s="98"/>
      <c r="J77" s="33"/>
      <c r="K77" s="20"/>
      <c r="L77" s="17"/>
      <c r="M77" s="108"/>
      <c r="N77" s="108"/>
      <c r="O77" s="108"/>
      <c r="P77" s="109"/>
      <c r="Q77" s="18"/>
      <c r="R77" s="17"/>
      <c r="S77" s="17"/>
      <c r="T77" s="17"/>
      <c r="U77" s="17"/>
      <c r="V77" s="34"/>
      <c r="W77" s="98"/>
      <c r="X77" s="126"/>
      <c r="Y77" s="98"/>
      <c r="Z77" s="98"/>
      <c r="AA77" s="98"/>
      <c r="AB77" s="119"/>
      <c r="AC77" s="1"/>
      <c r="AD77" s="1"/>
      <c r="AE77" s="1"/>
    </row>
    <row r="78" spans="1:31" x14ac:dyDescent="0.25">
      <c r="A78" s="100"/>
      <c r="B78" s="11"/>
      <c r="C78" s="11"/>
      <c r="D78" s="11"/>
      <c r="E78" s="11"/>
      <c r="F78" s="11"/>
      <c r="G78" s="11"/>
      <c r="H78" s="92"/>
      <c r="I78" s="96"/>
      <c r="J78" s="35"/>
      <c r="K78" s="36"/>
      <c r="L78" s="11"/>
      <c r="M78" s="104"/>
      <c r="N78" s="104"/>
      <c r="O78" s="104"/>
      <c r="P78" s="89"/>
      <c r="Q78" s="13"/>
      <c r="R78" s="11"/>
      <c r="S78" s="11"/>
      <c r="T78" s="11"/>
      <c r="U78" s="11"/>
      <c r="V78" s="37"/>
      <c r="W78" s="96"/>
      <c r="X78" s="121"/>
      <c r="Y78" s="96"/>
      <c r="Z78" s="96"/>
      <c r="AA78" s="96"/>
      <c r="AB78" s="119"/>
      <c r="AC78" s="1"/>
      <c r="AD78" s="1"/>
      <c r="AE78" s="1"/>
    </row>
    <row r="79" spans="1:31" x14ac:dyDescent="0.25">
      <c r="A79" s="101"/>
      <c r="B79" s="14"/>
      <c r="C79" s="14"/>
      <c r="D79" s="14"/>
      <c r="E79" s="14"/>
      <c r="F79" s="14"/>
      <c r="G79" s="14"/>
      <c r="H79" s="93"/>
      <c r="I79" s="97"/>
      <c r="J79" s="38"/>
      <c r="K79" s="39"/>
      <c r="L79" s="14"/>
      <c r="M79" s="105"/>
      <c r="N79" s="105"/>
      <c r="O79" s="105"/>
      <c r="P79" s="90"/>
      <c r="Q79" s="16"/>
      <c r="R79" s="14"/>
      <c r="S79" s="14"/>
      <c r="T79" s="14"/>
      <c r="U79" s="14"/>
      <c r="V79" s="40"/>
      <c r="W79" s="97"/>
      <c r="X79" s="122"/>
      <c r="Y79" s="97"/>
      <c r="Z79" s="97"/>
      <c r="AA79" s="97"/>
      <c r="AB79" s="119"/>
      <c r="AC79" s="1"/>
      <c r="AD79" s="1"/>
      <c r="AE79" s="1"/>
    </row>
    <row r="80" spans="1:31" x14ac:dyDescent="0.25">
      <c r="A80" s="101"/>
      <c r="B80" s="14"/>
      <c r="C80" s="14"/>
      <c r="D80" s="14"/>
      <c r="E80" s="14"/>
      <c r="F80" s="14"/>
      <c r="G80" s="14"/>
      <c r="H80" s="93"/>
      <c r="I80" s="97"/>
      <c r="J80" s="41"/>
      <c r="K80" s="42"/>
      <c r="L80" s="14"/>
      <c r="M80" s="105"/>
      <c r="N80" s="105"/>
      <c r="O80" s="105"/>
      <c r="P80" s="90"/>
      <c r="Q80" s="16"/>
      <c r="R80" s="14"/>
      <c r="S80" s="14"/>
      <c r="T80" s="14"/>
      <c r="U80" s="14"/>
      <c r="V80" s="15"/>
      <c r="W80" s="97"/>
      <c r="X80" s="122"/>
      <c r="Y80" s="97"/>
      <c r="Z80" s="97"/>
      <c r="AA80" s="97"/>
      <c r="AB80" s="119"/>
      <c r="AC80" s="1"/>
      <c r="AD80" s="1"/>
      <c r="AE80" s="1"/>
    </row>
    <row r="81" spans="1:31" ht="15.75" thickBot="1" x14ac:dyDescent="0.3">
      <c r="A81" s="107"/>
      <c r="B81" s="17"/>
      <c r="C81" s="17"/>
      <c r="D81" s="17"/>
      <c r="E81" s="17"/>
      <c r="F81" s="17"/>
      <c r="G81" s="17"/>
      <c r="H81" s="120"/>
      <c r="I81" s="98"/>
      <c r="J81" s="43"/>
      <c r="K81" s="44"/>
      <c r="L81" s="17"/>
      <c r="M81" s="108"/>
      <c r="N81" s="108"/>
      <c r="O81" s="108"/>
      <c r="P81" s="109"/>
      <c r="Q81" s="18"/>
      <c r="R81" s="17"/>
      <c r="S81" s="17"/>
      <c r="T81" s="17"/>
      <c r="U81" s="17"/>
      <c r="V81" s="45"/>
      <c r="W81" s="98"/>
      <c r="X81" s="123"/>
      <c r="Y81" s="98"/>
      <c r="Z81" s="98"/>
      <c r="AA81" s="98"/>
      <c r="AB81" s="119"/>
      <c r="AC81" s="1"/>
      <c r="AD81" s="1"/>
      <c r="AE81" s="1"/>
    </row>
    <row r="82" spans="1:31" x14ac:dyDescent="0.25">
      <c r="A82" s="100"/>
      <c r="B82" s="11"/>
      <c r="C82" s="11"/>
      <c r="D82" s="11"/>
      <c r="E82" s="11"/>
      <c r="F82" s="11"/>
      <c r="G82" s="11"/>
      <c r="H82" s="96"/>
      <c r="I82" s="96"/>
      <c r="J82" s="46"/>
      <c r="K82" s="47"/>
      <c r="L82" s="11"/>
      <c r="M82" s="104"/>
      <c r="N82" s="104"/>
      <c r="O82" s="104"/>
      <c r="P82" s="89"/>
      <c r="Q82" s="13"/>
      <c r="R82" s="11"/>
      <c r="S82" s="11"/>
      <c r="T82" s="11"/>
      <c r="U82" s="11"/>
      <c r="V82" s="29"/>
      <c r="W82" s="96"/>
      <c r="X82" s="116"/>
      <c r="Y82" s="96"/>
      <c r="Z82" s="96"/>
      <c r="AA82" s="96"/>
      <c r="AB82" s="99"/>
      <c r="AC82" s="1"/>
      <c r="AD82" s="1"/>
      <c r="AE82" s="1"/>
    </row>
    <row r="83" spans="1:31" x14ac:dyDescent="0.25">
      <c r="A83" s="101"/>
      <c r="B83" s="14"/>
      <c r="C83" s="14"/>
      <c r="D83" s="14"/>
      <c r="E83" s="14"/>
      <c r="F83" s="14"/>
      <c r="G83" s="14"/>
      <c r="H83" s="97"/>
      <c r="I83" s="97"/>
      <c r="J83" s="48"/>
      <c r="K83" s="49"/>
      <c r="L83" s="14"/>
      <c r="M83" s="105"/>
      <c r="N83" s="105"/>
      <c r="O83" s="105"/>
      <c r="P83" s="90"/>
      <c r="Q83" s="16"/>
      <c r="R83" s="14"/>
      <c r="S83" s="14"/>
      <c r="T83" s="14"/>
      <c r="U83" s="14"/>
      <c r="V83" s="50"/>
      <c r="W83" s="97"/>
      <c r="X83" s="117"/>
      <c r="Y83" s="97"/>
      <c r="Z83" s="97"/>
      <c r="AA83" s="97"/>
      <c r="AB83" s="99"/>
      <c r="AC83" s="1"/>
      <c r="AD83" s="1"/>
      <c r="AE83" s="1"/>
    </row>
    <row r="84" spans="1:31" x14ac:dyDescent="0.25">
      <c r="A84" s="101"/>
      <c r="B84" s="14"/>
      <c r="C84" s="14"/>
      <c r="D84" s="14"/>
      <c r="E84" s="14"/>
      <c r="F84" s="14"/>
      <c r="G84" s="14"/>
      <c r="H84" s="97"/>
      <c r="I84" s="97"/>
      <c r="J84" s="21"/>
      <c r="K84" s="12"/>
      <c r="L84" s="14"/>
      <c r="M84" s="105"/>
      <c r="N84" s="105"/>
      <c r="O84" s="105"/>
      <c r="P84" s="90"/>
      <c r="Q84" s="16"/>
      <c r="R84" s="14"/>
      <c r="S84" s="14"/>
      <c r="T84" s="14"/>
      <c r="U84" s="14"/>
      <c r="V84" s="51"/>
      <c r="W84" s="97"/>
      <c r="X84" s="117"/>
      <c r="Y84" s="97"/>
      <c r="Z84" s="97"/>
      <c r="AA84" s="97"/>
      <c r="AB84" s="99"/>
      <c r="AC84" s="1"/>
      <c r="AD84" s="1"/>
      <c r="AE84" s="1"/>
    </row>
    <row r="85" spans="1:31" ht="15.75" thickBot="1" x14ac:dyDescent="0.3">
      <c r="A85" s="107"/>
      <c r="B85" s="17"/>
      <c r="C85" s="17"/>
      <c r="D85" s="17"/>
      <c r="E85" s="17"/>
      <c r="F85" s="17"/>
      <c r="G85" s="17"/>
      <c r="H85" s="98"/>
      <c r="I85" s="98"/>
      <c r="J85" s="52"/>
      <c r="K85" s="49"/>
      <c r="L85" s="17"/>
      <c r="M85" s="108"/>
      <c r="N85" s="108"/>
      <c r="O85" s="108"/>
      <c r="P85" s="109"/>
      <c r="Q85" s="18"/>
      <c r="R85" s="17"/>
      <c r="S85" s="17"/>
      <c r="T85" s="17"/>
      <c r="U85" s="17"/>
      <c r="V85" s="53"/>
      <c r="W85" s="98"/>
      <c r="X85" s="118"/>
      <c r="Y85" s="98"/>
      <c r="Z85" s="98"/>
      <c r="AA85" s="98"/>
      <c r="AB85" s="99"/>
      <c r="AC85" s="1"/>
      <c r="AD85" s="1"/>
      <c r="AE85" s="1"/>
    </row>
    <row r="86" spans="1:31" x14ac:dyDescent="0.25">
      <c r="A86" s="100"/>
      <c r="B86" s="11"/>
      <c r="C86" s="11"/>
      <c r="D86" s="11"/>
      <c r="E86" s="11"/>
      <c r="F86" s="11"/>
      <c r="G86" s="11"/>
      <c r="H86" s="96"/>
      <c r="I86" s="96"/>
      <c r="J86" s="37"/>
      <c r="K86" s="54"/>
      <c r="L86" s="11"/>
      <c r="M86" s="104"/>
      <c r="N86" s="104"/>
      <c r="O86" s="104"/>
      <c r="P86" s="89"/>
      <c r="Q86" s="13"/>
      <c r="R86" s="11"/>
      <c r="S86" s="11"/>
      <c r="T86" s="11"/>
      <c r="U86" s="11"/>
      <c r="V86" s="55"/>
      <c r="W86" s="96"/>
      <c r="X86" s="113"/>
      <c r="Y86" s="96"/>
      <c r="Z86" s="96"/>
      <c r="AA86" s="96"/>
      <c r="AB86" s="99"/>
      <c r="AC86" s="1"/>
      <c r="AD86" s="1"/>
      <c r="AE86" s="1"/>
    </row>
    <row r="87" spans="1:31" x14ac:dyDescent="0.25">
      <c r="A87" s="101"/>
      <c r="B87" s="14"/>
      <c r="C87" s="14"/>
      <c r="D87" s="14"/>
      <c r="E87" s="14"/>
      <c r="F87" s="14"/>
      <c r="G87" s="14"/>
      <c r="H87" s="97"/>
      <c r="I87" s="97"/>
      <c r="J87" s="56"/>
      <c r="K87" s="32"/>
      <c r="L87" s="14"/>
      <c r="M87" s="105"/>
      <c r="N87" s="105"/>
      <c r="O87" s="105"/>
      <c r="P87" s="90"/>
      <c r="Q87" s="16"/>
      <c r="R87" s="14"/>
      <c r="S87" s="14"/>
      <c r="T87" s="14"/>
      <c r="U87" s="14"/>
      <c r="V87" s="57"/>
      <c r="W87" s="97"/>
      <c r="X87" s="114"/>
      <c r="Y87" s="97"/>
      <c r="Z87" s="97"/>
      <c r="AA87" s="97"/>
      <c r="AB87" s="99"/>
      <c r="AC87" s="1"/>
      <c r="AD87" s="1"/>
      <c r="AE87" s="1"/>
    </row>
    <row r="88" spans="1:31" x14ac:dyDescent="0.25">
      <c r="A88" s="101"/>
      <c r="B88" s="14"/>
      <c r="C88" s="14"/>
      <c r="D88" s="14"/>
      <c r="E88" s="14"/>
      <c r="F88" s="14"/>
      <c r="G88" s="14"/>
      <c r="H88" s="97"/>
      <c r="I88" s="97"/>
      <c r="J88" s="58"/>
      <c r="K88" s="59"/>
      <c r="L88" s="14"/>
      <c r="M88" s="105"/>
      <c r="N88" s="105"/>
      <c r="O88" s="105"/>
      <c r="P88" s="90"/>
      <c r="Q88" s="16"/>
      <c r="R88" s="14"/>
      <c r="S88" s="14"/>
      <c r="T88" s="14"/>
      <c r="U88" s="14"/>
      <c r="V88" s="60"/>
      <c r="W88" s="97"/>
      <c r="X88" s="114"/>
      <c r="Y88" s="97"/>
      <c r="Z88" s="97"/>
      <c r="AA88" s="97"/>
      <c r="AB88" s="99"/>
      <c r="AC88" s="1"/>
      <c r="AD88" s="1"/>
      <c r="AE88" s="1"/>
    </row>
    <row r="89" spans="1:31" ht="15.75" thickBot="1" x14ac:dyDescent="0.3">
      <c r="A89" s="107"/>
      <c r="B89" s="17"/>
      <c r="C89" s="17"/>
      <c r="D89" s="17"/>
      <c r="E89" s="17"/>
      <c r="F89" s="17"/>
      <c r="G89" s="17"/>
      <c r="H89" s="98"/>
      <c r="I89" s="98"/>
      <c r="J89" s="61"/>
      <c r="K89" s="25"/>
      <c r="L89" s="17"/>
      <c r="M89" s="108"/>
      <c r="N89" s="108"/>
      <c r="O89" s="108"/>
      <c r="P89" s="109"/>
      <c r="Q89" s="18"/>
      <c r="R89" s="17"/>
      <c r="S89" s="17"/>
      <c r="T89" s="17"/>
      <c r="U89" s="17"/>
      <c r="V89" s="62"/>
      <c r="W89" s="98"/>
      <c r="X89" s="115"/>
      <c r="Y89" s="98"/>
      <c r="Z89" s="98"/>
      <c r="AA89" s="98"/>
      <c r="AB89" s="99"/>
      <c r="AC89" s="1"/>
      <c r="AD89" s="1"/>
      <c r="AE89" s="1"/>
    </row>
    <row r="90" spans="1:31" x14ac:dyDescent="0.25">
      <c r="A90" s="100"/>
      <c r="B90" s="11"/>
      <c r="C90" s="11"/>
      <c r="D90" s="11"/>
      <c r="E90" s="11"/>
      <c r="F90" s="11"/>
      <c r="G90" s="11"/>
      <c r="H90" s="96"/>
      <c r="I90" s="96"/>
      <c r="J90" s="63"/>
      <c r="K90" s="64"/>
      <c r="L90" s="11"/>
      <c r="M90" s="104"/>
      <c r="N90" s="104"/>
      <c r="O90" s="104"/>
      <c r="P90" s="89"/>
      <c r="Q90" s="13"/>
      <c r="R90" s="11"/>
      <c r="S90" s="11"/>
      <c r="T90" s="11"/>
      <c r="U90" s="11"/>
      <c r="V90" s="35"/>
      <c r="W90" s="96"/>
      <c r="X90" s="110"/>
      <c r="Y90" s="96"/>
      <c r="Z90" s="96"/>
      <c r="AA90" s="96"/>
      <c r="AB90" s="99"/>
      <c r="AC90" s="1"/>
      <c r="AD90" s="1"/>
      <c r="AE90" s="1"/>
    </row>
    <row r="91" spans="1:31" x14ac:dyDescent="0.25">
      <c r="A91" s="101"/>
      <c r="B91" s="14"/>
      <c r="C91" s="14"/>
      <c r="D91" s="14"/>
      <c r="E91" s="14"/>
      <c r="F91" s="14"/>
      <c r="G91" s="14"/>
      <c r="H91" s="97"/>
      <c r="I91" s="97"/>
      <c r="J91" s="65"/>
      <c r="K91" s="23"/>
      <c r="L91" s="14"/>
      <c r="M91" s="105"/>
      <c r="N91" s="105"/>
      <c r="O91" s="105"/>
      <c r="P91" s="90"/>
      <c r="Q91" s="16"/>
      <c r="R91" s="14"/>
      <c r="S91" s="14"/>
      <c r="T91" s="14"/>
      <c r="U91" s="14"/>
      <c r="V91" s="66"/>
      <c r="W91" s="97"/>
      <c r="X91" s="111"/>
      <c r="Y91" s="97"/>
      <c r="Z91" s="97"/>
      <c r="AA91" s="97"/>
      <c r="AB91" s="99"/>
      <c r="AC91" s="1"/>
      <c r="AD91" s="1"/>
      <c r="AE91" s="1"/>
    </row>
    <row r="92" spans="1:31" x14ac:dyDescent="0.25">
      <c r="A92" s="101"/>
      <c r="B92" s="14"/>
      <c r="C92" s="14"/>
      <c r="D92" s="14"/>
      <c r="E92" s="14"/>
      <c r="F92" s="14"/>
      <c r="G92" s="14"/>
      <c r="H92" s="97"/>
      <c r="I92" s="97"/>
      <c r="J92" s="67"/>
      <c r="K92" s="28"/>
      <c r="L92" s="14"/>
      <c r="M92" s="105"/>
      <c r="N92" s="105"/>
      <c r="O92" s="105"/>
      <c r="P92" s="90"/>
      <c r="Q92" s="16"/>
      <c r="R92" s="14"/>
      <c r="S92" s="14"/>
      <c r="T92" s="14"/>
      <c r="U92" s="14"/>
      <c r="V92" s="68"/>
      <c r="W92" s="97"/>
      <c r="X92" s="111"/>
      <c r="Y92" s="97"/>
      <c r="Z92" s="97"/>
      <c r="AA92" s="97"/>
      <c r="AB92" s="99"/>
      <c r="AC92" s="1"/>
      <c r="AD92" s="1"/>
      <c r="AE92" s="1"/>
    </row>
    <row r="93" spans="1:31" ht="15.75" thickBot="1" x14ac:dyDescent="0.3">
      <c r="A93" s="107"/>
      <c r="B93" s="17"/>
      <c r="C93" s="17"/>
      <c r="D93" s="17"/>
      <c r="E93" s="17"/>
      <c r="F93" s="17"/>
      <c r="G93" s="17"/>
      <c r="H93" s="98"/>
      <c r="I93" s="98"/>
      <c r="J93" s="69"/>
      <c r="K93" s="19"/>
      <c r="L93" s="17"/>
      <c r="M93" s="108"/>
      <c r="N93" s="108"/>
      <c r="O93" s="108"/>
      <c r="P93" s="109"/>
      <c r="Q93" s="18"/>
      <c r="R93" s="17"/>
      <c r="S93" s="17"/>
      <c r="T93" s="17"/>
      <c r="U93" s="17"/>
      <c r="V93" s="70"/>
      <c r="W93" s="98"/>
      <c r="X93" s="112"/>
      <c r="Y93" s="98"/>
      <c r="Z93" s="98"/>
      <c r="AA93" s="98"/>
      <c r="AB93" s="99"/>
      <c r="AC93" s="1"/>
      <c r="AD93" s="1"/>
      <c r="AE93" s="1"/>
    </row>
    <row r="94" spans="1:31" x14ac:dyDescent="0.25">
      <c r="A94" s="100"/>
      <c r="B94" s="11"/>
      <c r="C94" s="11"/>
      <c r="D94" s="11"/>
      <c r="E94" s="11"/>
      <c r="F94" s="11"/>
      <c r="G94" s="11"/>
      <c r="H94" s="96"/>
      <c r="I94" s="96"/>
      <c r="J94" s="71"/>
      <c r="K94" s="72"/>
      <c r="L94" s="11"/>
      <c r="M94" s="104"/>
      <c r="N94" s="104"/>
      <c r="O94" s="104"/>
      <c r="P94" s="89"/>
      <c r="Q94" s="13"/>
      <c r="R94" s="11"/>
      <c r="S94" s="11"/>
      <c r="T94" s="11"/>
      <c r="U94" s="11"/>
      <c r="V94" s="73"/>
      <c r="W94" s="92"/>
      <c r="X94" s="94"/>
      <c r="Y94" s="96"/>
      <c r="Z94" s="96"/>
      <c r="AA94" s="96"/>
      <c r="AB94" s="99"/>
      <c r="AC94" s="1"/>
      <c r="AD94" s="1"/>
      <c r="AE94" s="1"/>
    </row>
    <row r="95" spans="1:31" x14ac:dyDescent="0.25">
      <c r="A95" s="101"/>
      <c r="B95" s="14"/>
      <c r="C95" s="14"/>
      <c r="D95" s="14"/>
      <c r="E95" s="14"/>
      <c r="F95" s="14"/>
      <c r="G95" s="14"/>
      <c r="H95" s="97"/>
      <c r="I95" s="97"/>
      <c r="J95" s="74"/>
      <c r="K95" s="75"/>
      <c r="L95" s="14"/>
      <c r="M95" s="105"/>
      <c r="N95" s="105"/>
      <c r="O95" s="105"/>
      <c r="P95" s="90"/>
      <c r="Q95" s="16"/>
      <c r="R95" s="14"/>
      <c r="S95" s="14"/>
      <c r="T95" s="14"/>
      <c r="U95" s="14"/>
      <c r="V95" s="76"/>
      <c r="W95" s="93"/>
      <c r="X95" s="95"/>
      <c r="Y95" s="97"/>
      <c r="Z95" s="97"/>
      <c r="AA95" s="97"/>
      <c r="AB95" s="99"/>
      <c r="AC95" s="1"/>
      <c r="AD95" s="1"/>
      <c r="AE95" s="1"/>
    </row>
    <row r="96" spans="1:31" x14ac:dyDescent="0.25">
      <c r="A96" s="101"/>
      <c r="B96" s="14"/>
      <c r="C96" s="14"/>
      <c r="D96" s="14"/>
      <c r="E96" s="14"/>
      <c r="F96" s="14"/>
      <c r="G96" s="14"/>
      <c r="H96" s="97"/>
      <c r="I96" s="97"/>
      <c r="J96" s="77"/>
      <c r="K96" s="78"/>
      <c r="L96" s="14"/>
      <c r="M96" s="105"/>
      <c r="N96" s="105"/>
      <c r="O96" s="105"/>
      <c r="P96" s="90"/>
      <c r="Q96" s="16"/>
      <c r="R96" s="14"/>
      <c r="S96" s="14"/>
      <c r="T96" s="14"/>
      <c r="U96" s="14"/>
      <c r="V96" s="79"/>
      <c r="W96" s="93"/>
      <c r="X96" s="95"/>
      <c r="Y96" s="97"/>
      <c r="Z96" s="97"/>
      <c r="AA96" s="97"/>
      <c r="AB96" s="99"/>
      <c r="AC96" s="1"/>
      <c r="AD96" s="1"/>
      <c r="AE96" s="1"/>
    </row>
    <row r="97" spans="1:31" ht="15.75" thickBot="1" x14ac:dyDescent="0.3">
      <c r="A97" s="102"/>
      <c r="B97" s="17"/>
      <c r="C97" s="17"/>
      <c r="D97" s="17"/>
      <c r="E97" s="17"/>
      <c r="F97" s="17"/>
      <c r="G97" s="17"/>
      <c r="H97" s="103"/>
      <c r="I97" s="103"/>
      <c r="J97" s="80"/>
      <c r="K97" s="81"/>
      <c r="L97" s="17"/>
      <c r="M97" s="106"/>
      <c r="N97" s="106"/>
      <c r="O97" s="106"/>
      <c r="P97" s="91"/>
      <c r="Q97" s="18"/>
      <c r="R97" s="17"/>
      <c r="S97" s="17"/>
      <c r="T97" s="17"/>
      <c r="U97" s="17"/>
      <c r="V97" s="82"/>
      <c r="W97" s="93"/>
      <c r="X97" s="95"/>
      <c r="Y97" s="97"/>
      <c r="Z97" s="97"/>
      <c r="AA97" s="97"/>
      <c r="AB97" s="99"/>
      <c r="AC97" s="1"/>
      <c r="AD97" s="1"/>
      <c r="AE97" s="1"/>
    </row>
    <row r="98" spans="1:31" x14ac:dyDescent="0.25">
      <c r="A98" s="1"/>
      <c r="B98" s="1"/>
      <c r="C98" s="88"/>
      <c r="D98" s="8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5">
      <c r="A99" s="1"/>
      <c r="B99" s="1"/>
      <c r="C99" s="87"/>
      <c r="D99" s="8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5">
      <c r="A100" s="1"/>
      <c r="B100" s="1"/>
      <c r="C100" s="87"/>
      <c r="D100" s="8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5">
      <c r="A101" s="1"/>
      <c r="B101" s="1"/>
      <c r="C101" s="87"/>
      <c r="D101" s="8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25">
      <c r="A102" s="1"/>
      <c r="B102" s="1"/>
      <c r="C102" s="87"/>
      <c r="D102" s="8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25">
      <c r="A103" s="1"/>
      <c r="B103" s="1"/>
      <c r="C103" s="87"/>
      <c r="D103" s="8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25">
      <c r="A104" s="1"/>
      <c r="B104" s="1"/>
      <c r="C104" s="87"/>
      <c r="D104" s="8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25">
      <c r="A105" s="1"/>
      <c r="B105" s="1"/>
      <c r="C105" s="87"/>
      <c r="D105" s="8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25">
      <c r="A106" s="1"/>
      <c r="B106" s="1"/>
      <c r="C106" s="87"/>
      <c r="D106" s="8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s="1"/>
      <c r="B107" s="1"/>
      <c r="C107" s="87"/>
      <c r="D107" s="8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25">
      <c r="A108" s="1"/>
      <c r="B108" s="1"/>
      <c r="C108" s="87"/>
      <c r="D108" s="8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x14ac:dyDescent="0.25">
      <c r="A109" s="1"/>
      <c r="B109" s="1"/>
      <c r="C109" s="87"/>
      <c r="D109" s="8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25">
      <c r="A110" s="1"/>
      <c r="B110" s="1"/>
      <c r="C110" s="87"/>
      <c r="D110" s="8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x14ac:dyDescent="0.25">
      <c r="A111" s="1"/>
      <c r="B111" s="1"/>
      <c r="C111" s="87"/>
      <c r="D111" s="8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x14ac:dyDescent="0.25">
      <c r="A112" s="1"/>
      <c r="B112" s="1"/>
      <c r="C112" s="87"/>
      <c r="D112" s="8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x14ac:dyDescent="0.25">
      <c r="A113" s="1"/>
      <c r="B113" s="1"/>
      <c r="C113" s="87"/>
      <c r="D113" s="8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</sheetData>
  <mergeCells count="302">
    <mergeCell ref="X2:X5"/>
    <mergeCell ref="Y2:Y5"/>
    <mergeCell ref="Z2:Z5"/>
    <mergeCell ref="AB2:AB5"/>
    <mergeCell ref="AD2:AD3"/>
    <mergeCell ref="AE2:AE3"/>
    <mergeCell ref="AD4:AD5"/>
    <mergeCell ref="AE4:AE5"/>
    <mergeCell ref="A2:A5"/>
    <mergeCell ref="M2:M5"/>
    <mergeCell ref="N2:N5"/>
    <mergeCell ref="O2:O5"/>
    <mergeCell ref="P2:P5"/>
    <mergeCell ref="W2:W5"/>
    <mergeCell ref="X6:X9"/>
    <mergeCell ref="Y6:Y9"/>
    <mergeCell ref="Z6:Z9"/>
    <mergeCell ref="AB6:AB9"/>
    <mergeCell ref="AD6:AD7"/>
    <mergeCell ref="AE6:AE7"/>
    <mergeCell ref="AD8:AD9"/>
    <mergeCell ref="AE8:AE9"/>
    <mergeCell ref="A6:A9"/>
    <mergeCell ref="M6:M9"/>
    <mergeCell ref="N6:N9"/>
    <mergeCell ref="O6:O9"/>
    <mergeCell ref="P6:P9"/>
    <mergeCell ref="W6:W9"/>
    <mergeCell ref="X10:X13"/>
    <mergeCell ref="Y10:Y13"/>
    <mergeCell ref="Z10:Z13"/>
    <mergeCell ref="AB10:AB13"/>
    <mergeCell ref="AD10:AD11"/>
    <mergeCell ref="AE10:AE11"/>
    <mergeCell ref="AD12:AD13"/>
    <mergeCell ref="AE12:AE13"/>
    <mergeCell ref="A10:A13"/>
    <mergeCell ref="M10:M13"/>
    <mergeCell ref="N10:N13"/>
    <mergeCell ref="O10:O13"/>
    <mergeCell ref="P10:P13"/>
    <mergeCell ref="W10:W13"/>
    <mergeCell ref="X14:X17"/>
    <mergeCell ref="Y14:Y17"/>
    <mergeCell ref="Z14:Z17"/>
    <mergeCell ref="AB14:AB17"/>
    <mergeCell ref="AD14:AD15"/>
    <mergeCell ref="AE14:AE15"/>
    <mergeCell ref="AD16:AD17"/>
    <mergeCell ref="AE16:AE17"/>
    <mergeCell ref="A14:A17"/>
    <mergeCell ref="M14:M17"/>
    <mergeCell ref="N14:N17"/>
    <mergeCell ref="O14:O17"/>
    <mergeCell ref="P14:P17"/>
    <mergeCell ref="W14:W17"/>
    <mergeCell ref="X18:X21"/>
    <mergeCell ref="Y18:Y21"/>
    <mergeCell ref="Z18:Z21"/>
    <mergeCell ref="AB18:AB21"/>
    <mergeCell ref="AD18:AD19"/>
    <mergeCell ref="AE18:AE19"/>
    <mergeCell ref="AD20:AD21"/>
    <mergeCell ref="AE20:AE21"/>
    <mergeCell ref="A18:A21"/>
    <mergeCell ref="M18:M21"/>
    <mergeCell ref="N18:N21"/>
    <mergeCell ref="O18:O21"/>
    <mergeCell ref="P18:P21"/>
    <mergeCell ref="W18:W21"/>
    <mergeCell ref="X22:X25"/>
    <mergeCell ref="Y22:Y25"/>
    <mergeCell ref="Z22:Z25"/>
    <mergeCell ref="AB22:AB25"/>
    <mergeCell ref="AD22:AD23"/>
    <mergeCell ref="AE22:AE23"/>
    <mergeCell ref="AD24:AD25"/>
    <mergeCell ref="AE24:AE25"/>
    <mergeCell ref="A22:A25"/>
    <mergeCell ref="M22:M25"/>
    <mergeCell ref="N22:N25"/>
    <mergeCell ref="O22:O25"/>
    <mergeCell ref="P22:P25"/>
    <mergeCell ref="W22:W25"/>
    <mergeCell ref="X26:X29"/>
    <mergeCell ref="Y26:Y29"/>
    <mergeCell ref="Z26:Z29"/>
    <mergeCell ref="AB26:AB29"/>
    <mergeCell ref="AD26:AD27"/>
    <mergeCell ref="AE26:AE27"/>
    <mergeCell ref="AD28:AD29"/>
    <mergeCell ref="AE28:AE29"/>
    <mergeCell ref="A26:A29"/>
    <mergeCell ref="M26:M29"/>
    <mergeCell ref="N26:N29"/>
    <mergeCell ref="O26:O29"/>
    <mergeCell ref="P26:P29"/>
    <mergeCell ref="W26:W29"/>
    <mergeCell ref="X30:X33"/>
    <mergeCell ref="Y30:Y33"/>
    <mergeCell ref="Z30:Z33"/>
    <mergeCell ref="AB30:AB33"/>
    <mergeCell ref="A34:A37"/>
    <mergeCell ref="M34:M37"/>
    <mergeCell ref="N34:N37"/>
    <mergeCell ref="O34:O37"/>
    <mergeCell ref="P34:P37"/>
    <mergeCell ref="W34:W37"/>
    <mergeCell ref="A30:A33"/>
    <mergeCell ref="M30:M33"/>
    <mergeCell ref="N30:N33"/>
    <mergeCell ref="O30:O33"/>
    <mergeCell ref="P30:P33"/>
    <mergeCell ref="W30:W33"/>
    <mergeCell ref="X34:X37"/>
    <mergeCell ref="Y34:Y37"/>
    <mergeCell ref="Z34:Z37"/>
    <mergeCell ref="AB34:AB37"/>
    <mergeCell ref="AB38:AB41"/>
    <mergeCell ref="A42:A45"/>
    <mergeCell ref="M42:M45"/>
    <mergeCell ref="N42:N45"/>
    <mergeCell ref="O42:O45"/>
    <mergeCell ref="P42:P45"/>
    <mergeCell ref="W42:W45"/>
    <mergeCell ref="X42:X45"/>
    <mergeCell ref="Y42:Y45"/>
    <mergeCell ref="Z42:Z45"/>
    <mergeCell ref="AB42:AB45"/>
    <mergeCell ref="A38:A41"/>
    <mergeCell ref="M38:M41"/>
    <mergeCell ref="N38:N41"/>
    <mergeCell ref="O38:O41"/>
    <mergeCell ref="P38:P41"/>
    <mergeCell ref="W38:W41"/>
    <mergeCell ref="X38:X41"/>
    <mergeCell ref="Y38:Y41"/>
    <mergeCell ref="Z38:Z41"/>
    <mergeCell ref="AB46:AB49"/>
    <mergeCell ref="A50:A53"/>
    <mergeCell ref="M50:M53"/>
    <mergeCell ref="N50:N53"/>
    <mergeCell ref="O50:O53"/>
    <mergeCell ref="P50:P53"/>
    <mergeCell ref="W50:W53"/>
    <mergeCell ref="X50:X53"/>
    <mergeCell ref="Y50:Y53"/>
    <mergeCell ref="Z50:Z53"/>
    <mergeCell ref="AB50:AB53"/>
    <mergeCell ref="A46:A49"/>
    <mergeCell ref="M46:M49"/>
    <mergeCell ref="N46:N49"/>
    <mergeCell ref="O46:O49"/>
    <mergeCell ref="P46:P49"/>
    <mergeCell ref="W46:W49"/>
    <mergeCell ref="X46:X49"/>
    <mergeCell ref="Y46:Y49"/>
    <mergeCell ref="Z46:Z49"/>
    <mergeCell ref="AB54:AB57"/>
    <mergeCell ref="A58:A61"/>
    <mergeCell ref="M58:M61"/>
    <mergeCell ref="N58:N61"/>
    <mergeCell ref="O58:O61"/>
    <mergeCell ref="P58:P61"/>
    <mergeCell ref="W58:W61"/>
    <mergeCell ref="X58:X61"/>
    <mergeCell ref="Y58:Y61"/>
    <mergeCell ref="Z58:Z61"/>
    <mergeCell ref="AB58:AB61"/>
    <mergeCell ref="A54:A57"/>
    <mergeCell ref="M54:M57"/>
    <mergeCell ref="N54:N57"/>
    <mergeCell ref="O54:O57"/>
    <mergeCell ref="P54:P57"/>
    <mergeCell ref="W54:W57"/>
    <mergeCell ref="X54:X57"/>
    <mergeCell ref="Y54:Y57"/>
    <mergeCell ref="Z54:Z57"/>
    <mergeCell ref="AB62:AB65"/>
    <mergeCell ref="A66:A69"/>
    <mergeCell ref="M66:M69"/>
    <mergeCell ref="N66:N69"/>
    <mergeCell ref="O66:O69"/>
    <mergeCell ref="P66:P69"/>
    <mergeCell ref="W66:W69"/>
    <mergeCell ref="X66:X69"/>
    <mergeCell ref="Y66:Y69"/>
    <mergeCell ref="Z66:Z69"/>
    <mergeCell ref="AB66:AB69"/>
    <mergeCell ref="A62:A65"/>
    <mergeCell ref="M62:M65"/>
    <mergeCell ref="N62:N65"/>
    <mergeCell ref="O62:O65"/>
    <mergeCell ref="P62:P65"/>
    <mergeCell ref="W62:W65"/>
    <mergeCell ref="X62:X65"/>
    <mergeCell ref="Y62:Y65"/>
    <mergeCell ref="Z62:Z65"/>
    <mergeCell ref="A70:A73"/>
    <mergeCell ref="M70:M73"/>
    <mergeCell ref="N70:N73"/>
    <mergeCell ref="O70:O73"/>
    <mergeCell ref="P70:P73"/>
    <mergeCell ref="W70:W73"/>
    <mergeCell ref="X70:X73"/>
    <mergeCell ref="Y70:Y73"/>
    <mergeCell ref="Z70:Z73"/>
    <mergeCell ref="AB70:AB73"/>
    <mergeCell ref="A74:A77"/>
    <mergeCell ref="H74:H77"/>
    <mergeCell ref="I74:I77"/>
    <mergeCell ref="M74:M77"/>
    <mergeCell ref="N74:N77"/>
    <mergeCell ref="O74:O77"/>
    <mergeCell ref="AB74:AB77"/>
    <mergeCell ref="A78:A81"/>
    <mergeCell ref="H78:H81"/>
    <mergeCell ref="I78:I81"/>
    <mergeCell ref="M78:M81"/>
    <mergeCell ref="N78:N81"/>
    <mergeCell ref="O78:O81"/>
    <mergeCell ref="P78:P81"/>
    <mergeCell ref="W78:W81"/>
    <mergeCell ref="X78:X81"/>
    <mergeCell ref="P74:P77"/>
    <mergeCell ref="W74:W77"/>
    <mergeCell ref="X74:X77"/>
    <mergeCell ref="Y74:Y77"/>
    <mergeCell ref="Z74:Z77"/>
    <mergeCell ref="AA74:AA77"/>
    <mergeCell ref="Y78:Y81"/>
    <mergeCell ref="Z78:Z81"/>
    <mergeCell ref="AA78:AA81"/>
    <mergeCell ref="AB78:AB81"/>
    <mergeCell ref="A82:A85"/>
    <mergeCell ref="H82:H85"/>
    <mergeCell ref="I82:I85"/>
    <mergeCell ref="M82:M85"/>
    <mergeCell ref="N82:N85"/>
    <mergeCell ref="O82:O85"/>
    <mergeCell ref="AB82:AB85"/>
    <mergeCell ref="P82:P85"/>
    <mergeCell ref="W82:W85"/>
    <mergeCell ref="X82:X85"/>
    <mergeCell ref="Y82:Y85"/>
    <mergeCell ref="Z82:Z85"/>
    <mergeCell ref="AA82:AA85"/>
    <mergeCell ref="Y86:Y89"/>
    <mergeCell ref="Z86:Z89"/>
    <mergeCell ref="AA86:AA89"/>
    <mergeCell ref="AB86:AB89"/>
    <mergeCell ref="A90:A93"/>
    <mergeCell ref="H90:H93"/>
    <mergeCell ref="I90:I93"/>
    <mergeCell ref="M90:M93"/>
    <mergeCell ref="N90:N93"/>
    <mergeCell ref="O90:O93"/>
    <mergeCell ref="A86:A89"/>
    <mergeCell ref="H86:H89"/>
    <mergeCell ref="I86:I89"/>
    <mergeCell ref="M86:M89"/>
    <mergeCell ref="N86:N89"/>
    <mergeCell ref="O86:O89"/>
    <mergeCell ref="P86:P89"/>
    <mergeCell ref="W86:W89"/>
    <mergeCell ref="X86:X89"/>
    <mergeCell ref="Y94:Y97"/>
    <mergeCell ref="Z94:Z97"/>
    <mergeCell ref="AA94:AA97"/>
    <mergeCell ref="AB94:AB97"/>
    <mergeCell ref="C98:D98"/>
    <mergeCell ref="C99:D99"/>
    <mergeCell ref="AB90:AB93"/>
    <mergeCell ref="A94:A97"/>
    <mergeCell ref="H94:H97"/>
    <mergeCell ref="I94:I97"/>
    <mergeCell ref="M94:M97"/>
    <mergeCell ref="N94:N97"/>
    <mergeCell ref="O94:O97"/>
    <mergeCell ref="P94:P97"/>
    <mergeCell ref="W94:W97"/>
    <mergeCell ref="X94:X97"/>
    <mergeCell ref="P90:P93"/>
    <mergeCell ref="W90:W93"/>
    <mergeCell ref="X90:X93"/>
    <mergeCell ref="Y90:Y93"/>
    <mergeCell ref="Z90:Z93"/>
    <mergeCell ref="AA90:AA93"/>
    <mergeCell ref="C112:D112"/>
    <mergeCell ref="C113:D113"/>
    <mergeCell ref="C106:D106"/>
    <mergeCell ref="C107:D107"/>
    <mergeCell ref="C108:D108"/>
    <mergeCell ref="C109:D109"/>
    <mergeCell ref="C110:D110"/>
    <mergeCell ref="C111:D111"/>
    <mergeCell ref="C100:D100"/>
    <mergeCell ref="C101:D101"/>
    <mergeCell ref="C102:D102"/>
    <mergeCell ref="C103:D103"/>
    <mergeCell ref="C104:D104"/>
    <mergeCell ref="C105:D10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8046-C28B-4F8C-BCA5-794D122CF126}">
  <dimension ref="A1:AN113"/>
  <sheetViews>
    <sheetView tabSelected="1" topLeftCell="A21" workbookViewId="0">
      <selection activeCell="P1" sqref="P1"/>
    </sheetView>
  </sheetViews>
  <sheetFormatPr defaultRowHeight="15" x14ac:dyDescent="0.25"/>
  <cols>
    <col min="5" max="5" width="49.42578125" customWidth="1"/>
    <col min="8" max="8" width="14" customWidth="1"/>
    <col min="9" max="9" width="18.28515625" customWidth="1"/>
    <col min="13" max="13" width="17.28515625" customWidth="1"/>
    <col min="17" max="17" width="36.28515625" customWidth="1"/>
    <col min="30" max="30" width="16.42578125" customWidth="1"/>
  </cols>
  <sheetData>
    <row r="1" spans="1:40" ht="15.75" thickBot="1" x14ac:dyDescent="0.3">
      <c r="A1" s="1"/>
      <c r="B1" s="4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6" t="s">
        <v>428</v>
      </c>
      <c r="I1" s="6" t="s">
        <v>429</v>
      </c>
      <c r="J1" s="7" t="s">
        <v>430</v>
      </c>
      <c r="K1" s="7" t="s">
        <v>431</v>
      </c>
      <c r="L1" s="8" t="s">
        <v>432</v>
      </c>
      <c r="M1" s="8" t="s">
        <v>433</v>
      </c>
      <c r="N1" s="4" t="s">
        <v>434</v>
      </c>
      <c r="O1" s="5"/>
      <c r="P1" s="5" t="s">
        <v>435</v>
      </c>
      <c r="Q1" s="5" t="s">
        <v>63</v>
      </c>
      <c r="R1" s="5" t="s">
        <v>64</v>
      </c>
      <c r="S1" s="5" t="s">
        <v>65</v>
      </c>
      <c r="T1" s="5" t="s">
        <v>66</v>
      </c>
      <c r="U1" s="5" t="s">
        <v>67</v>
      </c>
      <c r="V1" s="7" t="s">
        <v>68</v>
      </c>
      <c r="W1" s="5" t="s">
        <v>436</v>
      </c>
      <c r="X1" s="8" t="s">
        <v>437</v>
      </c>
      <c r="Y1" s="9" t="s">
        <v>438</v>
      </c>
      <c r="Z1" s="9" t="s">
        <v>439</v>
      </c>
      <c r="AA1" s="10" t="s">
        <v>440</v>
      </c>
      <c r="AB1" s="1"/>
      <c r="AC1" s="9" t="s">
        <v>441</v>
      </c>
      <c r="AD1" s="1"/>
      <c r="AE1" s="1"/>
    </row>
    <row r="2" spans="1:40" x14ac:dyDescent="0.25">
      <c r="A2" s="100"/>
      <c r="B2" s="9">
        <v>337</v>
      </c>
      <c r="C2" s="9" t="s">
        <v>386</v>
      </c>
      <c r="D2" s="9" t="s">
        <v>103</v>
      </c>
      <c r="E2" s="9" t="s">
        <v>104</v>
      </c>
      <c r="F2" s="9" t="s">
        <v>332</v>
      </c>
      <c r="G2" s="9" t="s">
        <v>106</v>
      </c>
      <c r="H2" s="9"/>
      <c r="I2" s="9"/>
      <c r="J2" s="9">
        <v>23.096</v>
      </c>
      <c r="K2" s="9">
        <v>18.398</v>
      </c>
      <c r="L2" s="11"/>
      <c r="M2" s="104">
        <f>AVERAGE(J2:J5)</f>
        <v>23.071750000000002</v>
      </c>
      <c r="N2" s="104">
        <f>AVERAGE(K2:K5)</f>
        <v>18.297750000000001</v>
      </c>
      <c r="O2" s="104"/>
      <c r="P2" s="89">
        <f>GEOMEAN(M2,N2)</f>
        <v>20.546559652713153</v>
      </c>
      <c r="Q2" s="1" t="s">
        <v>104</v>
      </c>
      <c r="R2" s="1" t="s">
        <v>328</v>
      </c>
      <c r="S2" s="1" t="s">
        <v>106</v>
      </c>
      <c r="T2" s="1" t="s">
        <v>107</v>
      </c>
      <c r="U2" s="1" t="s">
        <v>108</v>
      </c>
      <c r="V2" s="1">
        <v>33.584000000000003</v>
      </c>
      <c r="W2" s="96" t="e">
        <f>_xlfn.STDEV.S(V2:V5)</f>
        <v>#DIV/0!</v>
      </c>
      <c r="X2" s="128">
        <f>AVERAGE(V2:V5)</f>
        <v>33.584000000000003</v>
      </c>
      <c r="Y2" s="96">
        <f>X2-P2</f>
        <v>13.03744034728685</v>
      </c>
      <c r="Z2" s="96">
        <f>Y2-$AE$2</f>
        <v>-0.16966579529059977</v>
      </c>
      <c r="AA2" s="84">
        <f>2^-Z2</f>
        <v>1.1247978916418484</v>
      </c>
      <c r="AB2" s="150"/>
      <c r="AC2" s="1">
        <f>LOG(AA2,2)</f>
        <v>0.16966579529059969</v>
      </c>
      <c r="AD2" s="153" t="s">
        <v>442</v>
      </c>
      <c r="AE2" s="155">
        <f>AVERAGE(Y2,Y6)</f>
        <v>13.20710614257745</v>
      </c>
      <c r="AG2">
        <f>AC2</f>
        <v>0.16966579529059969</v>
      </c>
      <c r="AH2">
        <f>AC6</f>
        <v>-0.16966579529059966</v>
      </c>
      <c r="AJ2" t="e">
        <f>AC26</f>
        <v>#DIV/0!</v>
      </c>
      <c r="AK2" t="e">
        <f>AC30</f>
        <v>#DIV/0!</v>
      </c>
      <c r="AM2">
        <f>AC50</f>
        <v>-1.1192509493909437</v>
      </c>
      <c r="AN2">
        <f>AC54</f>
        <v>1.1192509493909437</v>
      </c>
    </row>
    <row r="3" spans="1:40" x14ac:dyDescent="0.25">
      <c r="A3" s="101"/>
      <c r="B3" s="1">
        <v>361</v>
      </c>
      <c r="C3" s="1" t="s">
        <v>398</v>
      </c>
      <c r="D3" s="1" t="s">
        <v>103</v>
      </c>
      <c r="E3" s="1" t="s">
        <v>104</v>
      </c>
      <c r="F3" s="1" t="s">
        <v>332</v>
      </c>
      <c r="G3" s="1" t="s">
        <v>106</v>
      </c>
      <c r="H3" s="1"/>
      <c r="I3" s="1"/>
      <c r="J3" s="1">
        <v>23.042999999999999</v>
      </c>
      <c r="K3" s="1">
        <v>18.263999999999999</v>
      </c>
      <c r="L3" s="14"/>
      <c r="M3" s="105"/>
      <c r="N3" s="105"/>
      <c r="O3" s="105"/>
      <c r="P3" s="90"/>
      <c r="Q3" s="1" t="s">
        <v>104</v>
      </c>
      <c r="R3" s="1" t="s">
        <v>328</v>
      </c>
      <c r="S3" s="1" t="s">
        <v>106</v>
      </c>
      <c r="T3" s="1" t="s">
        <v>107</v>
      </c>
      <c r="U3" s="1" t="s">
        <v>108</v>
      </c>
      <c r="V3" s="1" t="s">
        <v>235</v>
      </c>
      <c r="W3" s="97"/>
      <c r="X3" s="129"/>
      <c r="Y3" s="97"/>
      <c r="Z3" s="97"/>
      <c r="AA3" s="85"/>
      <c r="AB3" s="151"/>
      <c r="AC3" s="1"/>
      <c r="AD3" s="154"/>
      <c r="AE3" s="156"/>
      <c r="AG3">
        <f>AC10</f>
        <v>-0.42379063556822594</v>
      </c>
      <c r="AH3">
        <f>AC14</f>
        <v>-1.8243391959641558E-2</v>
      </c>
      <c r="AJ3" t="e">
        <f>AC34</f>
        <v>#DIV/0!</v>
      </c>
      <c r="AK3" t="e">
        <f>AC38</f>
        <v>#DIV/0!</v>
      </c>
      <c r="AM3">
        <f>AC58</f>
        <v>-0.58324361636986488</v>
      </c>
      <c r="AN3">
        <f>AC62</f>
        <v>-1.3490217309348324E-2</v>
      </c>
    </row>
    <row r="4" spans="1:40" x14ac:dyDescent="0.25">
      <c r="A4" s="101"/>
      <c r="B4" s="1">
        <v>338</v>
      </c>
      <c r="C4" s="1" t="s">
        <v>387</v>
      </c>
      <c r="D4" s="1" t="s">
        <v>103</v>
      </c>
      <c r="E4" s="1" t="s">
        <v>104</v>
      </c>
      <c r="F4" s="1" t="s">
        <v>332</v>
      </c>
      <c r="G4" s="1" t="s">
        <v>106</v>
      </c>
      <c r="H4" s="1"/>
      <c r="I4" s="1"/>
      <c r="J4" s="1">
        <v>23.064</v>
      </c>
      <c r="K4" s="1">
        <v>18.318999999999999</v>
      </c>
      <c r="L4" s="14"/>
      <c r="M4" s="105"/>
      <c r="N4" s="105"/>
      <c r="O4" s="105"/>
      <c r="P4" s="90"/>
      <c r="Q4" s="1" t="s">
        <v>104</v>
      </c>
      <c r="R4" s="1" t="s">
        <v>328</v>
      </c>
      <c r="S4" s="1" t="s">
        <v>106</v>
      </c>
      <c r="T4" s="1" t="s">
        <v>107</v>
      </c>
      <c r="U4" s="1" t="s">
        <v>108</v>
      </c>
      <c r="V4" s="1" t="s">
        <v>235</v>
      </c>
      <c r="W4" s="97"/>
      <c r="X4" s="129"/>
      <c r="Y4" s="97"/>
      <c r="Z4" s="97"/>
      <c r="AA4" s="85"/>
      <c r="AB4" s="151"/>
      <c r="AC4" s="1"/>
      <c r="AD4" s="153" t="s">
        <v>443</v>
      </c>
      <c r="AE4" s="155" t="e">
        <f>AVERAGE(Y26,Y30)</f>
        <v>#DIV/0!</v>
      </c>
      <c r="AG4">
        <f>AC18</f>
        <v>1.830348021810613</v>
      </c>
      <c r="AH4">
        <f>AC22</f>
        <v>1.9889916491366775</v>
      </c>
      <c r="AJ4" t="e">
        <f>AC42</f>
        <v>#DIV/0!</v>
      </c>
      <c r="AK4" t="e">
        <f>AC46</f>
        <v>#DIV/0!</v>
      </c>
      <c r="AM4">
        <f>AC66</f>
        <v>0.2362035459980571</v>
      </c>
      <c r="AN4">
        <f>AC70</f>
        <v>0.73401509155387323</v>
      </c>
    </row>
    <row r="5" spans="1:40" ht="15.75" thickBot="1" x14ac:dyDescent="0.3">
      <c r="A5" s="107"/>
      <c r="B5" s="83">
        <v>362</v>
      </c>
      <c r="C5" s="83" t="s">
        <v>399</v>
      </c>
      <c r="D5" s="83" t="s">
        <v>103</v>
      </c>
      <c r="E5" s="83" t="s">
        <v>104</v>
      </c>
      <c r="F5" s="83" t="s">
        <v>332</v>
      </c>
      <c r="G5" s="83" t="s">
        <v>106</v>
      </c>
      <c r="H5" s="83">
        <f>_xlfn.STDEV.S(K2:K5)</f>
        <v>8.0292693731538217E-2</v>
      </c>
      <c r="I5" s="83">
        <f>_xlfn.STDEV.S(J2:J5)</f>
        <v>2.3271943050234237E-2</v>
      </c>
      <c r="J5" s="83">
        <v>23.084</v>
      </c>
      <c r="K5" s="83">
        <v>18.21</v>
      </c>
      <c r="L5" s="17"/>
      <c r="M5" s="108"/>
      <c r="N5" s="108"/>
      <c r="O5" s="108"/>
      <c r="P5" s="109"/>
      <c r="Q5" s="1" t="s">
        <v>104</v>
      </c>
      <c r="R5" s="1" t="s">
        <v>328</v>
      </c>
      <c r="S5" s="1" t="s">
        <v>106</v>
      </c>
      <c r="T5" s="1" t="s">
        <v>107</v>
      </c>
      <c r="U5" s="1" t="s">
        <v>108</v>
      </c>
      <c r="V5" s="1" t="s">
        <v>235</v>
      </c>
      <c r="W5" s="98"/>
      <c r="X5" s="130"/>
      <c r="Y5" s="98"/>
      <c r="Z5" s="98"/>
      <c r="AA5" s="86"/>
      <c r="AB5" s="152"/>
      <c r="AC5" s="1"/>
      <c r="AD5" s="154"/>
      <c r="AE5" s="156"/>
      <c r="AF5">
        <v>75</v>
      </c>
      <c r="AI5">
        <v>100</v>
      </c>
      <c r="AL5">
        <v>150</v>
      </c>
    </row>
    <row r="6" spans="1:40" x14ac:dyDescent="0.25">
      <c r="A6" s="101"/>
      <c r="B6" s="9">
        <v>339</v>
      </c>
      <c r="C6" s="9" t="s">
        <v>388</v>
      </c>
      <c r="D6" s="9" t="s">
        <v>103</v>
      </c>
      <c r="E6" s="9" t="s">
        <v>114</v>
      </c>
      <c r="F6" s="9" t="s">
        <v>332</v>
      </c>
      <c r="G6" s="9" t="s">
        <v>106</v>
      </c>
      <c r="H6" s="9"/>
      <c r="I6" s="9"/>
      <c r="J6" s="9">
        <v>22.887</v>
      </c>
      <c r="K6" s="9">
        <v>18.141999999999999</v>
      </c>
      <c r="L6" s="11"/>
      <c r="M6" s="104">
        <f t="shared" ref="M6:N6" si="0">AVERAGE(J6:J9)</f>
        <v>22.817999999999998</v>
      </c>
      <c r="N6" s="104">
        <f t="shared" si="0"/>
        <v>18.093499999999999</v>
      </c>
      <c r="O6" s="104"/>
      <c r="P6" s="89">
        <f t="shared" ref="P6" si="1">GEOMEAN(M6,N6)</f>
        <v>20.318894728798611</v>
      </c>
      <c r="Q6" s="1" t="s">
        <v>114</v>
      </c>
      <c r="R6" s="1" t="s">
        <v>328</v>
      </c>
      <c r="S6" s="1" t="s">
        <v>106</v>
      </c>
      <c r="T6" s="1" t="s">
        <v>107</v>
      </c>
      <c r="U6" s="1" t="s">
        <v>108</v>
      </c>
      <c r="V6" s="1">
        <v>33.777999999999999</v>
      </c>
      <c r="W6" s="96">
        <f t="shared" ref="W6" si="2">_xlfn.STDEV.S(V6:V9)</f>
        <v>0.10980133575386714</v>
      </c>
      <c r="X6" s="128">
        <f t="shared" ref="X6" si="3">AVERAGE(V6:V9)</f>
        <v>33.695666666666661</v>
      </c>
      <c r="Y6" s="96">
        <f t="shared" ref="Y6" si="4">X6-P6</f>
        <v>13.37677193786805</v>
      </c>
      <c r="Z6" s="96">
        <f t="shared" ref="Z6" si="5">Y6-$AE$2</f>
        <v>0.16966579529059977</v>
      </c>
      <c r="AA6" s="84">
        <f t="shared" ref="AA6" si="6">2^-Z6</f>
        <v>0.8890486081373401</v>
      </c>
      <c r="AB6" s="157"/>
      <c r="AC6" s="1">
        <f t="shared" ref="AC6" si="7">LOG(AA6,2)</f>
        <v>-0.16966579529059966</v>
      </c>
      <c r="AD6" s="153" t="s">
        <v>444</v>
      </c>
      <c r="AE6" s="159">
        <f>AVERAGE(Y50,Y54)</f>
        <v>13.149842227963903</v>
      </c>
      <c r="AG6">
        <f>AM2</f>
        <v>-1.1192509493909437</v>
      </c>
      <c r="AH6">
        <f>AN2</f>
        <v>1.1192509493909437</v>
      </c>
      <c r="AJ6">
        <f>AG2</f>
        <v>0.16966579529059969</v>
      </c>
      <c r="AK6">
        <f>AH2</f>
        <v>-0.16966579529059966</v>
      </c>
      <c r="AM6" t="e">
        <f>AJ2</f>
        <v>#DIV/0!</v>
      </c>
      <c r="AN6" t="e">
        <f>AK2</f>
        <v>#DIV/0!</v>
      </c>
    </row>
    <row r="7" spans="1:40" x14ac:dyDescent="0.25">
      <c r="A7" s="101"/>
      <c r="B7" s="1">
        <v>363</v>
      </c>
      <c r="C7" s="1" t="s">
        <v>400</v>
      </c>
      <c r="D7" s="1" t="s">
        <v>103</v>
      </c>
      <c r="E7" s="1" t="s">
        <v>114</v>
      </c>
      <c r="F7" s="1" t="s">
        <v>332</v>
      </c>
      <c r="G7" s="1" t="s">
        <v>106</v>
      </c>
      <c r="H7" s="1"/>
      <c r="I7" s="1"/>
      <c r="J7" s="1">
        <v>22.777999999999999</v>
      </c>
      <c r="K7" s="1">
        <v>18.074000000000002</v>
      </c>
      <c r="L7" s="14"/>
      <c r="M7" s="105"/>
      <c r="N7" s="105"/>
      <c r="O7" s="105"/>
      <c r="P7" s="90"/>
      <c r="Q7" s="1" t="s">
        <v>114</v>
      </c>
      <c r="R7" s="1" t="s">
        <v>328</v>
      </c>
      <c r="S7" s="1" t="s">
        <v>106</v>
      </c>
      <c r="T7" s="1" t="s">
        <v>107</v>
      </c>
      <c r="U7" s="1" t="s">
        <v>108</v>
      </c>
      <c r="V7" s="1">
        <v>33.570999999999998</v>
      </c>
      <c r="W7" s="97"/>
      <c r="X7" s="129"/>
      <c r="Y7" s="97"/>
      <c r="Z7" s="97"/>
      <c r="AA7" s="85"/>
      <c r="AB7" s="157"/>
      <c r="AC7" s="1"/>
      <c r="AD7" s="154"/>
      <c r="AE7" s="142"/>
      <c r="AG7">
        <f t="shared" ref="AG7:AH8" si="8">AM3</f>
        <v>-0.58324361636986488</v>
      </c>
      <c r="AH7">
        <f t="shared" si="8"/>
        <v>-1.3490217309348324E-2</v>
      </c>
      <c r="AJ7">
        <f t="shared" ref="AJ7:AK8" si="9">AG3</f>
        <v>-0.42379063556822594</v>
      </c>
      <c r="AK7">
        <f t="shared" si="9"/>
        <v>-1.8243391959641558E-2</v>
      </c>
      <c r="AM7" t="e">
        <f t="shared" ref="AM7:AN8" si="10">AJ3</f>
        <v>#DIV/0!</v>
      </c>
      <c r="AN7" t="e">
        <f t="shared" si="10"/>
        <v>#DIV/0!</v>
      </c>
    </row>
    <row r="8" spans="1:40" x14ac:dyDescent="0.25">
      <c r="A8" s="101"/>
      <c r="B8" s="1">
        <v>340</v>
      </c>
      <c r="C8" s="1" t="s">
        <v>389</v>
      </c>
      <c r="D8" s="1" t="s">
        <v>103</v>
      </c>
      <c r="E8" s="1" t="s">
        <v>114</v>
      </c>
      <c r="F8" s="1" t="s">
        <v>332</v>
      </c>
      <c r="G8" s="1" t="s">
        <v>106</v>
      </c>
      <c r="H8" s="1"/>
      <c r="I8" s="1"/>
      <c r="J8" s="1">
        <v>22.84</v>
      </c>
      <c r="K8" s="1">
        <v>18.117000000000001</v>
      </c>
      <c r="L8" s="14"/>
      <c r="M8" s="105"/>
      <c r="N8" s="105"/>
      <c r="O8" s="105"/>
      <c r="P8" s="90"/>
      <c r="Q8" s="1" t="s">
        <v>114</v>
      </c>
      <c r="R8" s="1" t="s">
        <v>328</v>
      </c>
      <c r="S8" s="1" t="s">
        <v>106</v>
      </c>
      <c r="T8" s="1" t="s">
        <v>107</v>
      </c>
      <c r="U8" s="1" t="s">
        <v>108</v>
      </c>
      <c r="V8" s="1">
        <v>33.738</v>
      </c>
      <c r="W8" s="97"/>
      <c r="X8" s="129"/>
      <c r="Y8" s="97"/>
      <c r="Z8" s="97"/>
      <c r="AA8" s="85"/>
      <c r="AB8" s="157"/>
      <c r="AC8" s="1"/>
      <c r="AD8" s="143"/>
      <c r="AE8" s="142"/>
      <c r="AG8">
        <f t="shared" si="8"/>
        <v>0.2362035459980571</v>
      </c>
      <c r="AH8">
        <f t="shared" si="8"/>
        <v>0.73401509155387323</v>
      </c>
      <c r="AJ8">
        <f t="shared" si="9"/>
        <v>1.830348021810613</v>
      </c>
      <c r="AK8">
        <f t="shared" si="9"/>
        <v>1.9889916491366775</v>
      </c>
      <c r="AM8" t="e">
        <f t="shared" si="10"/>
        <v>#DIV/0!</v>
      </c>
      <c r="AN8" t="e">
        <f t="shared" si="10"/>
        <v>#DIV/0!</v>
      </c>
    </row>
    <row r="9" spans="1:40" ht="15.75" thickBot="1" x14ac:dyDescent="0.3">
      <c r="A9" s="107"/>
      <c r="B9" s="83">
        <v>364</v>
      </c>
      <c r="C9" s="83" t="s">
        <v>401</v>
      </c>
      <c r="D9" s="83" t="s">
        <v>103</v>
      </c>
      <c r="E9" s="83" t="s">
        <v>114</v>
      </c>
      <c r="F9" s="83" t="s">
        <v>332</v>
      </c>
      <c r="G9" s="83" t="s">
        <v>106</v>
      </c>
      <c r="H9" s="83">
        <f t="shared" ref="H9" si="11">_xlfn.STDEV.S(K6:K9)</f>
        <v>4.4873897386639251E-2</v>
      </c>
      <c r="I9" s="83">
        <f t="shared" ref="I9" si="12">_xlfn.STDEV.S(J6:J9)</f>
        <v>5.6112981266964762E-2</v>
      </c>
      <c r="J9" s="83">
        <v>22.766999999999999</v>
      </c>
      <c r="K9" s="83">
        <v>18.041</v>
      </c>
      <c r="L9" s="17"/>
      <c r="M9" s="108"/>
      <c r="N9" s="108"/>
      <c r="O9" s="108"/>
      <c r="P9" s="109"/>
      <c r="Q9" s="1" t="s">
        <v>114</v>
      </c>
      <c r="R9" s="1" t="s">
        <v>328</v>
      </c>
      <c r="S9" s="1" t="s">
        <v>106</v>
      </c>
      <c r="T9" s="1" t="s">
        <v>107</v>
      </c>
      <c r="U9" s="1" t="s">
        <v>108</v>
      </c>
      <c r="V9" s="1" t="s">
        <v>235</v>
      </c>
      <c r="W9" s="98"/>
      <c r="X9" s="130"/>
      <c r="Y9" s="98"/>
      <c r="Z9" s="98"/>
      <c r="AA9" s="86"/>
      <c r="AB9" s="158"/>
      <c r="AC9" s="1"/>
      <c r="AD9" s="143"/>
      <c r="AE9" s="142"/>
    </row>
    <row r="10" spans="1:40" x14ac:dyDescent="0.25">
      <c r="A10" s="100"/>
      <c r="B10" s="9">
        <v>341</v>
      </c>
      <c r="C10" s="9" t="s">
        <v>390</v>
      </c>
      <c r="D10" s="9" t="s">
        <v>103</v>
      </c>
      <c r="E10" s="9" t="s">
        <v>117</v>
      </c>
      <c r="F10" s="9" t="s">
        <v>332</v>
      </c>
      <c r="G10" s="9" t="s">
        <v>106</v>
      </c>
      <c r="H10" s="9"/>
      <c r="I10" s="9"/>
      <c r="J10" s="9">
        <v>22.46</v>
      </c>
      <c r="K10" s="9">
        <v>17.544</v>
      </c>
      <c r="L10" s="11"/>
      <c r="M10" s="104">
        <f t="shared" ref="M10:N10" si="13">AVERAGE(J10:J13)</f>
        <v>22.5335</v>
      </c>
      <c r="N10" s="104">
        <f t="shared" si="13"/>
        <v>17.604499999999998</v>
      </c>
      <c r="O10" s="104"/>
      <c r="P10" s="89">
        <f t="shared" ref="P10" si="14">GEOMEAN(M10,N10)</f>
        <v>19.917103221854326</v>
      </c>
      <c r="Q10" s="1" t="s">
        <v>117</v>
      </c>
      <c r="R10" s="1" t="s">
        <v>328</v>
      </c>
      <c r="S10" s="1" t="s">
        <v>106</v>
      </c>
      <c r="T10" s="1" t="s">
        <v>107</v>
      </c>
      <c r="U10" s="1" t="s">
        <v>108</v>
      </c>
      <c r="V10" s="1" t="s">
        <v>235</v>
      </c>
      <c r="W10" s="96" t="e">
        <f t="shared" ref="W10" si="15">_xlfn.STDEV.S(V10:V13)</f>
        <v>#DIV/0!</v>
      </c>
      <c r="X10" s="128">
        <f t="shared" ref="X10" si="16">AVERAGE(V10:V13)</f>
        <v>33.548000000000002</v>
      </c>
      <c r="Y10" s="96">
        <f t="shared" ref="Y10" si="17">X10-P10</f>
        <v>13.630896778145676</v>
      </c>
      <c r="Z10" s="96">
        <f t="shared" ref="Z10" si="18">Y10-$AE$2</f>
        <v>0.42379063556822594</v>
      </c>
      <c r="AA10" s="84">
        <f t="shared" ref="AA10" si="19">2^-Z10</f>
        <v>0.74546336746656383</v>
      </c>
      <c r="AB10" s="147"/>
      <c r="AC10" s="1">
        <f t="shared" ref="AC10" si="20">LOG(AA10,2)</f>
        <v>-0.42379063556822594</v>
      </c>
      <c r="AD10" s="143"/>
      <c r="AE10" s="142"/>
    </row>
    <row r="11" spans="1:40" x14ac:dyDescent="0.25">
      <c r="A11" s="101"/>
      <c r="B11" s="1">
        <v>365</v>
      </c>
      <c r="C11" s="1" t="s">
        <v>402</v>
      </c>
      <c r="D11" s="1" t="s">
        <v>103</v>
      </c>
      <c r="E11" s="1" t="s">
        <v>117</v>
      </c>
      <c r="F11" s="1" t="s">
        <v>332</v>
      </c>
      <c r="G11" s="1" t="s">
        <v>106</v>
      </c>
      <c r="H11" s="1"/>
      <c r="I11" s="1"/>
      <c r="J11" s="1">
        <v>22.52</v>
      </c>
      <c r="K11" s="1">
        <v>17.760999999999999</v>
      </c>
      <c r="L11" s="14"/>
      <c r="M11" s="105"/>
      <c r="N11" s="105"/>
      <c r="O11" s="105"/>
      <c r="P11" s="90"/>
      <c r="Q11" s="1" t="s">
        <v>117</v>
      </c>
      <c r="R11" s="1" t="s">
        <v>328</v>
      </c>
      <c r="S11" s="1" t="s">
        <v>106</v>
      </c>
      <c r="T11" s="1" t="s">
        <v>107</v>
      </c>
      <c r="U11" s="1" t="s">
        <v>108</v>
      </c>
      <c r="V11" s="1">
        <v>33.548000000000002</v>
      </c>
      <c r="W11" s="97"/>
      <c r="X11" s="129"/>
      <c r="Y11" s="97"/>
      <c r="Z11" s="97"/>
      <c r="AA11" s="85"/>
      <c r="AB11" s="148"/>
      <c r="AC11" s="1"/>
      <c r="AD11" s="143"/>
      <c r="AE11" s="142"/>
    </row>
    <row r="12" spans="1:40" x14ac:dyDescent="0.25">
      <c r="A12" s="101"/>
      <c r="B12" s="1">
        <v>342</v>
      </c>
      <c r="C12" s="1" t="s">
        <v>391</v>
      </c>
      <c r="D12" s="1" t="s">
        <v>103</v>
      </c>
      <c r="E12" s="1" t="s">
        <v>117</v>
      </c>
      <c r="F12" s="1" t="s">
        <v>332</v>
      </c>
      <c r="G12" s="1" t="s">
        <v>106</v>
      </c>
      <c r="H12" s="1"/>
      <c r="I12" s="1"/>
      <c r="J12" s="1">
        <v>22.559000000000001</v>
      </c>
      <c r="K12" s="1">
        <v>17.477</v>
      </c>
      <c r="L12" s="14"/>
      <c r="M12" s="105"/>
      <c r="N12" s="105"/>
      <c r="O12" s="105"/>
      <c r="P12" s="90"/>
      <c r="Q12" s="1" t="s">
        <v>117</v>
      </c>
      <c r="R12" s="1" t="s">
        <v>328</v>
      </c>
      <c r="S12" s="1" t="s">
        <v>106</v>
      </c>
      <c r="T12" s="1" t="s">
        <v>107</v>
      </c>
      <c r="U12" s="1" t="s">
        <v>108</v>
      </c>
      <c r="V12" s="1" t="s">
        <v>235</v>
      </c>
      <c r="W12" s="97"/>
      <c r="X12" s="129"/>
      <c r="Y12" s="97"/>
      <c r="Z12" s="97"/>
      <c r="AA12" s="85"/>
      <c r="AB12" s="148"/>
      <c r="AC12" s="1"/>
      <c r="AD12" s="143"/>
      <c r="AE12" s="142"/>
    </row>
    <row r="13" spans="1:40" ht="15.75" thickBot="1" x14ac:dyDescent="0.3">
      <c r="A13" s="107"/>
      <c r="B13" s="83">
        <v>366</v>
      </c>
      <c r="C13" s="83" t="s">
        <v>403</v>
      </c>
      <c r="D13" s="83" t="s">
        <v>103</v>
      </c>
      <c r="E13" s="83" t="s">
        <v>117</v>
      </c>
      <c r="F13" s="83" t="s">
        <v>332</v>
      </c>
      <c r="G13" s="83" t="s">
        <v>106</v>
      </c>
      <c r="H13" s="83">
        <f t="shared" ref="H13" si="21">_xlfn.STDEV.S(K10:K13)</f>
        <v>0.12301896872704846</v>
      </c>
      <c r="I13" s="83">
        <f t="shared" ref="I13" si="22">_xlfn.STDEV.S(J10:J13)</f>
        <v>5.7784080852774096E-2</v>
      </c>
      <c r="J13" s="83">
        <v>22.594999999999999</v>
      </c>
      <c r="K13" s="83">
        <v>17.635999999999999</v>
      </c>
      <c r="L13" s="17"/>
      <c r="M13" s="108"/>
      <c r="N13" s="108"/>
      <c r="O13" s="108"/>
      <c r="P13" s="109"/>
      <c r="Q13" s="1" t="s">
        <v>117</v>
      </c>
      <c r="R13" s="1" t="s">
        <v>328</v>
      </c>
      <c r="S13" s="1" t="s">
        <v>106</v>
      </c>
      <c r="T13" s="1" t="s">
        <v>107</v>
      </c>
      <c r="U13" s="1" t="s">
        <v>108</v>
      </c>
      <c r="V13" s="1" t="s">
        <v>235</v>
      </c>
      <c r="W13" s="98"/>
      <c r="X13" s="130"/>
      <c r="Y13" s="98"/>
      <c r="Z13" s="98"/>
      <c r="AA13" s="86"/>
      <c r="AB13" s="149"/>
      <c r="AC13" s="1"/>
      <c r="AD13" s="143"/>
      <c r="AE13" s="142"/>
    </row>
    <row r="14" spans="1:40" x14ac:dyDescent="0.25">
      <c r="A14" s="100"/>
      <c r="B14" s="9">
        <v>343</v>
      </c>
      <c r="C14" s="9" t="s">
        <v>392</v>
      </c>
      <c r="D14" s="9" t="s">
        <v>103</v>
      </c>
      <c r="E14" s="9" t="s">
        <v>120</v>
      </c>
      <c r="F14" s="9" t="s">
        <v>332</v>
      </c>
      <c r="G14" s="9" t="s">
        <v>106</v>
      </c>
      <c r="H14" s="9"/>
      <c r="I14" s="9"/>
      <c r="J14" s="9">
        <v>22.733000000000001</v>
      </c>
      <c r="K14" s="9">
        <v>17.564</v>
      </c>
      <c r="L14" s="11"/>
      <c r="M14" s="104">
        <f t="shared" ref="M14:N14" si="23">AVERAGE(J14:J17)</f>
        <v>22.652999999999999</v>
      </c>
      <c r="N14" s="104">
        <f t="shared" si="23"/>
        <v>17.67475</v>
      </c>
      <c r="O14" s="104"/>
      <c r="P14" s="89">
        <f t="shared" ref="P14" si="24">GEOMEAN(M14,N14)</f>
        <v>20.009650465462908</v>
      </c>
      <c r="Q14" s="1" t="s">
        <v>120</v>
      </c>
      <c r="R14" s="1" t="s">
        <v>328</v>
      </c>
      <c r="S14" s="1" t="s">
        <v>106</v>
      </c>
      <c r="T14" s="1" t="s">
        <v>107</v>
      </c>
      <c r="U14" s="1" t="s">
        <v>108</v>
      </c>
      <c r="V14" s="1" t="s">
        <v>235</v>
      </c>
      <c r="W14" s="96">
        <f t="shared" ref="W14" si="25">_xlfn.STDEV.S(V14:V17)</f>
        <v>0.84892461384978046</v>
      </c>
      <c r="X14" s="128">
        <f t="shared" ref="X14" si="26">AVERAGE(V14:V17)</f>
        <v>33.234999999999999</v>
      </c>
      <c r="Y14" s="96">
        <f t="shared" ref="Y14" si="27">X14-P14</f>
        <v>13.225349534537092</v>
      </c>
      <c r="Z14" s="96">
        <f t="shared" ref="Z14" si="28">Y14-$AE$2</f>
        <v>1.8243391959641642E-2</v>
      </c>
      <c r="AA14" s="84">
        <f t="shared" ref="AA14" si="29">2^-Z14</f>
        <v>0.98743426086312358</v>
      </c>
      <c r="AB14" s="147"/>
      <c r="AC14" s="1">
        <f t="shared" ref="AC14" si="30">LOG(AA14,2)</f>
        <v>-1.8243391959641558E-2</v>
      </c>
      <c r="AD14" s="143"/>
      <c r="AE14" s="142"/>
    </row>
    <row r="15" spans="1:40" x14ac:dyDescent="0.25">
      <c r="A15" s="101"/>
      <c r="B15" s="1">
        <v>367</v>
      </c>
      <c r="C15" s="1" t="s">
        <v>404</v>
      </c>
      <c r="D15" s="1" t="s">
        <v>103</v>
      </c>
      <c r="E15" s="1" t="s">
        <v>120</v>
      </c>
      <c r="F15" s="1" t="s">
        <v>332</v>
      </c>
      <c r="G15" s="1" t="s">
        <v>106</v>
      </c>
      <c r="H15" s="1"/>
      <c r="I15" s="1"/>
      <c r="J15" s="1">
        <v>22.678000000000001</v>
      </c>
      <c r="K15" s="1">
        <v>17.535</v>
      </c>
      <c r="L15" s="14"/>
      <c r="M15" s="105"/>
      <c r="N15" s="105"/>
      <c r="O15" s="105"/>
      <c r="P15" s="90"/>
      <c r="Q15" s="1" t="s">
        <v>120</v>
      </c>
      <c r="R15" s="1" t="s">
        <v>328</v>
      </c>
      <c r="S15" s="1" t="s">
        <v>106</v>
      </c>
      <c r="T15" s="1" t="s">
        <v>107</v>
      </c>
      <c r="U15" s="1" t="s">
        <v>108</v>
      </c>
      <c r="V15" s="1">
        <v>33.643999999999998</v>
      </c>
      <c r="W15" s="97"/>
      <c r="X15" s="129"/>
      <c r="Y15" s="97"/>
      <c r="Z15" s="97"/>
      <c r="AA15" s="85"/>
      <c r="AB15" s="148"/>
      <c r="AC15" s="1"/>
      <c r="AD15" s="143"/>
      <c r="AE15" s="142"/>
    </row>
    <row r="16" spans="1:40" x14ac:dyDescent="0.25">
      <c r="A16" s="101"/>
      <c r="B16" s="1">
        <v>344</v>
      </c>
      <c r="C16" s="1" t="s">
        <v>393</v>
      </c>
      <c r="D16" s="1" t="s">
        <v>103</v>
      </c>
      <c r="E16" s="1" t="s">
        <v>120</v>
      </c>
      <c r="F16" s="1" t="s">
        <v>332</v>
      </c>
      <c r="G16" s="1" t="s">
        <v>106</v>
      </c>
      <c r="H16" s="1"/>
      <c r="I16" s="1"/>
      <c r="J16" s="1">
        <v>22.619</v>
      </c>
      <c r="K16" s="1">
        <v>17.882999999999999</v>
      </c>
      <c r="L16" s="14"/>
      <c r="M16" s="105"/>
      <c r="N16" s="105"/>
      <c r="O16" s="105"/>
      <c r="P16" s="90"/>
      <c r="Q16" s="1" t="s">
        <v>120</v>
      </c>
      <c r="R16" s="1" t="s">
        <v>328</v>
      </c>
      <c r="S16" s="1" t="s">
        <v>106</v>
      </c>
      <c r="T16" s="1" t="s">
        <v>107</v>
      </c>
      <c r="U16" s="1" t="s">
        <v>108</v>
      </c>
      <c r="V16" s="1">
        <v>33.802</v>
      </c>
      <c r="W16" s="97"/>
      <c r="X16" s="129"/>
      <c r="Y16" s="97"/>
      <c r="Z16" s="97"/>
      <c r="AA16" s="85"/>
      <c r="AB16" s="148"/>
      <c r="AC16" s="1"/>
      <c r="AD16" s="143"/>
      <c r="AE16" s="142"/>
    </row>
    <row r="17" spans="1:31" ht="15.75" thickBot="1" x14ac:dyDescent="0.3">
      <c r="A17" s="107"/>
      <c r="B17" s="83">
        <v>368</v>
      </c>
      <c r="C17" s="83" t="s">
        <v>405</v>
      </c>
      <c r="D17" s="83" t="s">
        <v>103</v>
      </c>
      <c r="E17" s="83" t="s">
        <v>120</v>
      </c>
      <c r="F17" s="83" t="s">
        <v>332</v>
      </c>
      <c r="G17" s="83" t="s">
        <v>106</v>
      </c>
      <c r="H17" s="83">
        <f t="shared" ref="H17" si="31">_xlfn.STDEV.S(K14:K17)</f>
        <v>0.16015487296155917</v>
      </c>
      <c r="I17" s="83">
        <f t="shared" ref="I17" si="32">_xlfn.STDEV.S(J14:J17)</f>
        <v>6.6387749874004212E-2</v>
      </c>
      <c r="J17" s="83">
        <v>22.582000000000001</v>
      </c>
      <c r="K17" s="83">
        <v>17.716999999999999</v>
      </c>
      <c r="L17" s="17"/>
      <c r="M17" s="108"/>
      <c r="N17" s="108"/>
      <c r="O17" s="108"/>
      <c r="P17" s="109"/>
      <c r="Q17" s="1" t="s">
        <v>120</v>
      </c>
      <c r="R17" s="1" t="s">
        <v>328</v>
      </c>
      <c r="S17" s="1" t="s">
        <v>106</v>
      </c>
      <c r="T17" s="1" t="s">
        <v>107</v>
      </c>
      <c r="U17" s="1" t="s">
        <v>108</v>
      </c>
      <c r="V17" s="1">
        <v>32.259</v>
      </c>
      <c r="W17" s="98"/>
      <c r="X17" s="130"/>
      <c r="Y17" s="98"/>
      <c r="Z17" s="98"/>
      <c r="AA17" s="86"/>
      <c r="AB17" s="149"/>
      <c r="AC17" s="1"/>
      <c r="AD17" s="143"/>
      <c r="AE17" s="142"/>
    </row>
    <row r="18" spans="1:31" x14ac:dyDescent="0.25">
      <c r="A18" s="100"/>
      <c r="B18" s="9">
        <v>345</v>
      </c>
      <c r="C18" s="9" t="s">
        <v>394</v>
      </c>
      <c r="D18" s="9" t="s">
        <v>103</v>
      </c>
      <c r="E18" s="9" t="s">
        <v>123</v>
      </c>
      <c r="F18" s="9" t="s">
        <v>332</v>
      </c>
      <c r="G18" s="9" t="s">
        <v>106</v>
      </c>
      <c r="H18" s="9"/>
      <c r="I18" s="9"/>
      <c r="J18" s="9">
        <v>23.177</v>
      </c>
      <c r="K18" s="9">
        <v>18.623999999999999</v>
      </c>
      <c r="L18" s="11"/>
      <c r="M18" s="104">
        <f t="shared" ref="M18:N18" si="33">AVERAGE(J18:J21)</f>
        <v>23.083500000000001</v>
      </c>
      <c r="N18" s="104">
        <f t="shared" si="33"/>
        <v>18.561250000000001</v>
      </c>
      <c r="O18" s="104"/>
      <c r="P18" s="89">
        <f t="shared" ref="P18" si="34">GEOMEAN(M18,N18)</f>
        <v>20.699241879233163</v>
      </c>
      <c r="Q18" s="1" t="s">
        <v>123</v>
      </c>
      <c r="R18" s="1" t="s">
        <v>328</v>
      </c>
      <c r="S18" s="1" t="s">
        <v>106</v>
      </c>
      <c r="T18" s="1" t="s">
        <v>107</v>
      </c>
      <c r="U18" s="1" t="s">
        <v>108</v>
      </c>
      <c r="V18" s="1" t="s">
        <v>235</v>
      </c>
      <c r="W18" s="96" t="e">
        <f t="shared" ref="W18" si="35">_xlfn.STDEV.S(V18:V21)</f>
        <v>#DIV/0!</v>
      </c>
      <c r="X18" s="128">
        <f t="shared" ref="X18" si="36">AVERAGE(V18:V21)</f>
        <v>32.076000000000001</v>
      </c>
      <c r="Y18" s="96">
        <f t="shared" ref="Y18" si="37">X18-P18</f>
        <v>11.376758120766837</v>
      </c>
      <c r="Z18" s="96">
        <f t="shared" ref="Z18" si="38">Y18-$AE$2</f>
        <v>-1.8303480218106127</v>
      </c>
      <c r="AA18" s="84">
        <f t="shared" ref="AA18" si="39">2^-Z18</f>
        <v>3.5562284913991591</v>
      </c>
      <c r="AB18" s="144"/>
      <c r="AC18" s="1">
        <f t="shared" ref="AC18" si="40">LOG(AA18,2)</f>
        <v>1.830348021810613</v>
      </c>
      <c r="AD18" s="143"/>
      <c r="AE18" s="142"/>
    </row>
    <row r="19" spans="1:31" x14ac:dyDescent="0.25">
      <c r="A19" s="101"/>
      <c r="B19" s="1">
        <v>369</v>
      </c>
      <c r="C19" s="1" t="s">
        <v>406</v>
      </c>
      <c r="D19" s="1" t="s">
        <v>103</v>
      </c>
      <c r="E19" s="1" t="s">
        <v>123</v>
      </c>
      <c r="F19" s="1" t="s">
        <v>332</v>
      </c>
      <c r="G19" s="1" t="s">
        <v>106</v>
      </c>
      <c r="H19" s="1"/>
      <c r="I19" s="1"/>
      <c r="J19" s="1">
        <v>23.096</v>
      </c>
      <c r="K19" s="1">
        <v>18.565999999999999</v>
      </c>
      <c r="L19" s="14"/>
      <c r="M19" s="105"/>
      <c r="N19" s="105"/>
      <c r="O19" s="105"/>
      <c r="P19" s="90"/>
      <c r="Q19" s="1" t="s">
        <v>123</v>
      </c>
      <c r="R19" s="1" t="s">
        <v>328</v>
      </c>
      <c r="S19" s="1" t="s">
        <v>106</v>
      </c>
      <c r="T19" s="1" t="s">
        <v>107</v>
      </c>
      <c r="U19" s="1" t="s">
        <v>108</v>
      </c>
      <c r="V19" s="1" t="s">
        <v>235</v>
      </c>
      <c r="W19" s="97"/>
      <c r="X19" s="129"/>
      <c r="Y19" s="97"/>
      <c r="Z19" s="97"/>
      <c r="AA19" s="85"/>
      <c r="AB19" s="145"/>
      <c r="AC19" s="1"/>
      <c r="AD19" s="143"/>
      <c r="AE19" s="142"/>
    </row>
    <row r="20" spans="1:31" x14ac:dyDescent="0.25">
      <c r="A20" s="101"/>
      <c r="B20" s="1">
        <v>346</v>
      </c>
      <c r="C20" s="1" t="s">
        <v>395</v>
      </c>
      <c r="D20" s="1" t="s">
        <v>103</v>
      </c>
      <c r="E20" s="1" t="s">
        <v>123</v>
      </c>
      <c r="F20" s="1" t="s">
        <v>332</v>
      </c>
      <c r="G20" s="1" t="s">
        <v>106</v>
      </c>
      <c r="H20" s="1"/>
      <c r="I20" s="1"/>
      <c r="J20" s="1">
        <v>22.966999999999999</v>
      </c>
      <c r="K20" s="1">
        <v>18.457000000000001</v>
      </c>
      <c r="L20" s="14"/>
      <c r="M20" s="105"/>
      <c r="N20" s="105"/>
      <c r="O20" s="105"/>
      <c r="P20" s="90"/>
      <c r="Q20" s="1" t="s">
        <v>123</v>
      </c>
      <c r="R20" s="1" t="s">
        <v>328</v>
      </c>
      <c r="S20" s="1" t="s">
        <v>106</v>
      </c>
      <c r="T20" s="1" t="s">
        <v>107</v>
      </c>
      <c r="U20" s="1" t="s">
        <v>108</v>
      </c>
      <c r="V20" s="1">
        <v>32.076000000000001</v>
      </c>
      <c r="W20" s="97"/>
      <c r="X20" s="129"/>
      <c r="Y20" s="97"/>
      <c r="Z20" s="97"/>
      <c r="AA20" s="85"/>
      <c r="AB20" s="145"/>
      <c r="AC20" s="1"/>
      <c r="AD20" s="143"/>
      <c r="AE20" s="142"/>
    </row>
    <row r="21" spans="1:31" ht="15.75" thickBot="1" x14ac:dyDescent="0.3">
      <c r="A21" s="107"/>
      <c r="B21" s="83">
        <v>370</v>
      </c>
      <c r="C21" s="83" t="s">
        <v>407</v>
      </c>
      <c r="D21" s="83" t="s">
        <v>103</v>
      </c>
      <c r="E21" s="83" t="s">
        <v>123</v>
      </c>
      <c r="F21" s="83" t="s">
        <v>332</v>
      </c>
      <c r="G21" s="83" t="s">
        <v>106</v>
      </c>
      <c r="H21" s="83">
        <f t="shared" ref="H21" si="41">_xlfn.STDEV.S(K18:K21)</f>
        <v>7.3436480489376232E-2</v>
      </c>
      <c r="I21" s="83">
        <f t="shared" ref="I21" si="42">_xlfn.STDEV.S(J18:J21)</f>
        <v>8.675828490697636E-2</v>
      </c>
      <c r="J21" s="83">
        <v>23.094000000000001</v>
      </c>
      <c r="K21" s="83">
        <v>18.597999999999999</v>
      </c>
      <c r="L21" s="17"/>
      <c r="M21" s="108"/>
      <c r="N21" s="108"/>
      <c r="O21" s="108"/>
      <c r="P21" s="109"/>
      <c r="Q21" s="1" t="s">
        <v>123</v>
      </c>
      <c r="R21" s="1" t="s">
        <v>328</v>
      </c>
      <c r="S21" s="1" t="s">
        <v>106</v>
      </c>
      <c r="T21" s="1" t="s">
        <v>107</v>
      </c>
      <c r="U21" s="1" t="s">
        <v>108</v>
      </c>
      <c r="V21" s="1" t="s">
        <v>235</v>
      </c>
      <c r="W21" s="98"/>
      <c r="X21" s="130"/>
      <c r="Y21" s="98"/>
      <c r="Z21" s="98"/>
      <c r="AA21" s="86"/>
      <c r="AB21" s="146"/>
      <c r="AC21" s="1"/>
      <c r="AD21" s="143"/>
      <c r="AE21" s="142"/>
    </row>
    <row r="22" spans="1:31" x14ac:dyDescent="0.25">
      <c r="A22" s="100"/>
      <c r="B22" s="9">
        <v>347</v>
      </c>
      <c r="C22" s="9" t="s">
        <v>396</v>
      </c>
      <c r="D22" s="9" t="s">
        <v>103</v>
      </c>
      <c r="E22" s="9" t="s">
        <v>126</v>
      </c>
      <c r="F22" s="9" t="s">
        <v>332</v>
      </c>
      <c r="G22" s="9" t="s">
        <v>106</v>
      </c>
      <c r="H22" s="9"/>
      <c r="I22" s="9"/>
      <c r="J22" s="9">
        <v>22.98</v>
      </c>
      <c r="K22" s="9">
        <v>18.567</v>
      </c>
      <c r="L22" s="11"/>
      <c r="M22" s="104">
        <f t="shared" ref="M22:N22" si="43">AVERAGE(J22:J25)</f>
        <v>22.962500000000002</v>
      </c>
      <c r="N22" s="104">
        <f t="shared" si="43"/>
        <v>18.500999999999998</v>
      </c>
      <c r="O22" s="104"/>
      <c r="P22" s="89">
        <f t="shared" ref="P22" si="44">GEOMEAN(M22,N22)</f>
        <v>20.61138550655923</v>
      </c>
      <c r="Q22" s="1" t="s">
        <v>126</v>
      </c>
      <c r="R22" s="1" t="s">
        <v>328</v>
      </c>
      <c r="S22" s="1" t="s">
        <v>106</v>
      </c>
      <c r="T22" s="1" t="s">
        <v>107</v>
      </c>
      <c r="U22" s="1" t="s">
        <v>108</v>
      </c>
      <c r="V22" s="1">
        <v>32.655000000000001</v>
      </c>
      <c r="W22" s="96">
        <f t="shared" ref="W22" si="45">_xlfn.STDEV.S(V22:V25)</f>
        <v>0.64852268014824832</v>
      </c>
      <c r="X22" s="128">
        <f t="shared" ref="X22" si="46">AVERAGE(V22:V25)</f>
        <v>31.829500000000003</v>
      </c>
      <c r="Y22" s="96">
        <f t="shared" ref="Y22" si="47">X22-P22</f>
        <v>11.218114493440773</v>
      </c>
      <c r="Z22" s="96">
        <f t="shared" ref="Z22" si="48">Y22-$AE$2</f>
        <v>-1.9889916491366773</v>
      </c>
      <c r="AA22" s="84">
        <f t="shared" ref="AA22" si="49">2^-Z22</f>
        <v>3.9695945211656891</v>
      </c>
      <c r="AB22" s="144"/>
      <c r="AC22" s="1">
        <f t="shared" ref="AC22" si="50">LOG(AA22,2)</f>
        <v>1.9889916491366775</v>
      </c>
      <c r="AD22" s="143"/>
      <c r="AE22" s="142"/>
    </row>
    <row r="23" spans="1:31" x14ac:dyDescent="0.25">
      <c r="A23" s="101"/>
      <c r="B23" s="1">
        <v>371</v>
      </c>
      <c r="C23" s="1" t="s">
        <v>408</v>
      </c>
      <c r="D23" s="1" t="s">
        <v>103</v>
      </c>
      <c r="E23" s="1" t="s">
        <v>126</v>
      </c>
      <c r="F23" s="1" t="s">
        <v>332</v>
      </c>
      <c r="G23" s="1" t="s">
        <v>106</v>
      </c>
      <c r="H23" s="1"/>
      <c r="I23" s="1"/>
      <c r="J23" s="1">
        <v>22.972000000000001</v>
      </c>
      <c r="K23" s="1">
        <v>18.613</v>
      </c>
      <c r="L23" s="14"/>
      <c r="M23" s="105"/>
      <c r="N23" s="105"/>
      <c r="O23" s="105"/>
      <c r="P23" s="90"/>
      <c r="Q23" s="1" t="s">
        <v>126</v>
      </c>
      <c r="R23" s="1" t="s">
        <v>328</v>
      </c>
      <c r="S23" s="1" t="s">
        <v>106</v>
      </c>
      <c r="T23" s="1" t="s">
        <v>107</v>
      </c>
      <c r="U23" s="1" t="s">
        <v>108</v>
      </c>
      <c r="V23" s="1">
        <v>31.722999999999999</v>
      </c>
      <c r="W23" s="97"/>
      <c r="X23" s="129"/>
      <c r="Y23" s="97"/>
      <c r="Z23" s="97"/>
      <c r="AA23" s="85"/>
      <c r="AB23" s="145"/>
      <c r="AC23" s="1"/>
      <c r="AD23" s="143"/>
      <c r="AE23" s="142"/>
    </row>
    <row r="24" spans="1:31" x14ac:dyDescent="0.25">
      <c r="A24" s="101"/>
      <c r="B24" s="1">
        <v>348</v>
      </c>
      <c r="C24" s="1" t="s">
        <v>397</v>
      </c>
      <c r="D24" s="1" t="s">
        <v>103</v>
      </c>
      <c r="E24" s="1" t="s">
        <v>126</v>
      </c>
      <c r="F24" s="1" t="s">
        <v>332</v>
      </c>
      <c r="G24" s="1" t="s">
        <v>106</v>
      </c>
      <c r="H24" s="1"/>
      <c r="I24" s="1"/>
      <c r="J24" s="1">
        <v>22.96</v>
      </c>
      <c r="K24" s="1">
        <v>18.332999999999998</v>
      </c>
      <c r="L24" s="14"/>
      <c r="M24" s="105"/>
      <c r="N24" s="105"/>
      <c r="O24" s="105"/>
      <c r="P24" s="90"/>
      <c r="Q24" s="1" t="s">
        <v>126</v>
      </c>
      <c r="R24" s="1" t="s">
        <v>328</v>
      </c>
      <c r="S24" s="1" t="s">
        <v>106</v>
      </c>
      <c r="T24" s="1" t="s">
        <v>107</v>
      </c>
      <c r="U24" s="1" t="s">
        <v>108</v>
      </c>
      <c r="V24" s="1">
        <v>31.076000000000001</v>
      </c>
      <c r="W24" s="97"/>
      <c r="X24" s="129"/>
      <c r="Y24" s="97"/>
      <c r="Z24" s="97"/>
      <c r="AA24" s="85"/>
      <c r="AB24" s="145"/>
      <c r="AC24" s="1"/>
      <c r="AD24" s="143"/>
      <c r="AE24" s="142"/>
    </row>
    <row r="25" spans="1:31" ht="15.75" thickBot="1" x14ac:dyDescent="0.3">
      <c r="A25" s="107"/>
      <c r="B25" s="83">
        <v>372</v>
      </c>
      <c r="C25" s="83" t="s">
        <v>409</v>
      </c>
      <c r="D25" s="83" t="s">
        <v>103</v>
      </c>
      <c r="E25" s="83" t="s">
        <v>126</v>
      </c>
      <c r="F25" s="83" t="s">
        <v>332</v>
      </c>
      <c r="G25" s="83" t="s">
        <v>106</v>
      </c>
      <c r="H25" s="83">
        <f t="shared" ref="H25" si="51">_xlfn.STDEV.S(K22:K25)</f>
        <v>0.12277893413231286</v>
      </c>
      <c r="I25" s="83">
        <f t="shared" ref="I25" si="52">_xlfn.STDEV.S(J22:J25)</f>
        <v>1.8284784202537482E-2</v>
      </c>
      <c r="J25" s="83">
        <v>22.937999999999999</v>
      </c>
      <c r="K25" s="83">
        <v>18.491</v>
      </c>
      <c r="L25" s="17"/>
      <c r="M25" s="108"/>
      <c r="N25" s="108"/>
      <c r="O25" s="108"/>
      <c r="P25" s="109"/>
      <c r="Q25" s="1" t="s">
        <v>126</v>
      </c>
      <c r="R25" s="1" t="s">
        <v>328</v>
      </c>
      <c r="S25" s="1" t="s">
        <v>106</v>
      </c>
      <c r="T25" s="1" t="s">
        <v>107</v>
      </c>
      <c r="U25" s="1" t="s">
        <v>108</v>
      </c>
      <c r="V25" s="1">
        <v>31.864000000000001</v>
      </c>
      <c r="W25" s="98"/>
      <c r="X25" s="130"/>
      <c r="Y25" s="98"/>
      <c r="Z25" s="98"/>
      <c r="AA25" s="86"/>
      <c r="AB25" s="146"/>
      <c r="AC25" s="1"/>
      <c r="AD25" s="143"/>
      <c r="AE25" s="142"/>
    </row>
    <row r="26" spans="1:31" x14ac:dyDescent="0.25">
      <c r="A26" s="100"/>
      <c r="B26" s="9">
        <v>337</v>
      </c>
      <c r="C26" s="9" t="s">
        <v>386</v>
      </c>
      <c r="D26" s="9" t="s">
        <v>103</v>
      </c>
      <c r="E26" s="9" t="s">
        <v>416</v>
      </c>
      <c r="F26" s="9" t="s">
        <v>332</v>
      </c>
      <c r="G26" s="9" t="s">
        <v>106</v>
      </c>
      <c r="H26" s="9"/>
      <c r="I26" s="9"/>
      <c r="J26" s="9">
        <v>22.983000000000001</v>
      </c>
      <c r="K26" s="9">
        <v>18.667000000000002</v>
      </c>
      <c r="L26" s="11"/>
      <c r="M26" s="104">
        <f t="shared" ref="M26:N26" si="53">AVERAGE(J26:J29)</f>
        <v>23.02</v>
      </c>
      <c r="N26" s="104">
        <f t="shared" si="53"/>
        <v>18.7575</v>
      </c>
      <c r="O26" s="104"/>
      <c r="P26" s="89">
        <f t="shared" ref="P26" si="54">GEOMEAN(M26,N26)</f>
        <v>20.779741336214943</v>
      </c>
      <c r="Q26" s="1" t="s">
        <v>416</v>
      </c>
      <c r="R26" s="1" t="s">
        <v>328</v>
      </c>
      <c r="S26" s="1" t="s">
        <v>106</v>
      </c>
      <c r="T26" s="1" t="s">
        <v>107</v>
      </c>
      <c r="U26" s="1" t="s">
        <v>108</v>
      </c>
      <c r="V26" s="1" t="s">
        <v>235</v>
      </c>
      <c r="W26" s="96" t="e">
        <f t="shared" ref="W26" si="55">_xlfn.STDEV.S(V26:V29)</f>
        <v>#DIV/0!</v>
      </c>
      <c r="X26" s="128" t="e">
        <f t="shared" ref="X26" si="56">AVERAGE(V26:V29)</f>
        <v>#DIV/0!</v>
      </c>
      <c r="Y26" s="96" t="e">
        <f t="shared" ref="Y26" si="57">X26-P26</f>
        <v>#DIV/0!</v>
      </c>
      <c r="Z26" s="96" t="e">
        <f>Y26-$AE$4</f>
        <v>#DIV/0!</v>
      </c>
      <c r="AA26" s="84" t="e">
        <f t="shared" ref="AA26" si="58">2^-Z26</f>
        <v>#DIV/0!</v>
      </c>
      <c r="AB26" s="139"/>
      <c r="AC26" s="1" t="e">
        <f t="shared" ref="AC26" si="59">LOG(AA26,2)</f>
        <v>#DIV/0!</v>
      </c>
      <c r="AD26" s="143"/>
      <c r="AE26" s="142"/>
    </row>
    <row r="27" spans="1:31" x14ac:dyDescent="0.25">
      <c r="A27" s="101"/>
      <c r="B27" s="1">
        <v>361</v>
      </c>
      <c r="C27" s="1" t="s">
        <v>398</v>
      </c>
      <c r="D27" s="1" t="s">
        <v>103</v>
      </c>
      <c r="E27" s="1" t="s">
        <v>416</v>
      </c>
      <c r="F27" s="1" t="s">
        <v>332</v>
      </c>
      <c r="G27" s="1" t="s">
        <v>106</v>
      </c>
      <c r="H27" s="1"/>
      <c r="I27" s="1"/>
      <c r="J27" s="1">
        <v>22.923999999999999</v>
      </c>
      <c r="K27" s="1">
        <v>18.940000000000001</v>
      </c>
      <c r="L27" s="14"/>
      <c r="M27" s="105"/>
      <c r="N27" s="105"/>
      <c r="O27" s="105"/>
      <c r="P27" s="90"/>
      <c r="Q27" s="1" t="s">
        <v>416</v>
      </c>
      <c r="R27" s="1" t="s">
        <v>328</v>
      </c>
      <c r="S27" s="1" t="s">
        <v>106</v>
      </c>
      <c r="T27" s="1" t="s">
        <v>107</v>
      </c>
      <c r="U27" s="1" t="s">
        <v>108</v>
      </c>
      <c r="V27" s="1" t="s">
        <v>235</v>
      </c>
      <c r="W27" s="97"/>
      <c r="X27" s="129"/>
      <c r="Y27" s="97"/>
      <c r="Z27" s="97"/>
      <c r="AA27" s="85"/>
      <c r="AB27" s="140"/>
      <c r="AC27" s="1"/>
      <c r="AD27" s="143"/>
      <c r="AE27" s="142"/>
    </row>
    <row r="28" spans="1:31" x14ac:dyDescent="0.25">
      <c r="A28" s="101"/>
      <c r="B28" s="1">
        <v>338</v>
      </c>
      <c r="C28" s="1" t="s">
        <v>387</v>
      </c>
      <c r="D28" s="1" t="s">
        <v>103</v>
      </c>
      <c r="E28" s="1" t="s">
        <v>416</v>
      </c>
      <c r="F28" s="1" t="s">
        <v>332</v>
      </c>
      <c r="G28" s="1" t="s">
        <v>106</v>
      </c>
      <c r="H28" s="1"/>
      <c r="I28" s="1"/>
      <c r="J28" s="1">
        <v>23.096</v>
      </c>
      <c r="K28" s="1">
        <v>18.649000000000001</v>
      </c>
      <c r="L28" s="14"/>
      <c r="M28" s="105"/>
      <c r="N28" s="105"/>
      <c r="O28" s="105"/>
      <c r="P28" s="90"/>
      <c r="Q28" s="1" t="s">
        <v>416</v>
      </c>
      <c r="R28" s="1" t="s">
        <v>328</v>
      </c>
      <c r="S28" s="1" t="s">
        <v>106</v>
      </c>
      <c r="T28" s="1" t="s">
        <v>107</v>
      </c>
      <c r="U28" s="1" t="s">
        <v>108</v>
      </c>
      <c r="V28" s="1" t="s">
        <v>235</v>
      </c>
      <c r="W28" s="97"/>
      <c r="X28" s="129"/>
      <c r="Y28" s="97"/>
      <c r="Z28" s="97"/>
      <c r="AA28" s="85"/>
      <c r="AB28" s="140"/>
      <c r="AC28" s="1"/>
      <c r="AD28" s="143"/>
      <c r="AE28" s="142"/>
    </row>
    <row r="29" spans="1:31" ht="15.75" thickBot="1" x14ac:dyDescent="0.3">
      <c r="A29" s="107"/>
      <c r="B29" s="83">
        <v>362</v>
      </c>
      <c r="C29" s="83" t="s">
        <v>399</v>
      </c>
      <c r="D29" s="83" t="s">
        <v>103</v>
      </c>
      <c r="E29" s="83" t="s">
        <v>416</v>
      </c>
      <c r="F29" s="83" t="s">
        <v>332</v>
      </c>
      <c r="G29" s="83" t="s">
        <v>106</v>
      </c>
      <c r="H29" s="83">
        <f t="shared" ref="H29" si="60">_xlfn.STDEV.S(K26:K29)</f>
        <v>0.13359266446927393</v>
      </c>
      <c r="I29" s="83">
        <f t="shared" ref="I29" si="61">_xlfn.STDEV.S(J26:J29)</f>
        <v>8.0849654709632221E-2</v>
      </c>
      <c r="J29" s="83">
        <v>23.077000000000002</v>
      </c>
      <c r="K29" s="83">
        <v>18.774000000000001</v>
      </c>
      <c r="L29" s="17"/>
      <c r="M29" s="108"/>
      <c r="N29" s="108"/>
      <c r="O29" s="108"/>
      <c r="P29" s="109"/>
      <c r="Q29" s="1" t="s">
        <v>416</v>
      </c>
      <c r="R29" s="1" t="s">
        <v>328</v>
      </c>
      <c r="S29" s="1" t="s">
        <v>106</v>
      </c>
      <c r="T29" s="1" t="s">
        <v>107</v>
      </c>
      <c r="U29" s="1" t="s">
        <v>108</v>
      </c>
      <c r="V29" s="1" t="s">
        <v>235</v>
      </c>
      <c r="W29" s="98"/>
      <c r="X29" s="130"/>
      <c r="Y29" s="98"/>
      <c r="Z29" s="98"/>
      <c r="AA29" s="86"/>
      <c r="AB29" s="141"/>
      <c r="AC29" s="1"/>
      <c r="AD29" s="143"/>
      <c r="AE29" s="142"/>
    </row>
    <row r="30" spans="1:31" x14ac:dyDescent="0.25">
      <c r="A30" s="100"/>
      <c r="B30" s="9">
        <v>339</v>
      </c>
      <c r="C30" s="9" t="s">
        <v>388</v>
      </c>
      <c r="D30" s="9" t="s">
        <v>103</v>
      </c>
      <c r="E30" s="9" t="s">
        <v>417</v>
      </c>
      <c r="F30" s="9" t="s">
        <v>332</v>
      </c>
      <c r="G30" s="9" t="s">
        <v>106</v>
      </c>
      <c r="H30" s="9"/>
      <c r="I30" s="9"/>
      <c r="J30" s="9">
        <v>22.806000000000001</v>
      </c>
      <c r="K30" s="9">
        <v>18.515000000000001</v>
      </c>
      <c r="L30" s="11"/>
      <c r="M30" s="104">
        <f t="shared" ref="M30:N30" si="62">AVERAGE(J30:J33)</f>
        <v>22.781750000000002</v>
      </c>
      <c r="N30" s="104">
        <f t="shared" si="62"/>
        <v>18.29025</v>
      </c>
      <c r="O30" s="104"/>
      <c r="P30" s="89">
        <f t="shared" ref="P30" si="63">GEOMEAN(M30,N30)</f>
        <v>20.412836719513045</v>
      </c>
      <c r="Q30" s="1" t="s">
        <v>417</v>
      </c>
      <c r="R30" s="1" t="s">
        <v>328</v>
      </c>
      <c r="S30" s="1" t="s">
        <v>106</v>
      </c>
      <c r="T30" s="1" t="s">
        <v>107</v>
      </c>
      <c r="U30" s="1" t="s">
        <v>108</v>
      </c>
      <c r="V30" s="1">
        <v>33.267000000000003</v>
      </c>
      <c r="W30" s="96">
        <f t="shared" ref="W30" si="64">_xlfn.STDEV.S(V30:V33)</f>
        <v>0.93408805794742777</v>
      </c>
      <c r="X30" s="128">
        <f t="shared" ref="X30" si="65">AVERAGE(V30:V33)</f>
        <v>33.927500000000002</v>
      </c>
      <c r="Y30" s="96">
        <f t="shared" ref="Y30" si="66">X30-P30</f>
        <v>13.514663280486957</v>
      </c>
      <c r="Z30" s="96" t="e">
        <f t="shared" ref="Z30" si="67">Y30-$AE$4</f>
        <v>#DIV/0!</v>
      </c>
      <c r="AA30" s="84" t="e">
        <f t="shared" ref="AA30" si="68">2^-Z30</f>
        <v>#DIV/0!</v>
      </c>
      <c r="AB30" s="139"/>
      <c r="AC30" s="1" t="e">
        <f t="shared" ref="AC30" si="69">LOG(AA30,2)</f>
        <v>#DIV/0!</v>
      </c>
      <c r="AD30" s="1"/>
      <c r="AE30" s="1"/>
    </row>
    <row r="31" spans="1:31" x14ac:dyDescent="0.25">
      <c r="A31" s="101"/>
      <c r="B31" s="1">
        <v>363</v>
      </c>
      <c r="C31" s="1" t="s">
        <v>400</v>
      </c>
      <c r="D31" s="1" t="s">
        <v>103</v>
      </c>
      <c r="E31" s="1" t="s">
        <v>417</v>
      </c>
      <c r="F31" s="1" t="s">
        <v>332</v>
      </c>
      <c r="G31" s="1" t="s">
        <v>106</v>
      </c>
      <c r="H31" s="1"/>
      <c r="I31" s="1"/>
      <c r="J31" s="1">
        <v>22.748999999999999</v>
      </c>
      <c r="K31" s="1">
        <v>18.596</v>
      </c>
      <c r="L31" s="14"/>
      <c r="M31" s="105"/>
      <c r="N31" s="105"/>
      <c r="O31" s="105"/>
      <c r="P31" s="90"/>
      <c r="Q31" s="1" t="s">
        <v>417</v>
      </c>
      <c r="R31" s="1" t="s">
        <v>328</v>
      </c>
      <c r="S31" s="1" t="s">
        <v>106</v>
      </c>
      <c r="T31" s="1" t="s">
        <v>107</v>
      </c>
      <c r="U31" s="1" t="s">
        <v>108</v>
      </c>
      <c r="V31" s="1" t="s">
        <v>235</v>
      </c>
      <c r="W31" s="97"/>
      <c r="X31" s="129"/>
      <c r="Y31" s="97"/>
      <c r="Z31" s="97"/>
      <c r="AA31" s="85"/>
      <c r="AB31" s="140"/>
      <c r="AC31" s="1"/>
      <c r="AD31" s="1"/>
      <c r="AE31" s="1"/>
    </row>
    <row r="32" spans="1:31" x14ac:dyDescent="0.25">
      <c r="A32" s="101"/>
      <c r="B32" s="1">
        <v>340</v>
      </c>
      <c r="C32" s="1" t="s">
        <v>389</v>
      </c>
      <c r="D32" s="1" t="s">
        <v>103</v>
      </c>
      <c r="E32" s="1" t="s">
        <v>417</v>
      </c>
      <c r="F32" s="1" t="s">
        <v>332</v>
      </c>
      <c r="G32" s="1" t="s">
        <v>106</v>
      </c>
      <c r="H32" s="1"/>
      <c r="I32" s="1"/>
      <c r="J32" s="1">
        <v>22.742999999999999</v>
      </c>
      <c r="K32" s="1">
        <v>18.411999999999999</v>
      </c>
      <c r="L32" s="14"/>
      <c r="M32" s="105"/>
      <c r="N32" s="105"/>
      <c r="O32" s="105"/>
      <c r="P32" s="90"/>
      <c r="Q32" s="1" t="s">
        <v>417</v>
      </c>
      <c r="R32" s="1" t="s">
        <v>328</v>
      </c>
      <c r="S32" s="1" t="s">
        <v>106</v>
      </c>
      <c r="T32" s="1" t="s">
        <v>107</v>
      </c>
      <c r="U32" s="1" t="s">
        <v>108</v>
      </c>
      <c r="V32" s="1">
        <v>34.588000000000001</v>
      </c>
      <c r="W32" s="97"/>
      <c r="X32" s="129"/>
      <c r="Y32" s="97"/>
      <c r="Z32" s="97"/>
      <c r="AA32" s="85"/>
      <c r="AB32" s="140"/>
      <c r="AC32" s="1"/>
      <c r="AD32" s="1"/>
      <c r="AE32" s="1"/>
    </row>
    <row r="33" spans="1:31" ht="15.75" thickBot="1" x14ac:dyDescent="0.3">
      <c r="A33" s="107"/>
      <c r="B33" s="83">
        <v>364</v>
      </c>
      <c r="C33" s="83" t="s">
        <v>401</v>
      </c>
      <c r="D33" s="83" t="s">
        <v>103</v>
      </c>
      <c r="E33" s="83" t="s">
        <v>417</v>
      </c>
      <c r="F33" s="83" t="s">
        <v>332</v>
      </c>
      <c r="G33" s="83" t="s">
        <v>106</v>
      </c>
      <c r="H33" s="83">
        <f t="shared" ref="H33" si="70">_xlfn.STDEV.S(K30:K33)</f>
        <v>0.44130441118725816</v>
      </c>
      <c r="I33" s="83">
        <f t="shared" ref="I33" si="71">_xlfn.STDEV.S(J30:J33)</f>
        <v>4.2405777908206085E-2</v>
      </c>
      <c r="J33" s="83">
        <v>22.829000000000001</v>
      </c>
      <c r="K33" s="83">
        <v>17.638000000000002</v>
      </c>
      <c r="L33" s="17"/>
      <c r="M33" s="108"/>
      <c r="N33" s="108"/>
      <c r="O33" s="108"/>
      <c r="P33" s="109"/>
      <c r="Q33" s="1" t="s">
        <v>417</v>
      </c>
      <c r="R33" s="1" t="s">
        <v>328</v>
      </c>
      <c r="S33" s="1" t="s">
        <v>106</v>
      </c>
      <c r="T33" s="1" t="s">
        <v>107</v>
      </c>
      <c r="U33" s="1" t="s">
        <v>108</v>
      </c>
      <c r="V33" s="1" t="s">
        <v>235</v>
      </c>
      <c r="W33" s="98"/>
      <c r="X33" s="130"/>
      <c r="Y33" s="98"/>
      <c r="Z33" s="98"/>
      <c r="AA33" s="86"/>
      <c r="AB33" s="141"/>
      <c r="AC33" s="1"/>
      <c r="AD33" s="1"/>
      <c r="AE33" s="1"/>
    </row>
    <row r="34" spans="1:31" x14ac:dyDescent="0.25">
      <c r="A34" s="100"/>
      <c r="B34" s="9">
        <v>341</v>
      </c>
      <c r="C34" s="9" t="s">
        <v>390</v>
      </c>
      <c r="D34" s="9" t="s">
        <v>103</v>
      </c>
      <c r="E34" s="9" t="s">
        <v>418</v>
      </c>
      <c r="F34" s="9" t="s">
        <v>332</v>
      </c>
      <c r="G34" s="9" t="s">
        <v>106</v>
      </c>
      <c r="H34" s="9"/>
      <c r="I34" s="9"/>
      <c r="J34" s="9">
        <v>22.611000000000001</v>
      </c>
      <c r="K34" s="9">
        <v>18.010000000000002</v>
      </c>
      <c r="L34" s="11"/>
      <c r="M34" s="104">
        <f t="shared" ref="M34:N34" si="72">AVERAGE(J34:J37)</f>
        <v>22.61225</v>
      </c>
      <c r="N34" s="104">
        <f t="shared" si="72"/>
        <v>18.068000000000001</v>
      </c>
      <c r="O34" s="104"/>
      <c r="P34" s="89">
        <f t="shared" ref="P34" si="73">GEOMEAN(M34,N34)</f>
        <v>20.21282100549055</v>
      </c>
      <c r="Q34" s="1" t="s">
        <v>418</v>
      </c>
      <c r="R34" s="1" t="s">
        <v>328</v>
      </c>
      <c r="S34" s="1" t="s">
        <v>106</v>
      </c>
      <c r="T34" s="1" t="s">
        <v>107</v>
      </c>
      <c r="U34" s="1" t="s">
        <v>108</v>
      </c>
      <c r="V34" s="1">
        <v>34.151000000000003</v>
      </c>
      <c r="W34" s="96">
        <f t="shared" ref="W34" si="74">_xlfn.STDEV.S(V34:V37)</f>
        <v>0.59765597685178817</v>
      </c>
      <c r="X34" s="128">
        <f t="shared" ref="X34" si="75">AVERAGE(V34:V37)</f>
        <v>33.994</v>
      </c>
      <c r="Y34" s="96">
        <f t="shared" ref="Y34" si="76">X34-P34</f>
        <v>13.78117899450945</v>
      </c>
      <c r="Z34" s="96" t="e">
        <f t="shared" ref="Z34" si="77">Y34-$AE$4</f>
        <v>#DIV/0!</v>
      </c>
      <c r="AA34" s="84" t="e">
        <f t="shared" ref="AA34" si="78">2^-Z34</f>
        <v>#DIV/0!</v>
      </c>
      <c r="AB34" s="136"/>
      <c r="AC34" s="1" t="e">
        <f t="shared" ref="AC34" si="79">LOG(AA34,2)</f>
        <v>#DIV/0!</v>
      </c>
      <c r="AD34" s="1"/>
      <c r="AE34" s="1"/>
    </row>
    <row r="35" spans="1:31" x14ac:dyDescent="0.25">
      <c r="A35" s="101"/>
      <c r="B35" s="1">
        <v>365</v>
      </c>
      <c r="C35" s="1" t="s">
        <v>402</v>
      </c>
      <c r="D35" s="1" t="s">
        <v>103</v>
      </c>
      <c r="E35" s="1" t="s">
        <v>418</v>
      </c>
      <c r="F35" s="1" t="s">
        <v>332</v>
      </c>
      <c r="G35" s="1" t="s">
        <v>106</v>
      </c>
      <c r="H35" s="1"/>
      <c r="I35" s="1"/>
      <c r="J35" s="1">
        <v>22.594000000000001</v>
      </c>
      <c r="K35" s="1">
        <v>18.193000000000001</v>
      </c>
      <c r="L35" s="14"/>
      <c r="M35" s="105"/>
      <c r="N35" s="105"/>
      <c r="O35" s="105"/>
      <c r="P35" s="90"/>
      <c r="Q35" s="1" t="s">
        <v>418</v>
      </c>
      <c r="R35" s="1" t="s">
        <v>328</v>
      </c>
      <c r="S35" s="1" t="s">
        <v>106</v>
      </c>
      <c r="T35" s="1" t="s">
        <v>107</v>
      </c>
      <c r="U35" s="1" t="s">
        <v>108</v>
      </c>
      <c r="V35" s="1">
        <v>34.176000000000002</v>
      </c>
      <c r="W35" s="97"/>
      <c r="X35" s="129"/>
      <c r="Y35" s="97"/>
      <c r="Z35" s="97"/>
      <c r="AA35" s="85"/>
      <c r="AB35" s="137"/>
      <c r="AC35" s="1"/>
      <c r="AD35" s="1"/>
      <c r="AE35" s="1"/>
    </row>
    <row r="36" spans="1:31" x14ac:dyDescent="0.25">
      <c r="A36" s="101"/>
      <c r="B36" s="1">
        <v>342</v>
      </c>
      <c r="C36" s="1" t="s">
        <v>391</v>
      </c>
      <c r="D36" s="1" t="s">
        <v>103</v>
      </c>
      <c r="E36" s="1" t="s">
        <v>418</v>
      </c>
      <c r="F36" s="1" t="s">
        <v>332</v>
      </c>
      <c r="G36" s="1" t="s">
        <v>106</v>
      </c>
      <c r="H36" s="1"/>
      <c r="I36" s="1"/>
      <c r="J36" s="1">
        <v>22.55</v>
      </c>
      <c r="K36" s="1">
        <v>17.946000000000002</v>
      </c>
      <c r="L36" s="14"/>
      <c r="M36" s="105"/>
      <c r="N36" s="105"/>
      <c r="O36" s="105"/>
      <c r="P36" s="90"/>
      <c r="Q36" s="1" t="s">
        <v>418</v>
      </c>
      <c r="R36" s="1" t="s">
        <v>328</v>
      </c>
      <c r="S36" s="1" t="s">
        <v>106</v>
      </c>
      <c r="T36" s="1" t="s">
        <v>107</v>
      </c>
      <c r="U36" s="1" t="s">
        <v>108</v>
      </c>
      <c r="V36" s="1">
        <v>33.133000000000003</v>
      </c>
      <c r="W36" s="97"/>
      <c r="X36" s="129"/>
      <c r="Y36" s="97"/>
      <c r="Z36" s="97"/>
      <c r="AA36" s="85"/>
      <c r="AB36" s="137"/>
      <c r="AC36" s="1"/>
      <c r="AD36" s="1"/>
      <c r="AE36" s="1"/>
    </row>
    <row r="37" spans="1:31" ht="15.75" thickBot="1" x14ac:dyDescent="0.3">
      <c r="A37" s="107"/>
      <c r="B37" s="83">
        <v>366</v>
      </c>
      <c r="C37" s="83" t="s">
        <v>403</v>
      </c>
      <c r="D37" s="83" t="s">
        <v>103</v>
      </c>
      <c r="E37" s="83" t="s">
        <v>418</v>
      </c>
      <c r="F37" s="83" t="s">
        <v>332</v>
      </c>
      <c r="G37" s="83" t="s">
        <v>106</v>
      </c>
      <c r="H37" s="83">
        <f t="shared" ref="H37" si="80">_xlfn.STDEV.S(K34:K37)</f>
        <v>0.11090235945791824</v>
      </c>
      <c r="I37" s="83">
        <f t="shared" ref="I37" si="81">_xlfn.STDEV.S(J34:J37)</f>
        <v>6.0257088103115065E-2</v>
      </c>
      <c r="J37" s="83">
        <v>22.693999999999999</v>
      </c>
      <c r="K37" s="83">
        <v>18.123000000000001</v>
      </c>
      <c r="L37" s="17"/>
      <c r="M37" s="108"/>
      <c r="N37" s="108"/>
      <c r="O37" s="108"/>
      <c r="P37" s="109"/>
      <c r="Q37" s="1" t="s">
        <v>418</v>
      </c>
      <c r="R37" s="1" t="s">
        <v>328</v>
      </c>
      <c r="S37" s="1" t="s">
        <v>106</v>
      </c>
      <c r="T37" s="1" t="s">
        <v>107</v>
      </c>
      <c r="U37" s="1" t="s">
        <v>108</v>
      </c>
      <c r="V37" s="1">
        <v>34.515999999999998</v>
      </c>
      <c r="W37" s="98"/>
      <c r="X37" s="130"/>
      <c r="Y37" s="98"/>
      <c r="Z37" s="98"/>
      <c r="AA37" s="86"/>
      <c r="AB37" s="138"/>
      <c r="AC37" s="1"/>
      <c r="AD37" s="1"/>
      <c r="AE37" s="1"/>
    </row>
    <row r="38" spans="1:31" x14ac:dyDescent="0.25">
      <c r="A38" s="100"/>
      <c r="B38" s="9">
        <v>343</v>
      </c>
      <c r="C38" s="9" t="s">
        <v>392</v>
      </c>
      <c r="D38" s="9" t="s">
        <v>103</v>
      </c>
      <c r="E38" s="9" t="s">
        <v>419</v>
      </c>
      <c r="F38" s="9" t="s">
        <v>332</v>
      </c>
      <c r="G38" s="9" t="s">
        <v>106</v>
      </c>
      <c r="H38" s="9"/>
      <c r="I38" s="9"/>
      <c r="J38" s="9">
        <v>22.65</v>
      </c>
      <c r="K38" s="9">
        <v>17.954999999999998</v>
      </c>
      <c r="L38" s="11"/>
      <c r="M38" s="104">
        <f t="shared" ref="M38:N38" si="82">AVERAGE(J38:J41)</f>
        <v>22.660999999999998</v>
      </c>
      <c r="N38" s="104">
        <f t="shared" si="82"/>
        <v>17.9955</v>
      </c>
      <c r="O38" s="104"/>
      <c r="P38" s="89">
        <f t="shared" ref="P38" si="83">GEOMEAN(M38,N38)</f>
        <v>20.193960124254975</v>
      </c>
      <c r="Q38" s="1" t="s">
        <v>419</v>
      </c>
      <c r="R38" s="1" t="s">
        <v>328</v>
      </c>
      <c r="S38" s="1" t="s">
        <v>106</v>
      </c>
      <c r="T38" s="1" t="s">
        <v>107</v>
      </c>
      <c r="U38" s="1" t="s">
        <v>108</v>
      </c>
      <c r="V38" s="1">
        <v>31.507999999999999</v>
      </c>
      <c r="W38" s="96">
        <f t="shared" ref="W38" si="84">_xlfn.STDEV.S(V38:V41)</f>
        <v>0.79266670171011888</v>
      </c>
      <c r="X38" s="128">
        <f t="shared" ref="X38" si="85">AVERAGE(V38:V41)</f>
        <v>32.0685</v>
      </c>
      <c r="Y38" s="96">
        <f t="shared" ref="Y38" si="86">X38-P38</f>
        <v>11.874539875745025</v>
      </c>
      <c r="Z38" s="96" t="e">
        <f t="shared" ref="Z38" si="87">Y38-$AE$4</f>
        <v>#DIV/0!</v>
      </c>
      <c r="AA38" s="84" t="e">
        <f t="shared" ref="AA38" si="88">2^-Z38</f>
        <v>#DIV/0!</v>
      </c>
      <c r="AB38" s="136"/>
      <c r="AC38" s="1" t="e">
        <f t="shared" ref="AC38" si="89">LOG(AA38,2)</f>
        <v>#DIV/0!</v>
      </c>
      <c r="AD38" s="1"/>
      <c r="AE38" s="1"/>
    </row>
    <row r="39" spans="1:31" x14ac:dyDescent="0.25">
      <c r="A39" s="101"/>
      <c r="B39" s="1">
        <v>367</v>
      </c>
      <c r="C39" s="1" t="s">
        <v>404</v>
      </c>
      <c r="D39" s="1" t="s">
        <v>103</v>
      </c>
      <c r="E39" s="1" t="s">
        <v>419</v>
      </c>
      <c r="F39" s="1" t="s">
        <v>332</v>
      </c>
      <c r="G39" s="1" t="s">
        <v>106</v>
      </c>
      <c r="H39" s="1"/>
      <c r="I39" s="1"/>
      <c r="J39" s="1">
        <v>22.596</v>
      </c>
      <c r="K39" s="1">
        <v>18.097000000000001</v>
      </c>
      <c r="L39" s="14"/>
      <c r="M39" s="105"/>
      <c r="N39" s="105"/>
      <c r="O39" s="105"/>
      <c r="P39" s="90"/>
      <c r="Q39" s="1" t="s">
        <v>419</v>
      </c>
      <c r="R39" s="1" t="s">
        <v>328</v>
      </c>
      <c r="S39" s="1" t="s">
        <v>106</v>
      </c>
      <c r="T39" s="1" t="s">
        <v>107</v>
      </c>
      <c r="U39" s="1" t="s">
        <v>108</v>
      </c>
      <c r="V39" s="1">
        <v>32.628999999999998</v>
      </c>
      <c r="W39" s="97"/>
      <c r="X39" s="129"/>
      <c r="Y39" s="97"/>
      <c r="Z39" s="97"/>
      <c r="AA39" s="85"/>
      <c r="AB39" s="137"/>
      <c r="AC39" s="1"/>
      <c r="AD39" s="1"/>
      <c r="AE39" s="1"/>
    </row>
    <row r="40" spans="1:31" x14ac:dyDescent="0.25">
      <c r="A40" s="101"/>
      <c r="B40" s="1">
        <v>344</v>
      </c>
      <c r="C40" s="1" t="s">
        <v>393</v>
      </c>
      <c r="D40" s="1" t="s">
        <v>103</v>
      </c>
      <c r="E40" s="1" t="s">
        <v>419</v>
      </c>
      <c r="F40" s="1" t="s">
        <v>332</v>
      </c>
      <c r="G40" s="1" t="s">
        <v>106</v>
      </c>
      <c r="H40" s="1"/>
      <c r="I40" s="1"/>
      <c r="J40" s="1">
        <v>22.698</v>
      </c>
      <c r="K40" s="1">
        <v>17.888999999999999</v>
      </c>
      <c r="L40" s="14"/>
      <c r="M40" s="105"/>
      <c r="N40" s="105"/>
      <c r="O40" s="105"/>
      <c r="P40" s="90"/>
      <c r="Q40" s="1" t="s">
        <v>419</v>
      </c>
      <c r="R40" s="1" t="s">
        <v>328</v>
      </c>
      <c r="S40" s="1" t="s">
        <v>106</v>
      </c>
      <c r="T40" s="1" t="s">
        <v>107</v>
      </c>
      <c r="U40" s="1" t="s">
        <v>108</v>
      </c>
      <c r="V40" s="1" t="s">
        <v>235</v>
      </c>
      <c r="W40" s="97"/>
      <c r="X40" s="129"/>
      <c r="Y40" s="97"/>
      <c r="Z40" s="97"/>
      <c r="AA40" s="85"/>
      <c r="AB40" s="137"/>
      <c r="AC40" s="1"/>
      <c r="AD40" s="1"/>
      <c r="AE40" s="1"/>
    </row>
    <row r="41" spans="1:31" ht="15.75" thickBot="1" x14ac:dyDescent="0.3">
      <c r="A41" s="107"/>
      <c r="B41" s="83">
        <v>368</v>
      </c>
      <c r="C41" s="83" t="s">
        <v>405</v>
      </c>
      <c r="D41" s="83" t="s">
        <v>103</v>
      </c>
      <c r="E41" s="83" t="s">
        <v>419</v>
      </c>
      <c r="F41" s="83" t="s">
        <v>332</v>
      </c>
      <c r="G41" s="83" t="s">
        <v>106</v>
      </c>
      <c r="H41" s="83">
        <f t="shared" ref="H41" si="90">_xlfn.STDEV.S(K38:K41)</f>
        <v>9.1932946578834621E-2</v>
      </c>
      <c r="I41" s="83">
        <f t="shared" ref="I41" si="91">_xlfn.STDEV.S(J38:J41)</f>
        <v>4.911211663123468E-2</v>
      </c>
      <c r="J41" s="83">
        <v>22.7</v>
      </c>
      <c r="K41" s="83">
        <v>18.041</v>
      </c>
      <c r="L41" s="17"/>
      <c r="M41" s="108"/>
      <c r="N41" s="108"/>
      <c r="O41" s="108"/>
      <c r="P41" s="109"/>
      <c r="Q41" s="1" t="s">
        <v>419</v>
      </c>
      <c r="R41" s="1" t="s">
        <v>328</v>
      </c>
      <c r="S41" s="1" t="s">
        <v>106</v>
      </c>
      <c r="T41" s="1" t="s">
        <v>107</v>
      </c>
      <c r="U41" s="1" t="s">
        <v>108</v>
      </c>
      <c r="V41" s="1" t="s">
        <v>235</v>
      </c>
      <c r="W41" s="98"/>
      <c r="X41" s="130"/>
      <c r="Y41" s="98"/>
      <c r="Z41" s="98"/>
      <c r="AA41" s="86"/>
      <c r="AB41" s="138"/>
      <c r="AC41" s="1"/>
      <c r="AD41" s="1"/>
      <c r="AE41" s="1"/>
    </row>
    <row r="42" spans="1:31" x14ac:dyDescent="0.25">
      <c r="A42" s="100"/>
      <c r="B42" s="9">
        <v>345</v>
      </c>
      <c r="C42" s="9" t="s">
        <v>394</v>
      </c>
      <c r="D42" s="9" t="s">
        <v>103</v>
      </c>
      <c r="E42" s="9" t="s">
        <v>420</v>
      </c>
      <c r="F42" s="9" t="s">
        <v>332</v>
      </c>
      <c r="G42" s="9" t="s">
        <v>106</v>
      </c>
      <c r="H42" s="9"/>
      <c r="I42" s="9"/>
      <c r="J42" s="9">
        <v>24.039000000000001</v>
      </c>
      <c r="K42" s="9">
        <v>20.016999999999999</v>
      </c>
      <c r="L42" s="11"/>
      <c r="M42" s="104">
        <f t="shared" ref="M42:N42" si="92">AVERAGE(J42:J45)</f>
        <v>24.10125</v>
      </c>
      <c r="N42" s="104">
        <f t="shared" si="92"/>
        <v>19.996499999999997</v>
      </c>
      <c r="O42" s="104"/>
      <c r="P42" s="89">
        <f t="shared" ref="P42" si="93">GEOMEAN(M42,N42)</f>
        <v>21.953146599633502</v>
      </c>
      <c r="Q42" s="1" t="s">
        <v>420</v>
      </c>
      <c r="R42" s="1" t="s">
        <v>328</v>
      </c>
      <c r="S42" s="1" t="s">
        <v>106</v>
      </c>
      <c r="T42" s="1" t="s">
        <v>107</v>
      </c>
      <c r="U42" s="1" t="s">
        <v>108</v>
      </c>
      <c r="V42" s="1">
        <v>34.21</v>
      </c>
      <c r="W42" s="96">
        <f t="shared" ref="W42" si="94">_xlfn.STDEV.S(V42:V45)</f>
        <v>0.97824549577291608</v>
      </c>
      <c r="X42" s="128">
        <f t="shared" ref="X42" si="95">AVERAGE(V42:V45)</f>
        <v>33.59825</v>
      </c>
      <c r="Y42" s="96">
        <f t="shared" ref="Y42" si="96">X42-P42</f>
        <v>11.645103400366498</v>
      </c>
      <c r="Z42" s="96" t="e">
        <f t="shared" ref="Z42" si="97">Y42-$AE$4</f>
        <v>#DIV/0!</v>
      </c>
      <c r="AA42" s="84" t="e">
        <f t="shared" ref="AA42" si="98">2^-Z42</f>
        <v>#DIV/0!</v>
      </c>
      <c r="AB42" s="132"/>
      <c r="AC42" s="1" t="e">
        <f t="shared" ref="AC42" si="99">LOG(AA42,2)</f>
        <v>#DIV/0!</v>
      </c>
      <c r="AD42" s="1"/>
      <c r="AE42" s="1"/>
    </row>
    <row r="43" spans="1:31" x14ac:dyDescent="0.25">
      <c r="A43" s="101"/>
      <c r="B43" s="1">
        <v>369</v>
      </c>
      <c r="C43" s="1" t="s">
        <v>406</v>
      </c>
      <c r="D43" s="1" t="s">
        <v>103</v>
      </c>
      <c r="E43" s="1" t="s">
        <v>420</v>
      </c>
      <c r="F43" s="1" t="s">
        <v>332</v>
      </c>
      <c r="G43" s="1" t="s">
        <v>106</v>
      </c>
      <c r="H43" s="1"/>
      <c r="I43" s="1"/>
      <c r="J43" s="1">
        <v>24.114999999999998</v>
      </c>
      <c r="K43" s="1">
        <v>20.026</v>
      </c>
      <c r="L43" s="14"/>
      <c r="M43" s="105"/>
      <c r="N43" s="105"/>
      <c r="O43" s="105"/>
      <c r="P43" s="90"/>
      <c r="Q43" s="1" t="s">
        <v>420</v>
      </c>
      <c r="R43" s="1" t="s">
        <v>328</v>
      </c>
      <c r="S43" s="1" t="s">
        <v>106</v>
      </c>
      <c r="T43" s="1" t="s">
        <v>107</v>
      </c>
      <c r="U43" s="1" t="s">
        <v>108</v>
      </c>
      <c r="V43" s="1">
        <v>32.302</v>
      </c>
      <c r="W43" s="97"/>
      <c r="X43" s="129"/>
      <c r="Y43" s="97"/>
      <c r="Z43" s="97"/>
      <c r="AA43" s="85"/>
      <c r="AB43" s="133"/>
      <c r="AC43" s="1"/>
      <c r="AD43" s="1"/>
      <c r="AE43" s="1"/>
    </row>
    <row r="44" spans="1:31" x14ac:dyDescent="0.25">
      <c r="A44" s="101"/>
      <c r="B44" s="1">
        <v>346</v>
      </c>
      <c r="C44" s="1" t="s">
        <v>395</v>
      </c>
      <c r="D44" s="1" t="s">
        <v>103</v>
      </c>
      <c r="E44" s="1" t="s">
        <v>420</v>
      </c>
      <c r="F44" s="1" t="s">
        <v>332</v>
      </c>
      <c r="G44" s="1" t="s">
        <v>106</v>
      </c>
      <c r="H44" s="1"/>
      <c r="I44" s="1"/>
      <c r="J44" s="1">
        <v>24.184000000000001</v>
      </c>
      <c r="K44" s="1">
        <v>19.843</v>
      </c>
      <c r="L44" s="14"/>
      <c r="M44" s="105"/>
      <c r="N44" s="105"/>
      <c r="O44" s="105"/>
      <c r="P44" s="90"/>
      <c r="Q44" s="1" t="s">
        <v>420</v>
      </c>
      <c r="R44" s="1" t="s">
        <v>328</v>
      </c>
      <c r="S44" s="1" t="s">
        <v>106</v>
      </c>
      <c r="T44" s="1" t="s">
        <v>107</v>
      </c>
      <c r="U44" s="1" t="s">
        <v>108</v>
      </c>
      <c r="V44" s="1">
        <v>34.479999999999997</v>
      </c>
      <c r="W44" s="97"/>
      <c r="X44" s="129"/>
      <c r="Y44" s="97"/>
      <c r="Z44" s="97"/>
      <c r="AA44" s="85"/>
      <c r="AB44" s="133"/>
      <c r="AC44" s="1"/>
      <c r="AD44" s="1"/>
      <c r="AE44" s="1"/>
    </row>
    <row r="45" spans="1:31" ht="15.75" thickBot="1" x14ac:dyDescent="0.3">
      <c r="A45" s="107"/>
      <c r="B45" s="83">
        <v>370</v>
      </c>
      <c r="C45" s="83" t="s">
        <v>407</v>
      </c>
      <c r="D45" s="83" t="s">
        <v>103</v>
      </c>
      <c r="E45" s="83" t="s">
        <v>420</v>
      </c>
      <c r="F45" s="83" t="s">
        <v>332</v>
      </c>
      <c r="G45" s="83" t="s">
        <v>106</v>
      </c>
      <c r="H45" s="83">
        <f t="shared" ref="H45" si="100">_xlfn.STDEV.S(K42:K45)</f>
        <v>0.1088806686239577</v>
      </c>
      <c r="I45" s="83">
        <f t="shared" ref="I45" si="101">_xlfn.STDEV.S(J42:J45)</f>
        <v>6.3468496122091766E-2</v>
      </c>
      <c r="J45" s="83">
        <v>24.067</v>
      </c>
      <c r="K45" s="83">
        <v>20.100000000000001</v>
      </c>
      <c r="L45" s="17"/>
      <c r="M45" s="108"/>
      <c r="N45" s="108"/>
      <c r="O45" s="108"/>
      <c r="P45" s="109"/>
      <c r="Q45" s="1" t="s">
        <v>420</v>
      </c>
      <c r="R45" s="1" t="s">
        <v>328</v>
      </c>
      <c r="S45" s="1" t="s">
        <v>106</v>
      </c>
      <c r="T45" s="1" t="s">
        <v>107</v>
      </c>
      <c r="U45" s="1" t="s">
        <v>108</v>
      </c>
      <c r="V45" s="1">
        <v>33.401000000000003</v>
      </c>
      <c r="W45" s="98"/>
      <c r="X45" s="130"/>
      <c r="Y45" s="98"/>
      <c r="Z45" s="98"/>
      <c r="AA45" s="86"/>
      <c r="AB45" s="135"/>
      <c r="AC45" s="1"/>
      <c r="AD45" s="1"/>
      <c r="AE45" s="1"/>
    </row>
    <row r="46" spans="1:31" x14ac:dyDescent="0.25">
      <c r="A46" s="100"/>
      <c r="B46" s="9">
        <v>347</v>
      </c>
      <c r="C46" s="9" t="s">
        <v>396</v>
      </c>
      <c r="D46" s="9" t="s">
        <v>103</v>
      </c>
      <c r="E46" s="9" t="s">
        <v>421</v>
      </c>
      <c r="F46" s="9" t="s">
        <v>332</v>
      </c>
      <c r="G46" s="9" t="s">
        <v>106</v>
      </c>
      <c r="H46" s="9"/>
      <c r="I46" s="9"/>
      <c r="J46" s="9">
        <v>23.227</v>
      </c>
      <c r="K46" s="9">
        <v>18.948</v>
      </c>
      <c r="L46" s="11"/>
      <c r="M46" s="104">
        <f t="shared" ref="M46:N46" si="102">AVERAGE(J46:J49)</f>
        <v>23.23875</v>
      </c>
      <c r="N46" s="104">
        <f t="shared" si="102"/>
        <v>18.911249999999999</v>
      </c>
      <c r="O46" s="104"/>
      <c r="P46" s="89">
        <f t="shared" ref="P46" si="103">GEOMEAN(M46,N46)</f>
        <v>20.963630671653704</v>
      </c>
      <c r="Q46" s="1" t="s">
        <v>421</v>
      </c>
      <c r="R46" s="1" t="s">
        <v>328</v>
      </c>
      <c r="S46" s="1" t="s">
        <v>106</v>
      </c>
      <c r="T46" s="1" t="s">
        <v>107</v>
      </c>
      <c r="U46" s="1" t="s">
        <v>108</v>
      </c>
      <c r="V46" s="1">
        <v>32.595999999999997</v>
      </c>
      <c r="W46" s="96">
        <f t="shared" ref="W46" si="104">_xlfn.STDEV.S(V46:V49)</f>
        <v>0.36546636872175553</v>
      </c>
      <c r="X46" s="128">
        <f t="shared" ref="X46" si="105">AVERAGE(V46:V49)</f>
        <v>32.781500000000001</v>
      </c>
      <c r="Y46" s="96">
        <f t="shared" ref="Y46" si="106">X46-P46</f>
        <v>11.817869328346298</v>
      </c>
      <c r="Z46" s="96" t="e">
        <f t="shared" ref="Z46" si="107">Y46-$AE$4</f>
        <v>#DIV/0!</v>
      </c>
      <c r="AA46" s="84" t="e">
        <f t="shared" ref="AA46" si="108">2^-Z46</f>
        <v>#DIV/0!</v>
      </c>
      <c r="AB46" s="132"/>
      <c r="AC46" s="1" t="e">
        <f t="shared" ref="AC46" si="109">LOG(AA46,2)</f>
        <v>#DIV/0!</v>
      </c>
      <c r="AD46" s="1"/>
      <c r="AE46" s="1"/>
    </row>
    <row r="47" spans="1:31" x14ac:dyDescent="0.25">
      <c r="A47" s="101"/>
      <c r="B47" s="1">
        <v>371</v>
      </c>
      <c r="C47" s="1" t="s">
        <v>408</v>
      </c>
      <c r="D47" s="1" t="s">
        <v>103</v>
      </c>
      <c r="E47" s="1" t="s">
        <v>421</v>
      </c>
      <c r="F47" s="1" t="s">
        <v>332</v>
      </c>
      <c r="G47" s="1" t="s">
        <v>106</v>
      </c>
      <c r="H47" s="1"/>
      <c r="I47" s="1"/>
      <c r="J47" s="1">
        <v>23.309000000000001</v>
      </c>
      <c r="K47" s="1">
        <v>18.928999999999998</v>
      </c>
      <c r="L47" s="14"/>
      <c r="M47" s="105"/>
      <c r="N47" s="105"/>
      <c r="O47" s="105"/>
      <c r="P47" s="90"/>
      <c r="Q47" s="1" t="s">
        <v>421</v>
      </c>
      <c r="R47" s="1" t="s">
        <v>328</v>
      </c>
      <c r="S47" s="1" t="s">
        <v>106</v>
      </c>
      <c r="T47" s="1" t="s">
        <v>107</v>
      </c>
      <c r="U47" s="1" t="s">
        <v>108</v>
      </c>
      <c r="V47" s="1">
        <v>32.880000000000003</v>
      </c>
      <c r="W47" s="97"/>
      <c r="X47" s="129"/>
      <c r="Y47" s="97"/>
      <c r="Z47" s="97"/>
      <c r="AA47" s="85"/>
      <c r="AB47" s="133"/>
      <c r="AC47" s="1"/>
      <c r="AD47" s="1"/>
      <c r="AE47" s="1"/>
    </row>
    <row r="48" spans="1:31" x14ac:dyDescent="0.25">
      <c r="A48" s="101"/>
      <c r="B48" s="1">
        <v>348</v>
      </c>
      <c r="C48" s="1" t="s">
        <v>397</v>
      </c>
      <c r="D48" s="1" t="s">
        <v>103</v>
      </c>
      <c r="E48" s="1" t="s">
        <v>421</v>
      </c>
      <c r="F48" s="1" t="s">
        <v>332</v>
      </c>
      <c r="G48" s="1" t="s">
        <v>106</v>
      </c>
      <c r="H48" s="1"/>
      <c r="I48" s="1"/>
      <c r="J48" s="1">
        <v>23.308</v>
      </c>
      <c r="K48" s="1">
        <v>18.931000000000001</v>
      </c>
      <c r="L48" s="14"/>
      <c r="M48" s="105"/>
      <c r="N48" s="105"/>
      <c r="O48" s="105"/>
      <c r="P48" s="90"/>
      <c r="Q48" s="1" t="s">
        <v>421</v>
      </c>
      <c r="R48" s="1" t="s">
        <v>328</v>
      </c>
      <c r="S48" s="1" t="s">
        <v>106</v>
      </c>
      <c r="T48" s="1" t="s">
        <v>107</v>
      </c>
      <c r="U48" s="1" t="s">
        <v>108</v>
      </c>
      <c r="V48" s="1">
        <v>33.244999999999997</v>
      </c>
      <c r="W48" s="97"/>
      <c r="X48" s="129"/>
      <c r="Y48" s="97"/>
      <c r="Z48" s="97"/>
      <c r="AA48" s="85"/>
      <c r="AB48" s="133"/>
      <c r="AC48" s="1"/>
      <c r="AD48" s="1"/>
      <c r="AE48" s="1"/>
    </row>
    <row r="49" spans="1:31" ht="15.75" thickBot="1" x14ac:dyDescent="0.3">
      <c r="A49" s="107"/>
      <c r="B49" s="83">
        <v>372</v>
      </c>
      <c r="C49" s="83" t="s">
        <v>409</v>
      </c>
      <c r="D49" s="83" t="s">
        <v>103</v>
      </c>
      <c r="E49" s="83" t="s">
        <v>421</v>
      </c>
      <c r="F49" s="83" t="s">
        <v>332</v>
      </c>
      <c r="G49" s="83" t="s">
        <v>106</v>
      </c>
      <c r="H49" s="83">
        <f t="shared" ref="H49" si="110">_xlfn.STDEV.S(K46:K49)</f>
        <v>5.0228643886398958E-2</v>
      </c>
      <c r="I49" s="83">
        <f t="shared" ref="I49" si="111">_xlfn.STDEV.S(J46:J49)</f>
        <v>9.3432239261045852E-2</v>
      </c>
      <c r="J49" s="83">
        <v>23.111000000000001</v>
      </c>
      <c r="K49" s="83">
        <v>18.837</v>
      </c>
      <c r="L49" s="17"/>
      <c r="M49" s="108"/>
      <c r="N49" s="108"/>
      <c r="O49" s="108"/>
      <c r="P49" s="109"/>
      <c r="Q49" s="1" t="s">
        <v>421</v>
      </c>
      <c r="R49" s="1" t="s">
        <v>328</v>
      </c>
      <c r="S49" s="1" t="s">
        <v>106</v>
      </c>
      <c r="T49" s="1" t="s">
        <v>107</v>
      </c>
      <c r="U49" s="1" t="s">
        <v>108</v>
      </c>
      <c r="V49" s="1">
        <v>32.405000000000001</v>
      </c>
      <c r="W49" s="98"/>
      <c r="X49" s="130"/>
      <c r="Y49" s="98"/>
      <c r="Z49" s="98"/>
      <c r="AA49" s="86"/>
      <c r="AB49" s="134"/>
      <c r="AC49" s="1"/>
      <c r="AD49" s="1"/>
      <c r="AE49" s="1"/>
    </row>
    <row r="50" spans="1:31" x14ac:dyDescent="0.25">
      <c r="A50" s="100"/>
      <c r="B50" s="9">
        <v>337</v>
      </c>
      <c r="C50" s="9" t="s">
        <v>386</v>
      </c>
      <c r="D50" s="9" t="b">
        <v>0</v>
      </c>
      <c r="E50" s="9" t="s">
        <v>422</v>
      </c>
      <c r="F50" s="9" t="s">
        <v>332</v>
      </c>
      <c r="G50" s="9" t="s">
        <v>106</v>
      </c>
      <c r="H50" s="9"/>
      <c r="I50" s="9"/>
      <c r="J50" s="9">
        <v>22.439899444580078</v>
      </c>
      <c r="K50" s="9">
        <v>17.946588516235352</v>
      </c>
      <c r="L50" s="11"/>
      <c r="M50" s="104">
        <f t="shared" ref="M50:N50" si="112">AVERAGE(J50:J53)</f>
        <v>22.516579151153564</v>
      </c>
      <c r="N50" s="104">
        <f t="shared" si="112"/>
        <v>17.914458751678467</v>
      </c>
      <c r="O50" s="104"/>
      <c r="P50" s="89">
        <f t="shared" ref="P50" si="113">GEOMEAN(M50,N50)</f>
        <v>20.084131259087208</v>
      </c>
      <c r="Q50" t="s">
        <v>422</v>
      </c>
      <c r="R50" t="s">
        <v>328</v>
      </c>
      <c r="S50" t="s">
        <v>106</v>
      </c>
      <c r="T50" t="s">
        <v>107</v>
      </c>
      <c r="U50" t="s">
        <v>108</v>
      </c>
      <c r="V50" s="3">
        <v>35.219745635986328</v>
      </c>
      <c r="W50" s="96">
        <f t="shared" ref="W50" si="114">_xlfn.STDEV.S(V50:V53)</f>
        <v>1.3665253263799002</v>
      </c>
      <c r="X50" s="128">
        <f t="shared" ref="X50" si="115">AVERAGE(V50:V53)</f>
        <v>34.353224436442055</v>
      </c>
      <c r="Y50" s="96">
        <f t="shared" ref="Y50" si="116">X50-P50</f>
        <v>14.269093177354847</v>
      </c>
      <c r="Z50" s="96">
        <f>Y50-$AE$6</f>
        <v>1.1192509493909437</v>
      </c>
      <c r="AA50" s="84">
        <f t="shared" ref="AA50" si="117">2^-Z50</f>
        <v>0.46033276911764975</v>
      </c>
      <c r="AB50" s="131"/>
      <c r="AC50" s="1">
        <f t="shared" ref="AC50" si="118">LOG(AA50,2)</f>
        <v>-1.1192509493909437</v>
      </c>
      <c r="AD50" s="1"/>
      <c r="AE50" s="1"/>
    </row>
    <row r="51" spans="1:31" x14ac:dyDescent="0.25">
      <c r="A51" s="101"/>
      <c r="B51" s="1">
        <v>361</v>
      </c>
      <c r="C51" s="1" t="s">
        <v>398</v>
      </c>
      <c r="D51" s="1" t="b">
        <v>0</v>
      </c>
      <c r="E51" s="1" t="s">
        <v>422</v>
      </c>
      <c r="F51" s="1" t="s">
        <v>332</v>
      </c>
      <c r="G51" s="1" t="s">
        <v>106</v>
      </c>
      <c r="H51" s="1"/>
      <c r="I51" s="1"/>
      <c r="J51" s="1">
        <v>22.503049850463867</v>
      </c>
      <c r="K51" s="1">
        <v>17.91816520690918</v>
      </c>
      <c r="L51" s="14"/>
      <c r="M51" s="105"/>
      <c r="N51" s="105"/>
      <c r="O51" s="105"/>
      <c r="P51" s="90"/>
      <c r="Q51" t="s">
        <v>422</v>
      </c>
      <c r="R51" t="s">
        <v>328</v>
      </c>
      <c r="S51" t="s">
        <v>106</v>
      </c>
      <c r="T51" t="s">
        <v>107</v>
      </c>
      <c r="U51" t="s">
        <v>108</v>
      </c>
      <c r="V51" s="3">
        <v>35.062000274658203</v>
      </c>
      <c r="W51" s="97"/>
      <c r="X51" s="129"/>
      <c r="Y51" s="97"/>
      <c r="Z51" s="97"/>
      <c r="AA51" s="85"/>
      <c r="AB51" s="127"/>
      <c r="AC51" s="1"/>
      <c r="AD51" s="1"/>
      <c r="AE51" s="1"/>
    </row>
    <row r="52" spans="1:31" x14ac:dyDescent="0.25">
      <c r="A52" s="101"/>
      <c r="B52" s="1">
        <v>338</v>
      </c>
      <c r="C52" s="1" t="s">
        <v>387</v>
      </c>
      <c r="D52" s="1" t="b">
        <v>0</v>
      </c>
      <c r="E52" s="1" t="s">
        <v>422</v>
      </c>
      <c r="F52" s="1" t="s">
        <v>332</v>
      </c>
      <c r="G52" s="1" t="s">
        <v>106</v>
      </c>
      <c r="H52" s="1"/>
      <c r="I52" s="1"/>
      <c r="J52" s="1">
        <v>22.497282028198242</v>
      </c>
      <c r="K52" s="1">
        <v>17.994478225708008</v>
      </c>
      <c r="L52" s="14"/>
      <c r="M52" s="105"/>
      <c r="N52" s="105"/>
      <c r="O52" s="105"/>
      <c r="P52" s="90"/>
      <c r="Q52" t="s">
        <v>422</v>
      </c>
      <c r="R52" t="s">
        <v>328</v>
      </c>
      <c r="S52" t="s">
        <v>106</v>
      </c>
      <c r="T52" t="s">
        <v>107</v>
      </c>
      <c r="U52" t="s">
        <v>108</v>
      </c>
      <c r="V52" t="s">
        <v>235</v>
      </c>
      <c r="W52" s="97"/>
      <c r="X52" s="129"/>
      <c r="Y52" s="97"/>
      <c r="Z52" s="97"/>
      <c r="AA52" s="85"/>
      <c r="AB52" s="127"/>
      <c r="AC52" s="1"/>
      <c r="AD52" s="1"/>
      <c r="AE52" s="1"/>
    </row>
    <row r="53" spans="1:31" ht="15.75" thickBot="1" x14ac:dyDescent="0.3">
      <c r="A53" s="107"/>
      <c r="B53" s="83">
        <v>362</v>
      </c>
      <c r="C53" s="83" t="s">
        <v>399</v>
      </c>
      <c r="D53" s="83" t="b">
        <v>0</v>
      </c>
      <c r="E53" s="83" t="s">
        <v>422</v>
      </c>
      <c r="F53" s="83" t="s">
        <v>332</v>
      </c>
      <c r="G53" s="83" t="s">
        <v>106</v>
      </c>
      <c r="H53" s="83">
        <f t="shared" ref="H53" si="119">_xlfn.STDEV.S(K50:K53)</f>
        <v>8.341006652811378E-2</v>
      </c>
      <c r="I53" s="83">
        <f t="shared" ref="I53" si="120">_xlfn.STDEV.S(J50:J53)</f>
        <v>7.8372594885230545E-2</v>
      </c>
      <c r="J53" s="83">
        <v>22.62608528137207</v>
      </c>
      <c r="K53" s="83">
        <v>17.798603057861328</v>
      </c>
      <c r="L53" s="17"/>
      <c r="M53" s="108"/>
      <c r="N53" s="108"/>
      <c r="O53" s="108"/>
      <c r="P53" s="109"/>
      <c r="Q53" t="s">
        <v>422</v>
      </c>
      <c r="R53" t="s">
        <v>328</v>
      </c>
      <c r="S53" t="s">
        <v>106</v>
      </c>
      <c r="T53" t="s">
        <v>107</v>
      </c>
      <c r="U53" t="s">
        <v>108</v>
      </c>
      <c r="V53" s="3">
        <v>32.777927398681641</v>
      </c>
      <c r="W53" s="98"/>
      <c r="X53" s="130"/>
      <c r="Y53" s="98"/>
      <c r="Z53" s="98"/>
      <c r="AA53" s="86"/>
      <c r="AB53" s="127"/>
      <c r="AC53" s="1"/>
      <c r="AD53" s="1"/>
      <c r="AE53" s="1"/>
    </row>
    <row r="54" spans="1:31" x14ac:dyDescent="0.25">
      <c r="A54" s="100"/>
      <c r="B54" s="9">
        <v>339</v>
      </c>
      <c r="C54" s="9" t="s">
        <v>388</v>
      </c>
      <c r="D54" s="9" t="b">
        <v>0</v>
      </c>
      <c r="E54" s="9" t="s">
        <v>424</v>
      </c>
      <c r="F54" s="9" t="s">
        <v>332</v>
      </c>
      <c r="G54" s="9" t="s">
        <v>106</v>
      </c>
      <c r="H54" s="9"/>
      <c r="I54" s="9"/>
      <c r="J54" s="9">
        <v>22.781806945800781</v>
      </c>
      <c r="K54" s="9">
        <v>18.156644821166992</v>
      </c>
      <c r="L54" s="11"/>
      <c r="M54" s="104">
        <f t="shared" ref="M54:N54" si="121">AVERAGE(J54:J57)</f>
        <v>22.707976341247559</v>
      </c>
      <c r="N54" s="104">
        <f t="shared" si="121"/>
        <v>18.165340423583984</v>
      </c>
      <c r="O54" s="104"/>
      <c r="P54" s="89">
        <f t="shared" ref="P54" si="122">GEOMEAN(M54,N54)</f>
        <v>20.310049743155556</v>
      </c>
      <c r="Q54" t="s">
        <v>424</v>
      </c>
      <c r="R54" t="s">
        <v>328</v>
      </c>
      <c r="S54" t="s">
        <v>106</v>
      </c>
      <c r="T54" t="s">
        <v>107</v>
      </c>
      <c r="U54" t="s">
        <v>108</v>
      </c>
      <c r="V54" t="s">
        <v>235</v>
      </c>
      <c r="W54" s="96" t="e">
        <f t="shared" ref="W54" si="123">_xlfn.STDEV.S(V54:V57)</f>
        <v>#DIV/0!</v>
      </c>
      <c r="X54" s="128">
        <f t="shared" ref="X54" si="124">AVERAGE(V54:V57)</f>
        <v>32.340641021728516</v>
      </c>
      <c r="Y54" s="96">
        <f t="shared" ref="Y54" si="125">X54-P54</f>
        <v>12.03059127857296</v>
      </c>
      <c r="Z54" s="96">
        <f t="shared" ref="Z54" si="126">Y54-$AE$6</f>
        <v>-1.1192509493909437</v>
      </c>
      <c r="AA54" s="84">
        <f t="shared" ref="AA54" si="127">2^-Z54</f>
        <v>2.1723415474348395</v>
      </c>
      <c r="AB54" s="127"/>
      <c r="AC54" s="1">
        <f t="shared" ref="AC54" si="128">LOG(AA54,2)</f>
        <v>1.1192509493909437</v>
      </c>
      <c r="AD54" s="1"/>
      <c r="AE54" s="1"/>
    </row>
    <row r="55" spans="1:31" x14ac:dyDescent="0.25">
      <c r="A55" s="101"/>
      <c r="B55" s="1">
        <v>363</v>
      </c>
      <c r="C55" s="1" t="s">
        <v>400</v>
      </c>
      <c r="D55" s="1" t="b">
        <v>0</v>
      </c>
      <c r="E55" s="1" t="s">
        <v>424</v>
      </c>
      <c r="F55" s="1" t="s">
        <v>332</v>
      </c>
      <c r="G55" s="1" t="s">
        <v>106</v>
      </c>
      <c r="H55" s="1"/>
      <c r="I55" s="1"/>
      <c r="J55" s="1">
        <v>22.68287467956543</v>
      </c>
      <c r="K55" s="1">
        <v>19.030796051025391</v>
      </c>
      <c r="L55" s="14"/>
      <c r="M55" s="105"/>
      <c r="N55" s="105"/>
      <c r="O55" s="105"/>
      <c r="P55" s="90"/>
      <c r="Q55" t="s">
        <v>424</v>
      </c>
      <c r="R55" t="s">
        <v>328</v>
      </c>
      <c r="S55" t="s">
        <v>106</v>
      </c>
      <c r="T55" t="s">
        <v>107</v>
      </c>
      <c r="U55" t="s">
        <v>108</v>
      </c>
      <c r="V55" t="s">
        <v>235</v>
      </c>
      <c r="W55" s="97"/>
      <c r="X55" s="129"/>
      <c r="Y55" s="97"/>
      <c r="Z55" s="97"/>
      <c r="AA55" s="85"/>
      <c r="AB55" s="127"/>
      <c r="AC55" s="1"/>
      <c r="AD55" s="1"/>
      <c r="AE55" s="1"/>
    </row>
    <row r="56" spans="1:31" x14ac:dyDescent="0.25">
      <c r="A56" s="101"/>
      <c r="B56" s="1">
        <v>340</v>
      </c>
      <c r="C56" s="1" t="s">
        <v>389</v>
      </c>
      <c r="D56" s="1" t="b">
        <v>0</v>
      </c>
      <c r="E56" s="1" t="s">
        <v>424</v>
      </c>
      <c r="F56" s="1" t="s">
        <v>332</v>
      </c>
      <c r="G56" s="1" t="s">
        <v>106</v>
      </c>
      <c r="H56" s="1"/>
      <c r="I56" s="1"/>
      <c r="J56" s="1">
        <v>22.742557525634766</v>
      </c>
      <c r="K56" s="1">
        <v>18.100671768188477</v>
      </c>
      <c r="L56" s="14"/>
      <c r="M56" s="105"/>
      <c r="N56" s="105"/>
      <c r="O56" s="105"/>
      <c r="P56" s="90"/>
      <c r="Q56" t="s">
        <v>424</v>
      </c>
      <c r="R56" t="s">
        <v>328</v>
      </c>
      <c r="S56" t="s">
        <v>106</v>
      </c>
      <c r="T56" t="s">
        <v>107</v>
      </c>
      <c r="U56" t="s">
        <v>108</v>
      </c>
      <c r="V56" t="s">
        <v>235</v>
      </c>
      <c r="W56" s="97"/>
      <c r="X56" s="129"/>
      <c r="Y56" s="97"/>
      <c r="Z56" s="97"/>
      <c r="AA56" s="85"/>
      <c r="AB56" s="127"/>
      <c r="AC56" s="1"/>
      <c r="AD56" s="1"/>
      <c r="AE56" s="1"/>
    </row>
    <row r="57" spans="1:31" ht="15.75" thickBot="1" x14ac:dyDescent="0.3">
      <c r="A57" s="107"/>
      <c r="B57" s="83">
        <v>364</v>
      </c>
      <c r="C57" s="83" t="s">
        <v>401</v>
      </c>
      <c r="D57" s="83" t="b">
        <v>0</v>
      </c>
      <c r="E57" s="83" t="s">
        <v>424</v>
      </c>
      <c r="F57" s="83" t="s">
        <v>332</v>
      </c>
      <c r="G57" s="83" t="s">
        <v>106</v>
      </c>
      <c r="H57" s="83">
        <f t="shared" ref="H57" si="129">_xlfn.STDEV.S(K54:K57)</f>
        <v>0.67840003670465998</v>
      </c>
      <c r="I57" s="83">
        <f t="shared" ref="I57" si="130">_xlfn.STDEV.S(J54:J57)</f>
        <v>6.8841574660749597E-2</v>
      </c>
      <c r="J57" s="83">
        <v>22.624666213989258</v>
      </c>
      <c r="K57" s="83">
        <v>17.373249053955078</v>
      </c>
      <c r="L57" s="17"/>
      <c r="M57" s="108"/>
      <c r="N57" s="108"/>
      <c r="O57" s="108"/>
      <c r="P57" s="109"/>
      <c r="Q57" t="s">
        <v>424</v>
      </c>
      <c r="R57" t="s">
        <v>328</v>
      </c>
      <c r="S57" t="s">
        <v>106</v>
      </c>
      <c r="T57" t="s">
        <v>107</v>
      </c>
      <c r="U57" t="s">
        <v>108</v>
      </c>
      <c r="V57" s="3">
        <v>32.340641021728516</v>
      </c>
      <c r="W57" s="98"/>
      <c r="X57" s="130"/>
      <c r="Y57" s="98"/>
      <c r="Z57" s="98"/>
      <c r="AA57" s="86"/>
      <c r="AB57" s="127"/>
      <c r="AC57" s="1"/>
      <c r="AD57" s="1"/>
      <c r="AE57" s="1"/>
    </row>
    <row r="58" spans="1:31" x14ac:dyDescent="0.25">
      <c r="A58" s="100"/>
      <c r="B58" s="9">
        <v>341</v>
      </c>
      <c r="C58" s="9" t="s">
        <v>390</v>
      </c>
      <c r="D58" s="9" t="b">
        <v>0</v>
      </c>
      <c r="E58" s="9" t="s">
        <v>423</v>
      </c>
      <c r="F58" s="9" t="s">
        <v>332</v>
      </c>
      <c r="G58" s="9" t="s">
        <v>106</v>
      </c>
      <c r="H58" s="9"/>
      <c r="I58" s="9"/>
      <c r="J58" s="9">
        <v>22.543874740600586</v>
      </c>
      <c r="K58" s="9">
        <v>17.632972717285156</v>
      </c>
      <c r="L58" s="11"/>
      <c r="M58" s="104">
        <f t="shared" ref="M58:N58" si="131">AVERAGE(J58:J61)</f>
        <v>22.527778625488281</v>
      </c>
      <c r="N58" s="104">
        <f t="shared" si="131"/>
        <v>17.682387351989746</v>
      </c>
      <c r="O58" s="104"/>
      <c r="P58" s="89">
        <f t="shared" ref="P58" si="132">GEOMEAN(M58,N58)</f>
        <v>19.958579805080294</v>
      </c>
      <c r="Q58" t="s">
        <v>423</v>
      </c>
      <c r="R58" t="s">
        <v>328</v>
      </c>
      <c r="S58" t="s">
        <v>106</v>
      </c>
      <c r="T58" t="s">
        <v>107</v>
      </c>
      <c r="U58" t="s">
        <v>108</v>
      </c>
      <c r="V58" s="3">
        <v>32.729091644287109</v>
      </c>
      <c r="W58" s="96">
        <f t="shared" ref="W58" si="133">_xlfn.STDEV.S(V58:V61)</f>
        <v>1.3612852128383262</v>
      </c>
      <c r="X58" s="128">
        <f t="shared" ref="X58" si="134">AVERAGE(V58:V61)</f>
        <v>33.691665649414063</v>
      </c>
      <c r="Y58" s="96">
        <f t="shared" ref="Y58" si="135">X58-P58</f>
        <v>13.733085844333768</v>
      </c>
      <c r="Z58" s="96">
        <f t="shared" ref="Z58" si="136">Y58-$AE$6</f>
        <v>0.58324361636986488</v>
      </c>
      <c r="AA58" s="84">
        <f t="shared" ref="AA58" si="137">2^-Z58</f>
        <v>0.66746143325881269</v>
      </c>
      <c r="AB58" s="127"/>
      <c r="AC58" s="1">
        <f t="shared" ref="AC58" si="138">LOG(AA58,2)</f>
        <v>-0.58324361636986488</v>
      </c>
      <c r="AD58" s="1"/>
      <c r="AE58" s="1"/>
    </row>
    <row r="59" spans="1:31" x14ac:dyDescent="0.25">
      <c r="A59" s="101"/>
      <c r="B59" s="1">
        <v>365</v>
      </c>
      <c r="C59" s="1" t="s">
        <v>402</v>
      </c>
      <c r="D59" s="1" t="b">
        <v>0</v>
      </c>
      <c r="E59" s="1" t="s">
        <v>423</v>
      </c>
      <c r="F59" s="1" t="s">
        <v>332</v>
      </c>
      <c r="G59" s="1" t="s">
        <v>106</v>
      </c>
      <c r="H59" s="1"/>
      <c r="I59" s="1"/>
      <c r="J59" s="1">
        <v>22.497089385986328</v>
      </c>
      <c r="K59" s="1">
        <v>17.797683715820313</v>
      </c>
      <c r="L59" s="14"/>
      <c r="M59" s="105"/>
      <c r="N59" s="105"/>
      <c r="O59" s="105"/>
      <c r="P59" s="90"/>
      <c r="Q59" t="s">
        <v>423</v>
      </c>
      <c r="R59" t="s">
        <v>328</v>
      </c>
      <c r="S59" t="s">
        <v>106</v>
      </c>
      <c r="T59" t="s">
        <v>107</v>
      </c>
      <c r="U59" t="s">
        <v>108</v>
      </c>
      <c r="V59" s="3">
        <v>34.654239654541016</v>
      </c>
      <c r="W59" s="97"/>
      <c r="X59" s="129"/>
      <c r="Y59" s="97"/>
      <c r="Z59" s="97"/>
      <c r="AA59" s="85"/>
      <c r="AB59" s="127"/>
      <c r="AC59" s="1"/>
      <c r="AD59" s="1"/>
      <c r="AE59" s="1"/>
    </row>
    <row r="60" spans="1:31" x14ac:dyDescent="0.25">
      <c r="A60" s="101"/>
      <c r="B60" s="1">
        <v>342</v>
      </c>
      <c r="C60" s="1" t="s">
        <v>391</v>
      </c>
      <c r="D60" s="1" t="b">
        <v>0</v>
      </c>
      <c r="E60" s="1" t="s">
        <v>423</v>
      </c>
      <c r="F60" s="1" t="s">
        <v>332</v>
      </c>
      <c r="G60" s="1" t="s">
        <v>106</v>
      </c>
      <c r="H60" s="1"/>
      <c r="I60" s="1"/>
      <c r="J60" s="1">
        <v>22.538244247436523</v>
      </c>
      <c r="K60" s="1">
        <v>17.612838745117188</v>
      </c>
      <c r="L60" s="14"/>
      <c r="M60" s="105"/>
      <c r="N60" s="105"/>
      <c r="O60" s="105"/>
      <c r="P60" s="90"/>
      <c r="Q60" t="s">
        <v>423</v>
      </c>
      <c r="R60" t="s">
        <v>328</v>
      </c>
      <c r="S60" t="s">
        <v>106</v>
      </c>
      <c r="T60" t="s">
        <v>107</v>
      </c>
      <c r="U60" t="s">
        <v>108</v>
      </c>
      <c r="V60" t="s">
        <v>235</v>
      </c>
      <c r="W60" s="97"/>
      <c r="X60" s="129"/>
      <c r="Y60" s="97"/>
      <c r="Z60" s="97"/>
      <c r="AA60" s="85"/>
      <c r="AB60" s="127"/>
      <c r="AC60" s="1"/>
      <c r="AD60" s="1"/>
      <c r="AE60" s="1"/>
    </row>
    <row r="61" spans="1:31" ht="15.75" thickBot="1" x14ac:dyDescent="0.3">
      <c r="A61" s="107"/>
      <c r="B61" s="83">
        <v>366</v>
      </c>
      <c r="C61" s="83" t="s">
        <v>403</v>
      </c>
      <c r="D61" s="83" t="b">
        <v>0</v>
      </c>
      <c r="E61" s="83" t="s">
        <v>423</v>
      </c>
      <c r="F61" s="83" t="s">
        <v>332</v>
      </c>
      <c r="G61" s="83" t="s">
        <v>106</v>
      </c>
      <c r="H61" s="83">
        <f t="shared" ref="H61" si="139">_xlfn.STDEV.S(K58:K61)</f>
        <v>8.2836208560146937E-2</v>
      </c>
      <c r="I61" s="83">
        <f t="shared" ref="I61" si="140">_xlfn.STDEV.S(J58:J61)</f>
        <v>2.1035524413747859E-2</v>
      </c>
      <c r="J61" s="83">
        <v>22.531906127929688</v>
      </c>
      <c r="K61" s="83">
        <v>17.686054229736328</v>
      </c>
      <c r="L61" s="17"/>
      <c r="M61" s="108"/>
      <c r="N61" s="108"/>
      <c r="O61" s="108"/>
      <c r="P61" s="109"/>
      <c r="Q61" t="s">
        <v>423</v>
      </c>
      <c r="R61" t="s">
        <v>328</v>
      </c>
      <c r="S61" t="s">
        <v>106</v>
      </c>
      <c r="T61" t="s">
        <v>107</v>
      </c>
      <c r="U61" t="s">
        <v>108</v>
      </c>
      <c r="V61" t="s">
        <v>235</v>
      </c>
      <c r="W61" s="98"/>
      <c r="X61" s="130"/>
      <c r="Y61" s="98"/>
      <c r="Z61" s="98"/>
      <c r="AA61" s="86"/>
      <c r="AB61" s="127"/>
      <c r="AC61" s="1"/>
      <c r="AD61" s="1"/>
      <c r="AE61" s="1"/>
    </row>
    <row r="62" spans="1:31" x14ac:dyDescent="0.25">
      <c r="A62" s="100"/>
      <c r="B62" s="9">
        <v>343</v>
      </c>
      <c r="C62" s="9" t="s">
        <v>392</v>
      </c>
      <c r="D62" s="9" t="b">
        <v>0</v>
      </c>
      <c r="E62" s="9" t="s">
        <v>425</v>
      </c>
      <c r="F62" s="9" t="s">
        <v>332</v>
      </c>
      <c r="G62" s="9" t="s">
        <v>106</v>
      </c>
      <c r="H62" s="9"/>
      <c r="I62" s="9"/>
      <c r="J62" s="9">
        <v>22.504655838012695</v>
      </c>
      <c r="K62" s="9">
        <v>17.712419509887695</v>
      </c>
      <c r="L62" s="11"/>
      <c r="M62" s="104">
        <f t="shared" ref="M62:N62" si="141">AVERAGE(J62:J65)</f>
        <v>22.514381408691406</v>
      </c>
      <c r="N62" s="104">
        <f t="shared" si="141"/>
        <v>17.726653575897217</v>
      </c>
      <c r="O62" s="104"/>
      <c r="P62" s="89">
        <f t="shared" ref="P62" si="142">GEOMEAN(M62,N62)</f>
        <v>19.977603452553897</v>
      </c>
      <c r="Q62" t="s">
        <v>425</v>
      </c>
      <c r="R62" t="s">
        <v>328</v>
      </c>
      <c r="S62" t="s">
        <v>106</v>
      </c>
      <c r="T62" t="s">
        <v>107</v>
      </c>
      <c r="U62" t="s">
        <v>108</v>
      </c>
      <c r="V62" t="s">
        <v>235</v>
      </c>
      <c r="W62" s="96">
        <f t="shared" ref="W62" si="143">_xlfn.STDEV.S(V62:V65)</f>
        <v>0.63215417449392597</v>
      </c>
      <c r="X62" s="128">
        <f t="shared" ref="X62" si="144">AVERAGE(V62:V65)</f>
        <v>33.140935897827148</v>
      </c>
      <c r="Y62" s="96">
        <f t="shared" ref="Y62" si="145">X62-P62</f>
        <v>13.163332445273252</v>
      </c>
      <c r="Z62" s="96">
        <f t="shared" ref="Z62" si="146">Y62-$AE$6</f>
        <v>1.3490217309348296E-2</v>
      </c>
      <c r="AA62" s="84">
        <f t="shared" ref="AA62" si="147">2^-Z62</f>
        <v>0.99069287581278875</v>
      </c>
      <c r="AB62" s="127"/>
      <c r="AC62" s="1">
        <f t="shared" ref="AC62" si="148">LOG(AA62,2)</f>
        <v>-1.3490217309348324E-2</v>
      </c>
      <c r="AD62" s="1"/>
      <c r="AE62" s="1"/>
    </row>
    <row r="63" spans="1:31" x14ac:dyDescent="0.25">
      <c r="A63" s="101"/>
      <c r="B63" s="1">
        <v>367</v>
      </c>
      <c r="C63" s="1" t="s">
        <v>404</v>
      </c>
      <c r="D63" s="1" t="b">
        <v>0</v>
      </c>
      <c r="E63" s="1" t="s">
        <v>425</v>
      </c>
      <c r="F63" s="1" t="s">
        <v>332</v>
      </c>
      <c r="G63" s="1" t="s">
        <v>106</v>
      </c>
      <c r="H63" s="1"/>
      <c r="I63" s="1"/>
      <c r="J63" s="1">
        <v>22.53801155090332</v>
      </c>
      <c r="K63" s="1">
        <v>17.806955337524414</v>
      </c>
      <c r="L63" s="14"/>
      <c r="M63" s="105"/>
      <c r="N63" s="105"/>
      <c r="O63" s="105"/>
      <c r="P63" s="90"/>
      <c r="Q63" t="s">
        <v>425</v>
      </c>
      <c r="R63" t="s">
        <v>328</v>
      </c>
      <c r="S63" t="s">
        <v>106</v>
      </c>
      <c r="T63" t="s">
        <v>107</v>
      </c>
      <c r="U63" t="s">
        <v>108</v>
      </c>
      <c r="V63" s="3">
        <v>32.693935394287109</v>
      </c>
      <c r="W63" s="97"/>
      <c r="X63" s="129"/>
      <c r="Y63" s="97"/>
      <c r="Z63" s="97"/>
      <c r="AA63" s="85"/>
      <c r="AB63" s="127"/>
      <c r="AC63" s="1"/>
      <c r="AD63" s="1"/>
      <c r="AE63" s="1"/>
    </row>
    <row r="64" spans="1:31" x14ac:dyDescent="0.25">
      <c r="A64" s="101"/>
      <c r="B64" s="1">
        <v>344</v>
      </c>
      <c r="C64" s="1" t="s">
        <v>393</v>
      </c>
      <c r="D64" s="1" t="b">
        <v>0</v>
      </c>
      <c r="E64" s="1" t="s">
        <v>425</v>
      </c>
      <c r="F64" s="1" t="s">
        <v>332</v>
      </c>
      <c r="G64" s="1" t="s">
        <v>106</v>
      </c>
      <c r="H64" s="1"/>
      <c r="I64" s="1"/>
      <c r="J64" s="1">
        <v>22.499790191650391</v>
      </c>
      <c r="K64" s="1">
        <v>17.708463668823242</v>
      </c>
      <c r="L64" s="14"/>
      <c r="M64" s="105"/>
      <c r="N64" s="105"/>
      <c r="O64" s="105"/>
      <c r="P64" s="90"/>
      <c r="Q64" t="s">
        <v>425</v>
      </c>
      <c r="R64" t="s">
        <v>328</v>
      </c>
      <c r="S64" t="s">
        <v>106</v>
      </c>
      <c r="T64" t="s">
        <v>107</v>
      </c>
      <c r="U64" t="s">
        <v>108</v>
      </c>
      <c r="V64" s="3">
        <v>33.587936401367188</v>
      </c>
      <c r="W64" s="97"/>
      <c r="X64" s="129"/>
      <c r="Y64" s="97"/>
      <c r="Z64" s="97"/>
      <c r="AA64" s="85"/>
      <c r="AB64" s="127"/>
      <c r="AC64" s="1"/>
      <c r="AD64" s="1"/>
      <c r="AE64" s="1"/>
    </row>
    <row r="65" spans="1:31" ht="15.75" thickBot="1" x14ac:dyDescent="0.3">
      <c r="A65" s="107"/>
      <c r="B65" s="83">
        <v>368</v>
      </c>
      <c r="C65" s="83" t="s">
        <v>405</v>
      </c>
      <c r="D65" s="83" t="b">
        <v>0</v>
      </c>
      <c r="E65" s="83" t="s">
        <v>425</v>
      </c>
      <c r="F65" s="83" t="s">
        <v>332</v>
      </c>
      <c r="G65" s="83" t="s">
        <v>106</v>
      </c>
      <c r="H65" s="83">
        <f t="shared" ref="H65" si="149">_xlfn.STDEV.S(K62:K65)</f>
        <v>5.5600170595631028E-2</v>
      </c>
      <c r="I65" s="83">
        <f t="shared" ref="I65" si="150">_xlfn.STDEV.S(J62:J65)</f>
        <v>1.6993581560629578E-2</v>
      </c>
      <c r="J65" s="83">
        <v>22.515068054199219</v>
      </c>
      <c r="K65" s="83">
        <v>17.678775787353516</v>
      </c>
      <c r="L65" s="17"/>
      <c r="M65" s="108"/>
      <c r="N65" s="108"/>
      <c r="O65" s="108"/>
      <c r="P65" s="109"/>
      <c r="Q65" t="s">
        <v>425</v>
      </c>
      <c r="R65" t="s">
        <v>328</v>
      </c>
      <c r="S65" t="s">
        <v>106</v>
      </c>
      <c r="T65" t="s">
        <v>107</v>
      </c>
      <c r="U65" t="s">
        <v>108</v>
      </c>
      <c r="V65" t="s">
        <v>235</v>
      </c>
      <c r="W65" s="98"/>
      <c r="X65" s="130"/>
      <c r="Y65" s="98"/>
      <c r="Z65" s="98"/>
      <c r="AA65" s="86"/>
      <c r="AB65" s="127"/>
      <c r="AC65" s="1"/>
      <c r="AD65" s="1"/>
      <c r="AE65" s="1"/>
    </row>
    <row r="66" spans="1:31" x14ac:dyDescent="0.25">
      <c r="A66" s="100"/>
      <c r="B66" s="9">
        <v>345</v>
      </c>
      <c r="C66" s="9" t="s">
        <v>394</v>
      </c>
      <c r="D66" s="9" t="b">
        <v>0</v>
      </c>
      <c r="E66" s="9" t="s">
        <v>426</v>
      </c>
      <c r="F66" s="9" t="s">
        <v>332</v>
      </c>
      <c r="G66" s="9" t="s">
        <v>106</v>
      </c>
      <c r="H66" s="9"/>
      <c r="I66" s="9"/>
      <c r="J66" s="9">
        <v>22.853849411010742</v>
      </c>
      <c r="K66" s="9">
        <v>18.554037094116211</v>
      </c>
      <c r="L66" s="11"/>
      <c r="M66" s="104">
        <f t="shared" ref="M66:N66" si="151">AVERAGE(J66:J69)</f>
        <v>22.862873554229736</v>
      </c>
      <c r="N66" s="104">
        <f t="shared" si="151"/>
        <v>18.527228832244873</v>
      </c>
      <c r="O66" s="104"/>
      <c r="P66" s="89">
        <f t="shared" ref="P66" si="152">GEOMEAN(M66,N66)</f>
        <v>20.581197489502255</v>
      </c>
      <c r="Q66" t="s">
        <v>426</v>
      </c>
      <c r="R66" t="s">
        <v>328</v>
      </c>
      <c r="S66" t="s">
        <v>106</v>
      </c>
      <c r="T66" t="s">
        <v>107</v>
      </c>
      <c r="U66" t="s">
        <v>108</v>
      </c>
      <c r="V66" s="3">
        <v>33.260765075683594</v>
      </c>
      <c r="W66" s="96">
        <f t="shared" ref="W66" si="153">_xlfn.STDEV.S(V66:V69)</f>
        <v>0.54339031756623746</v>
      </c>
      <c r="X66" s="128">
        <f t="shared" ref="X66" si="154">AVERAGE(V66:V69)</f>
        <v>33.494836171468101</v>
      </c>
      <c r="Y66" s="96">
        <f t="shared" ref="Y66" si="155">X66-P66</f>
        <v>12.913638681965846</v>
      </c>
      <c r="Z66" s="96">
        <f t="shared" ref="Z66" si="156">Y66-$AE$6</f>
        <v>-0.23620354599805715</v>
      </c>
      <c r="AA66" s="84">
        <f t="shared" ref="AA66" si="157">2^-Z66</f>
        <v>1.1778889630865546</v>
      </c>
      <c r="AB66" s="119"/>
      <c r="AC66" s="1">
        <f t="shared" ref="AC66" si="158">LOG(AA66,2)</f>
        <v>0.2362035459980571</v>
      </c>
      <c r="AD66" s="1"/>
      <c r="AE66" s="1"/>
    </row>
    <row r="67" spans="1:31" x14ac:dyDescent="0.25">
      <c r="A67" s="101"/>
      <c r="B67" s="1">
        <v>369</v>
      </c>
      <c r="C67" s="1" t="s">
        <v>406</v>
      </c>
      <c r="D67" s="1" t="b">
        <v>0</v>
      </c>
      <c r="E67" s="1" t="s">
        <v>426</v>
      </c>
      <c r="F67" s="1" t="s">
        <v>332</v>
      </c>
      <c r="G67" s="1" t="s">
        <v>106</v>
      </c>
      <c r="H67" s="1"/>
      <c r="I67" s="1"/>
      <c r="J67" s="1">
        <v>22.905683517456055</v>
      </c>
      <c r="K67" s="1">
        <v>18.587224960327148</v>
      </c>
      <c r="L67" s="14"/>
      <c r="M67" s="105"/>
      <c r="N67" s="105"/>
      <c r="O67" s="105"/>
      <c r="P67" s="90"/>
      <c r="Q67" t="s">
        <v>426</v>
      </c>
      <c r="R67" t="s">
        <v>328</v>
      </c>
      <c r="S67" t="s">
        <v>106</v>
      </c>
      <c r="T67" t="s">
        <v>107</v>
      </c>
      <c r="U67" t="s">
        <v>108</v>
      </c>
      <c r="V67" s="3">
        <v>33.107707977294922</v>
      </c>
      <c r="W67" s="97"/>
      <c r="X67" s="129"/>
      <c r="Y67" s="97"/>
      <c r="Z67" s="97"/>
      <c r="AA67" s="85"/>
      <c r="AB67" s="119"/>
      <c r="AC67" s="1"/>
      <c r="AD67" s="1"/>
      <c r="AE67" s="1"/>
    </row>
    <row r="68" spans="1:31" x14ac:dyDescent="0.25">
      <c r="A68" s="101"/>
      <c r="B68" s="1">
        <v>346</v>
      </c>
      <c r="C68" s="1" t="s">
        <v>395</v>
      </c>
      <c r="D68" s="1" t="b">
        <v>0</v>
      </c>
      <c r="E68" s="1" t="s">
        <v>426</v>
      </c>
      <c r="F68" s="1" t="s">
        <v>332</v>
      </c>
      <c r="G68" s="1" t="s">
        <v>106</v>
      </c>
      <c r="H68" s="1"/>
      <c r="I68" s="1"/>
      <c r="J68" s="1">
        <v>22.859567642211914</v>
      </c>
      <c r="K68" s="1">
        <v>18.580108642578125</v>
      </c>
      <c r="L68" s="14"/>
      <c r="M68" s="105"/>
      <c r="N68" s="105"/>
      <c r="O68" s="105"/>
      <c r="P68" s="90"/>
      <c r="Q68" t="s">
        <v>426</v>
      </c>
      <c r="R68" t="s">
        <v>328</v>
      </c>
      <c r="S68" t="s">
        <v>106</v>
      </c>
      <c r="T68" t="s">
        <v>107</v>
      </c>
      <c r="U68" t="s">
        <v>108</v>
      </c>
      <c r="V68" t="s">
        <v>235</v>
      </c>
      <c r="W68" s="97"/>
      <c r="X68" s="129"/>
      <c r="Y68" s="97"/>
      <c r="Z68" s="97"/>
      <c r="AA68" s="85"/>
      <c r="AB68" s="119"/>
      <c r="AC68" s="1"/>
      <c r="AD68" s="1"/>
      <c r="AE68" s="1"/>
    </row>
    <row r="69" spans="1:31" ht="15.75" thickBot="1" x14ac:dyDescent="0.3">
      <c r="A69" s="107"/>
      <c r="B69" s="83">
        <v>370</v>
      </c>
      <c r="C69" s="83" t="s">
        <v>407</v>
      </c>
      <c r="D69" s="83" t="b">
        <v>0</v>
      </c>
      <c r="E69" s="83" t="s">
        <v>426</v>
      </c>
      <c r="F69" s="83" t="s">
        <v>332</v>
      </c>
      <c r="G69" s="83" t="s">
        <v>106</v>
      </c>
      <c r="H69" s="83">
        <f t="shared" ref="H69" si="159">_xlfn.STDEV.S(K66:K69)</f>
        <v>9.4209285529769315E-2</v>
      </c>
      <c r="I69" s="83">
        <f t="shared" ref="I69" si="160">_xlfn.STDEV.S(J66:J69)</f>
        <v>3.0844134815735145E-2</v>
      </c>
      <c r="J69" s="83">
        <v>22.832393646240234</v>
      </c>
      <c r="K69" s="83">
        <v>18.387544631958008</v>
      </c>
      <c r="L69" s="17"/>
      <c r="M69" s="108"/>
      <c r="N69" s="108"/>
      <c r="O69" s="108"/>
      <c r="P69" s="109"/>
      <c r="Q69" t="s">
        <v>426</v>
      </c>
      <c r="R69" t="s">
        <v>328</v>
      </c>
      <c r="S69" t="s">
        <v>106</v>
      </c>
      <c r="T69" t="s">
        <v>107</v>
      </c>
      <c r="U69" t="s">
        <v>108</v>
      </c>
      <c r="V69" s="3">
        <v>34.116035461425781</v>
      </c>
      <c r="W69" s="98"/>
      <c r="X69" s="130"/>
      <c r="Y69" s="98"/>
      <c r="Z69" s="98"/>
      <c r="AA69" s="86"/>
      <c r="AB69" s="119"/>
      <c r="AC69" s="1"/>
      <c r="AD69" s="1"/>
      <c r="AE69" s="1"/>
    </row>
    <row r="70" spans="1:31" x14ac:dyDescent="0.25">
      <c r="A70" s="100"/>
      <c r="B70" s="9">
        <v>347</v>
      </c>
      <c r="C70" s="9" t="s">
        <v>396</v>
      </c>
      <c r="D70" s="9" t="b">
        <v>0</v>
      </c>
      <c r="E70" s="9" t="s">
        <v>427</v>
      </c>
      <c r="F70" s="9" t="s">
        <v>332</v>
      </c>
      <c r="G70" s="9" t="s">
        <v>106</v>
      </c>
      <c r="H70" s="9"/>
      <c r="I70" s="9"/>
      <c r="J70" s="9">
        <v>22.899017333984375</v>
      </c>
      <c r="K70" s="9">
        <v>18.637588500976563</v>
      </c>
      <c r="L70" s="11"/>
      <c r="M70" s="104">
        <f t="shared" ref="M70:N70" si="161">AVERAGE(J70:J73)</f>
        <v>23.081553936004639</v>
      </c>
      <c r="N70" s="104">
        <f t="shared" si="161"/>
        <v>18.681993961334229</v>
      </c>
      <c r="O70" s="104"/>
      <c r="P70" s="89">
        <f t="shared" ref="P70" si="162">GEOMEAN(M70,N70)</f>
        <v>20.765583335188275</v>
      </c>
      <c r="Q70" t="s">
        <v>427</v>
      </c>
      <c r="R70" t="s">
        <v>328</v>
      </c>
      <c r="S70" t="s">
        <v>106</v>
      </c>
      <c r="T70" t="s">
        <v>107</v>
      </c>
      <c r="U70" t="s">
        <v>108</v>
      </c>
      <c r="V70" s="3">
        <v>34.301059722900391</v>
      </c>
      <c r="W70" s="96">
        <f t="shared" ref="W70" si="163">_xlfn.STDEV.S(V70:V73)</f>
        <v>0.97935551840073243</v>
      </c>
      <c r="X70" s="128">
        <f t="shared" ref="X70" si="164">AVERAGE(V70:V73)</f>
        <v>33.181410471598305</v>
      </c>
      <c r="Y70" s="96">
        <f t="shared" ref="Y70" si="165">X70-P70</f>
        <v>12.41582713641003</v>
      </c>
      <c r="Z70" s="96">
        <f t="shared" ref="Z70" si="166">Y70-$AE$6</f>
        <v>-0.73401509155387323</v>
      </c>
      <c r="AA70" s="84">
        <f t="shared" ref="AA70" si="167">2^-Z70</f>
        <v>1.663261595486188</v>
      </c>
      <c r="AB70" s="119"/>
      <c r="AC70" s="1">
        <f t="shared" ref="AC70" si="168">LOG(AA70,2)</f>
        <v>0.73401509155387323</v>
      </c>
      <c r="AD70" s="1"/>
      <c r="AE70" s="1"/>
    </row>
    <row r="71" spans="1:31" x14ac:dyDescent="0.25">
      <c r="A71" s="101"/>
      <c r="B71" s="1">
        <v>371</v>
      </c>
      <c r="C71" s="1" t="s">
        <v>408</v>
      </c>
      <c r="D71" s="1" t="b">
        <v>0</v>
      </c>
      <c r="E71" s="1" t="s">
        <v>427</v>
      </c>
      <c r="F71" s="1" t="s">
        <v>332</v>
      </c>
      <c r="G71" s="1" t="s">
        <v>106</v>
      </c>
      <c r="H71" s="1"/>
      <c r="I71" s="1"/>
      <c r="J71" s="1">
        <v>22.754722595214844</v>
      </c>
      <c r="K71" s="1">
        <v>18.74791145324707</v>
      </c>
      <c r="L71" s="14"/>
      <c r="M71" s="105"/>
      <c r="N71" s="105"/>
      <c r="O71" s="105"/>
      <c r="P71" s="90"/>
      <c r="Q71" t="s">
        <v>427</v>
      </c>
      <c r="R71" t="s">
        <v>328</v>
      </c>
      <c r="S71" t="s">
        <v>106</v>
      </c>
      <c r="T71" t="s">
        <v>107</v>
      </c>
      <c r="U71" t="s">
        <v>108</v>
      </c>
      <c r="V71" s="3">
        <v>32.759159088134766</v>
      </c>
      <c r="W71" s="97"/>
      <c r="X71" s="129"/>
      <c r="Y71" s="97"/>
      <c r="Z71" s="97"/>
      <c r="AA71" s="85"/>
      <c r="AB71" s="119"/>
      <c r="AC71" s="1"/>
      <c r="AD71" s="1"/>
      <c r="AE71" s="1"/>
    </row>
    <row r="72" spans="1:31" x14ac:dyDescent="0.25">
      <c r="A72" s="101"/>
      <c r="B72" s="1">
        <v>348</v>
      </c>
      <c r="C72" s="1" t="s">
        <v>397</v>
      </c>
      <c r="D72" s="1" t="b">
        <v>0</v>
      </c>
      <c r="E72" s="1" t="s">
        <v>427</v>
      </c>
      <c r="F72" s="1" t="s">
        <v>332</v>
      </c>
      <c r="G72" s="1" t="s">
        <v>106</v>
      </c>
      <c r="H72" s="1"/>
      <c r="I72" s="1"/>
      <c r="J72" s="1">
        <v>22.944528579711914</v>
      </c>
      <c r="K72" s="1">
        <v>18.6053466796875</v>
      </c>
      <c r="L72" s="14"/>
      <c r="M72" s="105"/>
      <c r="N72" s="105"/>
      <c r="O72" s="105"/>
      <c r="P72" s="90"/>
      <c r="Q72" t="s">
        <v>427</v>
      </c>
      <c r="R72" t="s">
        <v>328</v>
      </c>
      <c r="S72" t="s">
        <v>106</v>
      </c>
      <c r="T72" t="s">
        <v>107</v>
      </c>
      <c r="U72" t="s">
        <v>108</v>
      </c>
      <c r="V72" t="s">
        <v>235</v>
      </c>
      <c r="W72" s="97"/>
      <c r="X72" s="129"/>
      <c r="Y72" s="97"/>
      <c r="Z72" s="97"/>
      <c r="AA72" s="85"/>
      <c r="AB72" s="119"/>
      <c r="AC72" s="1"/>
      <c r="AD72" s="1"/>
      <c r="AE72" s="1"/>
    </row>
    <row r="73" spans="1:31" ht="15.75" thickBot="1" x14ac:dyDescent="0.3">
      <c r="A73" s="107"/>
      <c r="B73" s="83">
        <v>372</v>
      </c>
      <c r="C73" s="83" t="s">
        <v>409</v>
      </c>
      <c r="D73" s="83" t="b">
        <v>0</v>
      </c>
      <c r="E73" s="83" t="s">
        <v>427</v>
      </c>
      <c r="F73" s="83" t="s">
        <v>332</v>
      </c>
      <c r="G73" s="83" t="s">
        <v>106</v>
      </c>
      <c r="H73" s="83">
        <f t="shared" ref="H73" si="169">_xlfn.STDEV.S(K70:K73)</f>
        <v>7.1254619116112514E-2</v>
      </c>
      <c r="I73" s="83">
        <f t="shared" ref="I73" si="170">_xlfn.STDEV.S(J70:J73)</f>
        <v>0.43845888510846998</v>
      </c>
      <c r="J73" s="83">
        <v>23.727947235107422</v>
      </c>
      <c r="K73" s="83">
        <v>18.737129211425781</v>
      </c>
      <c r="L73" s="17"/>
      <c r="M73" s="108"/>
      <c r="N73" s="108"/>
      <c r="O73" s="108"/>
      <c r="P73" s="109"/>
      <c r="Q73" t="s">
        <v>427</v>
      </c>
      <c r="R73" t="s">
        <v>328</v>
      </c>
      <c r="S73" t="s">
        <v>106</v>
      </c>
      <c r="T73" t="s">
        <v>107</v>
      </c>
      <c r="U73" t="s">
        <v>108</v>
      </c>
      <c r="V73" s="3">
        <v>32.484012603759766</v>
      </c>
      <c r="W73" s="98"/>
      <c r="X73" s="130"/>
      <c r="Y73" s="98"/>
      <c r="Z73" s="98"/>
      <c r="AA73" s="86"/>
      <c r="AB73" s="119"/>
      <c r="AC73" s="1"/>
      <c r="AD73" s="1"/>
      <c r="AE73" s="1"/>
    </row>
    <row r="74" spans="1:31" x14ac:dyDescent="0.25">
      <c r="A74" s="100"/>
      <c r="B74" s="11"/>
      <c r="C74" s="11"/>
      <c r="D74" s="11"/>
      <c r="E74" s="11"/>
      <c r="F74" s="11"/>
      <c r="G74" s="11"/>
      <c r="H74" s="96"/>
      <c r="I74" s="96"/>
      <c r="J74" s="22"/>
      <c r="K74" s="27"/>
      <c r="L74" s="11"/>
      <c r="M74" s="104"/>
      <c r="N74" s="104"/>
      <c r="O74" s="104"/>
      <c r="P74" s="89"/>
      <c r="Q74" s="13"/>
      <c r="R74" s="11"/>
      <c r="S74" s="11"/>
      <c r="T74" s="11"/>
      <c r="U74" s="11"/>
      <c r="V74" s="29"/>
      <c r="W74" s="96"/>
      <c r="X74" s="124"/>
      <c r="Y74" s="96"/>
      <c r="Z74" s="96"/>
      <c r="AA74" s="96"/>
      <c r="AB74" s="119"/>
      <c r="AC74" s="1"/>
      <c r="AD74" s="1"/>
      <c r="AE74" s="1"/>
    </row>
    <row r="75" spans="1:31" x14ac:dyDescent="0.25">
      <c r="A75" s="101"/>
      <c r="B75" s="14"/>
      <c r="C75" s="14"/>
      <c r="D75" s="14"/>
      <c r="E75" s="14"/>
      <c r="F75" s="14"/>
      <c r="G75" s="14"/>
      <c r="H75" s="97"/>
      <c r="I75" s="97"/>
      <c r="J75" s="24"/>
      <c r="K75" s="30"/>
      <c r="L75" s="14"/>
      <c r="M75" s="105"/>
      <c r="N75" s="105"/>
      <c r="O75" s="105"/>
      <c r="P75" s="90"/>
      <c r="Q75" s="16"/>
      <c r="R75" s="14"/>
      <c r="S75" s="14"/>
      <c r="T75" s="14"/>
      <c r="U75" s="14"/>
      <c r="V75" s="26"/>
      <c r="W75" s="97"/>
      <c r="X75" s="125"/>
      <c r="Y75" s="97"/>
      <c r="Z75" s="97"/>
      <c r="AA75" s="97"/>
      <c r="AB75" s="119"/>
      <c r="AC75" s="1"/>
      <c r="AD75" s="1"/>
      <c r="AE75" s="1"/>
    </row>
    <row r="76" spans="1:31" x14ac:dyDescent="0.25">
      <c r="A76" s="101"/>
      <c r="B76" s="14"/>
      <c r="C76" s="14"/>
      <c r="D76" s="14"/>
      <c r="E76" s="14"/>
      <c r="F76" s="14"/>
      <c r="G76" s="14"/>
      <c r="H76" s="97"/>
      <c r="I76" s="97"/>
      <c r="J76" s="31"/>
      <c r="K76" s="32"/>
      <c r="L76" s="14"/>
      <c r="M76" s="105"/>
      <c r="N76" s="105"/>
      <c r="O76" s="105"/>
      <c r="P76" s="90"/>
      <c r="Q76" s="16"/>
      <c r="R76" s="14"/>
      <c r="S76" s="14"/>
      <c r="T76" s="14"/>
      <c r="U76" s="14"/>
      <c r="V76" s="26"/>
      <c r="W76" s="97"/>
      <c r="X76" s="125"/>
      <c r="Y76" s="97"/>
      <c r="Z76" s="97"/>
      <c r="AA76" s="97"/>
      <c r="AB76" s="119"/>
      <c r="AC76" s="1"/>
      <c r="AD76" s="1"/>
      <c r="AE76" s="1"/>
    </row>
    <row r="77" spans="1:31" ht="15.75" thickBot="1" x14ac:dyDescent="0.3">
      <c r="A77" s="107"/>
      <c r="B77" s="17"/>
      <c r="C77" s="17"/>
      <c r="D77" s="17"/>
      <c r="E77" s="17"/>
      <c r="F77" s="17"/>
      <c r="G77" s="17"/>
      <c r="H77" s="98"/>
      <c r="I77" s="98"/>
      <c r="J77" s="33"/>
      <c r="K77" s="20"/>
      <c r="L77" s="17"/>
      <c r="M77" s="108"/>
      <c r="N77" s="108"/>
      <c r="O77" s="108"/>
      <c r="P77" s="109"/>
      <c r="Q77" s="18"/>
      <c r="R77" s="17"/>
      <c r="S77" s="17"/>
      <c r="T77" s="17"/>
      <c r="U77" s="17"/>
      <c r="V77" s="34"/>
      <c r="W77" s="98"/>
      <c r="X77" s="126"/>
      <c r="Y77" s="98"/>
      <c r="Z77" s="98"/>
      <c r="AA77" s="98"/>
      <c r="AB77" s="119"/>
      <c r="AC77" s="1"/>
      <c r="AD77" s="1"/>
      <c r="AE77" s="1"/>
    </row>
    <row r="78" spans="1:31" x14ac:dyDescent="0.25">
      <c r="A78" s="100"/>
      <c r="B78" s="11"/>
      <c r="C78" s="11"/>
      <c r="D78" s="11"/>
      <c r="E78" s="11"/>
      <c r="F78" s="11"/>
      <c r="G78" s="11"/>
      <c r="H78" s="92"/>
      <c r="I78" s="96"/>
      <c r="J78" s="35"/>
      <c r="K78" s="36"/>
      <c r="L78" s="11"/>
      <c r="M78" s="104"/>
      <c r="N78" s="104"/>
      <c r="O78" s="104"/>
      <c r="P78" s="89"/>
      <c r="Q78" s="13"/>
      <c r="R78" s="11"/>
      <c r="S78" s="11"/>
      <c r="T78" s="11"/>
      <c r="U78" s="11"/>
      <c r="V78" s="37"/>
      <c r="W78" s="96"/>
      <c r="X78" s="121"/>
      <c r="Y78" s="96"/>
      <c r="Z78" s="96"/>
      <c r="AA78" s="96"/>
      <c r="AB78" s="119"/>
      <c r="AC78" s="1"/>
      <c r="AD78" s="1"/>
      <c r="AE78" s="1"/>
    </row>
    <row r="79" spans="1:31" x14ac:dyDescent="0.25">
      <c r="A79" s="101"/>
      <c r="B79" s="14"/>
      <c r="C79" s="14"/>
      <c r="D79" s="14"/>
      <c r="E79" s="14"/>
      <c r="F79" s="14"/>
      <c r="G79" s="14"/>
      <c r="H79" s="93"/>
      <c r="I79" s="97"/>
      <c r="J79" s="38"/>
      <c r="K79" s="39"/>
      <c r="L79" s="14"/>
      <c r="M79" s="105"/>
      <c r="N79" s="105"/>
      <c r="O79" s="105"/>
      <c r="P79" s="90"/>
      <c r="Q79" s="16"/>
      <c r="R79" s="14"/>
      <c r="S79" s="14"/>
      <c r="T79" s="14"/>
      <c r="U79" s="14"/>
      <c r="V79" s="40"/>
      <c r="W79" s="97"/>
      <c r="X79" s="122"/>
      <c r="Y79" s="97"/>
      <c r="Z79" s="97"/>
      <c r="AA79" s="97"/>
      <c r="AB79" s="119"/>
      <c r="AC79" s="1"/>
      <c r="AD79" s="1"/>
      <c r="AE79" s="1"/>
    </row>
    <row r="80" spans="1:31" x14ac:dyDescent="0.25">
      <c r="A80" s="101"/>
      <c r="B80" s="14"/>
      <c r="C80" s="14"/>
      <c r="D80" s="14"/>
      <c r="E80" s="14"/>
      <c r="F80" s="14"/>
      <c r="G80" s="14"/>
      <c r="H80" s="93"/>
      <c r="I80" s="97"/>
      <c r="J80" s="41"/>
      <c r="K80" s="42"/>
      <c r="L80" s="14"/>
      <c r="M80" s="105"/>
      <c r="N80" s="105"/>
      <c r="O80" s="105"/>
      <c r="P80" s="90"/>
      <c r="Q80" s="16"/>
      <c r="R80" s="14"/>
      <c r="S80" s="14"/>
      <c r="T80" s="14"/>
      <c r="U80" s="14"/>
      <c r="V80" s="15"/>
      <c r="W80" s="97"/>
      <c r="X80" s="122"/>
      <c r="Y80" s="97"/>
      <c r="Z80" s="97"/>
      <c r="AA80" s="97"/>
      <c r="AB80" s="119"/>
      <c r="AC80" s="1"/>
      <c r="AD80" s="1"/>
      <c r="AE80" s="1"/>
    </row>
    <row r="81" spans="1:31" ht="15.75" thickBot="1" x14ac:dyDescent="0.3">
      <c r="A81" s="107"/>
      <c r="B81" s="17"/>
      <c r="C81" s="17"/>
      <c r="D81" s="17"/>
      <c r="E81" s="17"/>
      <c r="F81" s="17"/>
      <c r="G81" s="17"/>
      <c r="H81" s="120"/>
      <c r="I81" s="98"/>
      <c r="J81" s="43"/>
      <c r="K81" s="44"/>
      <c r="L81" s="17"/>
      <c r="M81" s="108"/>
      <c r="N81" s="108"/>
      <c r="O81" s="108"/>
      <c r="P81" s="109"/>
      <c r="Q81" s="18"/>
      <c r="R81" s="17"/>
      <c r="S81" s="17"/>
      <c r="T81" s="17"/>
      <c r="U81" s="17"/>
      <c r="V81" s="45"/>
      <c r="W81" s="98"/>
      <c r="X81" s="123"/>
      <c r="Y81" s="98"/>
      <c r="Z81" s="98"/>
      <c r="AA81" s="98"/>
      <c r="AB81" s="119"/>
      <c r="AC81" s="1"/>
      <c r="AD81" s="1"/>
      <c r="AE81" s="1"/>
    </row>
    <row r="82" spans="1:31" x14ac:dyDescent="0.25">
      <c r="A82" s="100"/>
      <c r="B82" s="11"/>
      <c r="C82" s="11"/>
      <c r="D82" s="11"/>
      <c r="E82" s="11"/>
      <c r="F82" s="11"/>
      <c r="G82" s="11"/>
      <c r="H82" s="96"/>
      <c r="I82" s="96"/>
      <c r="J82" s="46"/>
      <c r="K82" s="47"/>
      <c r="L82" s="11"/>
      <c r="M82" s="104"/>
      <c r="N82" s="104"/>
      <c r="O82" s="104"/>
      <c r="P82" s="89"/>
      <c r="Q82" s="13"/>
      <c r="R82" s="11"/>
      <c r="S82" s="11"/>
      <c r="T82" s="11"/>
      <c r="U82" s="11"/>
      <c r="V82" s="29"/>
      <c r="W82" s="96"/>
      <c r="X82" s="116"/>
      <c r="Y82" s="96"/>
      <c r="Z82" s="96"/>
      <c r="AA82" s="96"/>
      <c r="AB82" s="99"/>
      <c r="AC82" s="1"/>
      <c r="AD82" s="1"/>
      <c r="AE82" s="1"/>
    </row>
    <row r="83" spans="1:31" x14ac:dyDescent="0.25">
      <c r="A83" s="101"/>
      <c r="B83" s="14"/>
      <c r="C83" s="14"/>
      <c r="D83" s="14"/>
      <c r="E83" s="14"/>
      <c r="F83" s="14"/>
      <c r="G83" s="14"/>
      <c r="H83" s="97"/>
      <c r="I83" s="97"/>
      <c r="J83" s="48"/>
      <c r="K83" s="49"/>
      <c r="L83" s="14"/>
      <c r="M83" s="105"/>
      <c r="N83" s="105"/>
      <c r="O83" s="105"/>
      <c r="P83" s="90"/>
      <c r="Q83" s="16"/>
      <c r="R83" s="14"/>
      <c r="S83" s="14"/>
      <c r="T83" s="14"/>
      <c r="U83" s="14"/>
      <c r="V83" s="50"/>
      <c r="W83" s="97"/>
      <c r="X83" s="117"/>
      <c r="Y83" s="97"/>
      <c r="Z83" s="97"/>
      <c r="AA83" s="97"/>
      <c r="AB83" s="99"/>
      <c r="AC83" s="1"/>
      <c r="AD83" s="1"/>
      <c r="AE83" s="1"/>
    </row>
    <row r="84" spans="1:31" x14ac:dyDescent="0.25">
      <c r="A84" s="101"/>
      <c r="B84" s="14"/>
      <c r="C84" s="14"/>
      <c r="D84" s="14"/>
      <c r="E84" s="14"/>
      <c r="F84" s="14"/>
      <c r="G84" s="14"/>
      <c r="H84" s="97"/>
      <c r="I84" s="97"/>
      <c r="J84" s="21"/>
      <c r="K84" s="12"/>
      <c r="L84" s="14"/>
      <c r="M84" s="105"/>
      <c r="N84" s="105"/>
      <c r="O84" s="105"/>
      <c r="P84" s="90"/>
      <c r="Q84" s="16"/>
      <c r="R84" s="14"/>
      <c r="S84" s="14"/>
      <c r="T84" s="14"/>
      <c r="U84" s="14"/>
      <c r="V84" s="51"/>
      <c r="W84" s="97"/>
      <c r="X84" s="117"/>
      <c r="Y84" s="97"/>
      <c r="Z84" s="97"/>
      <c r="AA84" s="97"/>
      <c r="AB84" s="99"/>
      <c r="AC84" s="1"/>
      <c r="AD84" s="1"/>
      <c r="AE84" s="1"/>
    </row>
    <row r="85" spans="1:31" ht="15.75" thickBot="1" x14ac:dyDescent="0.3">
      <c r="A85" s="107"/>
      <c r="B85" s="17"/>
      <c r="C85" s="17"/>
      <c r="D85" s="17"/>
      <c r="E85" s="17"/>
      <c r="F85" s="17"/>
      <c r="G85" s="17"/>
      <c r="H85" s="98"/>
      <c r="I85" s="98"/>
      <c r="J85" s="52"/>
      <c r="K85" s="49"/>
      <c r="L85" s="17"/>
      <c r="M85" s="108"/>
      <c r="N85" s="108"/>
      <c r="O85" s="108"/>
      <c r="P85" s="109"/>
      <c r="Q85" s="18"/>
      <c r="R85" s="17"/>
      <c r="S85" s="17"/>
      <c r="T85" s="17"/>
      <c r="U85" s="17"/>
      <c r="V85" s="53"/>
      <c r="W85" s="98"/>
      <c r="X85" s="118"/>
      <c r="Y85" s="98"/>
      <c r="Z85" s="98"/>
      <c r="AA85" s="98"/>
      <c r="AB85" s="99"/>
      <c r="AC85" s="1"/>
      <c r="AD85" s="1"/>
      <c r="AE85" s="1"/>
    </row>
    <row r="86" spans="1:31" x14ac:dyDescent="0.25">
      <c r="A86" s="100"/>
      <c r="B86" s="11"/>
      <c r="C86" s="11"/>
      <c r="D86" s="11"/>
      <c r="E86" s="11"/>
      <c r="F86" s="11"/>
      <c r="G86" s="11"/>
      <c r="H86" s="96"/>
      <c r="I86" s="96"/>
      <c r="J86" s="37"/>
      <c r="K86" s="54"/>
      <c r="L86" s="11"/>
      <c r="M86" s="104"/>
      <c r="N86" s="104"/>
      <c r="O86" s="104"/>
      <c r="P86" s="89"/>
      <c r="Q86" s="13"/>
      <c r="R86" s="11"/>
      <c r="S86" s="11"/>
      <c r="T86" s="11"/>
      <c r="U86" s="11"/>
      <c r="V86" s="55"/>
      <c r="W86" s="96"/>
      <c r="X86" s="113"/>
      <c r="Y86" s="96"/>
      <c r="Z86" s="96"/>
      <c r="AA86" s="96"/>
      <c r="AB86" s="99"/>
      <c r="AC86" s="1"/>
      <c r="AD86" s="1"/>
      <c r="AE86" s="1"/>
    </row>
    <row r="87" spans="1:31" x14ac:dyDescent="0.25">
      <c r="A87" s="101"/>
      <c r="B87" s="14"/>
      <c r="C87" s="14"/>
      <c r="D87" s="14"/>
      <c r="E87" s="14"/>
      <c r="F87" s="14"/>
      <c r="G87" s="14"/>
      <c r="H87" s="97"/>
      <c r="I87" s="97"/>
      <c r="J87" s="56"/>
      <c r="K87" s="32"/>
      <c r="L87" s="14"/>
      <c r="M87" s="105"/>
      <c r="N87" s="105"/>
      <c r="O87" s="105"/>
      <c r="P87" s="90"/>
      <c r="Q87" s="16"/>
      <c r="R87" s="14"/>
      <c r="S87" s="14"/>
      <c r="T87" s="14"/>
      <c r="U87" s="14"/>
      <c r="V87" s="57"/>
      <c r="W87" s="97"/>
      <c r="X87" s="114"/>
      <c r="Y87" s="97"/>
      <c r="Z87" s="97"/>
      <c r="AA87" s="97"/>
      <c r="AB87" s="99"/>
      <c r="AC87" s="1"/>
      <c r="AD87" s="1"/>
      <c r="AE87" s="1"/>
    </row>
    <row r="88" spans="1:31" x14ac:dyDescent="0.25">
      <c r="A88" s="101"/>
      <c r="B88" s="14"/>
      <c r="C88" s="14"/>
      <c r="D88" s="14"/>
      <c r="E88" s="14"/>
      <c r="F88" s="14"/>
      <c r="G88" s="14"/>
      <c r="H88" s="97"/>
      <c r="I88" s="97"/>
      <c r="J88" s="58"/>
      <c r="K88" s="59"/>
      <c r="L88" s="14"/>
      <c r="M88" s="105"/>
      <c r="N88" s="105"/>
      <c r="O88" s="105"/>
      <c r="P88" s="90"/>
      <c r="Q88" s="16"/>
      <c r="R88" s="14"/>
      <c r="S88" s="14"/>
      <c r="T88" s="14"/>
      <c r="U88" s="14"/>
      <c r="V88" s="60"/>
      <c r="W88" s="97"/>
      <c r="X88" s="114"/>
      <c r="Y88" s="97"/>
      <c r="Z88" s="97"/>
      <c r="AA88" s="97"/>
      <c r="AB88" s="99"/>
      <c r="AC88" s="1"/>
      <c r="AD88" s="1"/>
      <c r="AE88" s="1"/>
    </row>
    <row r="89" spans="1:31" ht="15.75" thickBot="1" x14ac:dyDescent="0.3">
      <c r="A89" s="107"/>
      <c r="B89" s="17"/>
      <c r="C89" s="17"/>
      <c r="D89" s="17"/>
      <c r="E89" s="17"/>
      <c r="F89" s="17"/>
      <c r="G89" s="17"/>
      <c r="H89" s="98"/>
      <c r="I89" s="98"/>
      <c r="J89" s="61"/>
      <c r="K89" s="25"/>
      <c r="L89" s="17"/>
      <c r="M89" s="108"/>
      <c r="N89" s="108"/>
      <c r="O89" s="108"/>
      <c r="P89" s="109"/>
      <c r="Q89" s="18"/>
      <c r="R89" s="17"/>
      <c r="S89" s="17"/>
      <c r="T89" s="17"/>
      <c r="U89" s="17"/>
      <c r="V89" s="62"/>
      <c r="W89" s="98"/>
      <c r="X89" s="115"/>
      <c r="Y89" s="98"/>
      <c r="Z89" s="98"/>
      <c r="AA89" s="98"/>
      <c r="AB89" s="99"/>
      <c r="AC89" s="1"/>
      <c r="AD89" s="1"/>
      <c r="AE89" s="1"/>
    </row>
    <row r="90" spans="1:31" x14ac:dyDescent="0.25">
      <c r="A90" s="100"/>
      <c r="B90" s="11"/>
      <c r="C90" s="11"/>
      <c r="D90" s="11"/>
      <c r="E90" s="11"/>
      <c r="F90" s="11"/>
      <c r="G90" s="11"/>
      <c r="H90" s="96"/>
      <c r="I90" s="96"/>
      <c r="J90" s="63"/>
      <c r="K90" s="64"/>
      <c r="L90" s="11"/>
      <c r="M90" s="104"/>
      <c r="N90" s="104"/>
      <c r="O90" s="104"/>
      <c r="P90" s="89"/>
      <c r="Q90" s="13"/>
      <c r="R90" s="11"/>
      <c r="S90" s="11"/>
      <c r="T90" s="11"/>
      <c r="U90" s="11"/>
      <c r="V90" s="35"/>
      <c r="W90" s="96"/>
      <c r="X90" s="110"/>
      <c r="Y90" s="96"/>
      <c r="Z90" s="96"/>
      <c r="AA90" s="96"/>
      <c r="AB90" s="99"/>
      <c r="AC90" s="1"/>
      <c r="AD90" s="1"/>
      <c r="AE90" s="1"/>
    </row>
    <row r="91" spans="1:31" x14ac:dyDescent="0.25">
      <c r="A91" s="101"/>
      <c r="B91" s="14"/>
      <c r="C91" s="14"/>
      <c r="D91" s="14"/>
      <c r="E91" s="14"/>
      <c r="F91" s="14"/>
      <c r="G91" s="14"/>
      <c r="H91" s="97"/>
      <c r="I91" s="97"/>
      <c r="J91" s="65"/>
      <c r="K91" s="23"/>
      <c r="L91" s="14"/>
      <c r="M91" s="105"/>
      <c r="N91" s="105"/>
      <c r="O91" s="105"/>
      <c r="P91" s="90"/>
      <c r="Q91" s="16"/>
      <c r="R91" s="14"/>
      <c r="S91" s="14"/>
      <c r="T91" s="14"/>
      <c r="U91" s="14"/>
      <c r="V91" s="66"/>
      <c r="W91" s="97"/>
      <c r="X91" s="111"/>
      <c r="Y91" s="97"/>
      <c r="Z91" s="97"/>
      <c r="AA91" s="97"/>
      <c r="AB91" s="99"/>
      <c r="AC91" s="1"/>
      <c r="AD91" s="1"/>
      <c r="AE91" s="1"/>
    </row>
    <row r="92" spans="1:31" x14ac:dyDescent="0.25">
      <c r="A92" s="101"/>
      <c r="B92" s="14"/>
      <c r="C92" s="14"/>
      <c r="D92" s="14"/>
      <c r="E92" s="14"/>
      <c r="F92" s="14"/>
      <c r="G92" s="14"/>
      <c r="H92" s="97"/>
      <c r="I92" s="97"/>
      <c r="J92" s="67"/>
      <c r="K92" s="28"/>
      <c r="L92" s="14"/>
      <c r="M92" s="105"/>
      <c r="N92" s="105"/>
      <c r="O92" s="105"/>
      <c r="P92" s="90"/>
      <c r="Q92" s="16"/>
      <c r="R92" s="14"/>
      <c r="S92" s="14"/>
      <c r="T92" s="14"/>
      <c r="U92" s="14"/>
      <c r="V92" s="68"/>
      <c r="W92" s="97"/>
      <c r="X92" s="111"/>
      <c r="Y92" s="97"/>
      <c r="Z92" s="97"/>
      <c r="AA92" s="97"/>
      <c r="AB92" s="99"/>
      <c r="AC92" s="1"/>
      <c r="AD92" s="1"/>
      <c r="AE92" s="1"/>
    </row>
    <row r="93" spans="1:31" ht="15.75" thickBot="1" x14ac:dyDescent="0.3">
      <c r="A93" s="107"/>
      <c r="B93" s="17"/>
      <c r="C93" s="17"/>
      <c r="D93" s="17"/>
      <c r="E93" s="17"/>
      <c r="F93" s="17"/>
      <c r="G93" s="17"/>
      <c r="H93" s="98"/>
      <c r="I93" s="98"/>
      <c r="J93" s="69"/>
      <c r="K93" s="19"/>
      <c r="L93" s="17"/>
      <c r="M93" s="108"/>
      <c r="N93" s="108"/>
      <c r="O93" s="108"/>
      <c r="P93" s="109"/>
      <c r="Q93" s="18"/>
      <c r="R93" s="17"/>
      <c r="S93" s="17"/>
      <c r="T93" s="17"/>
      <c r="U93" s="17"/>
      <c r="V93" s="70"/>
      <c r="W93" s="98"/>
      <c r="X93" s="112"/>
      <c r="Y93" s="98"/>
      <c r="Z93" s="98"/>
      <c r="AA93" s="98"/>
      <c r="AB93" s="99"/>
      <c r="AC93" s="1"/>
      <c r="AD93" s="1"/>
      <c r="AE93" s="1"/>
    </row>
    <row r="94" spans="1:31" x14ac:dyDescent="0.25">
      <c r="A94" s="100"/>
      <c r="B94" s="11"/>
      <c r="C94" s="11"/>
      <c r="D94" s="11"/>
      <c r="E94" s="11"/>
      <c r="F94" s="11"/>
      <c r="G94" s="11"/>
      <c r="H94" s="96"/>
      <c r="I94" s="96"/>
      <c r="J94" s="71"/>
      <c r="K94" s="72"/>
      <c r="L94" s="11"/>
      <c r="M94" s="104"/>
      <c r="N94" s="104"/>
      <c r="O94" s="104"/>
      <c r="P94" s="89"/>
      <c r="Q94" s="13"/>
      <c r="R94" s="11"/>
      <c r="S94" s="11"/>
      <c r="T94" s="11"/>
      <c r="U94" s="11"/>
      <c r="V94" s="73"/>
      <c r="W94" s="92"/>
      <c r="X94" s="94"/>
      <c r="Y94" s="96"/>
      <c r="Z94" s="96"/>
      <c r="AA94" s="96"/>
      <c r="AB94" s="99"/>
      <c r="AC94" s="1"/>
      <c r="AD94" s="1"/>
      <c r="AE94" s="1"/>
    </row>
    <row r="95" spans="1:31" x14ac:dyDescent="0.25">
      <c r="A95" s="101"/>
      <c r="B95" s="14"/>
      <c r="C95" s="14"/>
      <c r="D95" s="14"/>
      <c r="E95" s="14"/>
      <c r="F95" s="14"/>
      <c r="G95" s="14"/>
      <c r="H95" s="97"/>
      <c r="I95" s="97"/>
      <c r="J95" s="74"/>
      <c r="K95" s="75"/>
      <c r="L95" s="14"/>
      <c r="M95" s="105"/>
      <c r="N95" s="105"/>
      <c r="O95" s="105"/>
      <c r="P95" s="90"/>
      <c r="Q95" s="16"/>
      <c r="R95" s="14"/>
      <c r="S95" s="14"/>
      <c r="T95" s="14"/>
      <c r="U95" s="14"/>
      <c r="V95" s="76"/>
      <c r="W95" s="93"/>
      <c r="X95" s="95"/>
      <c r="Y95" s="97"/>
      <c r="Z95" s="97"/>
      <c r="AA95" s="97"/>
      <c r="AB95" s="99"/>
      <c r="AC95" s="1"/>
      <c r="AD95" s="1"/>
      <c r="AE95" s="1"/>
    </row>
    <row r="96" spans="1:31" x14ac:dyDescent="0.25">
      <c r="A96" s="101"/>
      <c r="B96" s="14"/>
      <c r="C96" s="14"/>
      <c r="D96" s="14"/>
      <c r="E96" s="14"/>
      <c r="F96" s="14"/>
      <c r="G96" s="14"/>
      <c r="H96" s="97"/>
      <c r="I96" s="97"/>
      <c r="J96" s="77"/>
      <c r="K96" s="78"/>
      <c r="L96" s="14"/>
      <c r="M96" s="105"/>
      <c r="N96" s="105"/>
      <c r="O96" s="105"/>
      <c r="P96" s="90"/>
      <c r="Q96" s="16"/>
      <c r="R96" s="14"/>
      <c r="S96" s="14"/>
      <c r="T96" s="14"/>
      <c r="U96" s="14"/>
      <c r="V96" s="79"/>
      <c r="W96" s="93"/>
      <c r="X96" s="95"/>
      <c r="Y96" s="97"/>
      <c r="Z96" s="97"/>
      <c r="AA96" s="97"/>
      <c r="AB96" s="99"/>
      <c r="AC96" s="1"/>
      <c r="AD96" s="1"/>
      <c r="AE96" s="1"/>
    </row>
    <row r="97" spans="1:31" ht="15.75" thickBot="1" x14ac:dyDescent="0.3">
      <c r="A97" s="102"/>
      <c r="B97" s="17"/>
      <c r="C97" s="17"/>
      <c r="D97" s="17"/>
      <c r="E97" s="17"/>
      <c r="F97" s="17"/>
      <c r="G97" s="17"/>
      <c r="H97" s="103"/>
      <c r="I97" s="103"/>
      <c r="J97" s="80"/>
      <c r="K97" s="81"/>
      <c r="L97" s="17"/>
      <c r="M97" s="106"/>
      <c r="N97" s="106"/>
      <c r="O97" s="106"/>
      <c r="P97" s="91"/>
      <c r="Q97" s="18"/>
      <c r="R97" s="17"/>
      <c r="S97" s="17"/>
      <c r="T97" s="17"/>
      <c r="U97" s="17"/>
      <c r="V97" s="82"/>
      <c r="W97" s="93"/>
      <c r="X97" s="95"/>
      <c r="Y97" s="97"/>
      <c r="Z97" s="97"/>
      <c r="AA97" s="97"/>
      <c r="AB97" s="99"/>
      <c r="AC97" s="1"/>
      <c r="AD97" s="1"/>
      <c r="AE97" s="1"/>
    </row>
    <row r="98" spans="1:31" x14ac:dyDescent="0.25">
      <c r="A98" s="1"/>
      <c r="B98" s="1"/>
      <c r="C98" s="88"/>
      <c r="D98" s="8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5">
      <c r="A99" s="1"/>
      <c r="B99" s="1"/>
      <c r="C99" s="87"/>
      <c r="D99" s="8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5">
      <c r="A100" s="1"/>
      <c r="B100" s="1"/>
      <c r="C100" s="87"/>
      <c r="D100" s="8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5">
      <c r="A101" s="1"/>
      <c r="B101" s="1"/>
      <c r="C101" s="87"/>
      <c r="D101" s="8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25">
      <c r="A102" s="1"/>
      <c r="B102" s="1"/>
      <c r="C102" s="87"/>
      <c r="D102" s="8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25">
      <c r="A103" s="1"/>
      <c r="B103" s="1"/>
      <c r="C103" s="87"/>
      <c r="D103" s="8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25">
      <c r="A104" s="1"/>
      <c r="B104" s="1"/>
      <c r="C104" s="87"/>
      <c r="D104" s="8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25">
      <c r="A105" s="1"/>
      <c r="B105" s="1"/>
      <c r="C105" s="87"/>
      <c r="D105" s="8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25">
      <c r="A106" s="1"/>
      <c r="B106" s="1"/>
      <c r="C106" s="87"/>
      <c r="D106" s="8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s="1"/>
      <c r="B107" s="1"/>
      <c r="C107" s="87"/>
      <c r="D107" s="8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25">
      <c r="A108" s="1"/>
      <c r="B108" s="1"/>
      <c r="C108" s="87"/>
      <c r="D108" s="8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x14ac:dyDescent="0.25">
      <c r="A109" s="1"/>
      <c r="B109" s="1"/>
      <c r="C109" s="87"/>
      <c r="D109" s="8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25">
      <c r="A110" s="1"/>
      <c r="B110" s="1"/>
      <c r="C110" s="87"/>
      <c r="D110" s="8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x14ac:dyDescent="0.25">
      <c r="A111" s="1"/>
      <c r="B111" s="1"/>
      <c r="C111" s="87"/>
      <c r="D111" s="8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x14ac:dyDescent="0.25">
      <c r="A112" s="1"/>
      <c r="B112" s="1"/>
      <c r="C112" s="87"/>
      <c r="D112" s="8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x14ac:dyDescent="0.25">
      <c r="A113" s="1"/>
      <c r="B113" s="1"/>
      <c r="C113" s="87"/>
      <c r="D113" s="8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</sheetData>
  <mergeCells count="302">
    <mergeCell ref="X2:X5"/>
    <mergeCell ref="Y2:Y5"/>
    <mergeCell ref="Z2:Z5"/>
    <mergeCell ref="AB2:AB5"/>
    <mergeCell ref="AD2:AD3"/>
    <mergeCell ref="AE2:AE3"/>
    <mergeCell ref="AD4:AD5"/>
    <mergeCell ref="AE4:AE5"/>
    <mergeCell ref="A2:A5"/>
    <mergeCell ref="M2:M5"/>
    <mergeCell ref="N2:N5"/>
    <mergeCell ref="O2:O5"/>
    <mergeCell ref="P2:P5"/>
    <mergeCell ref="W2:W5"/>
    <mergeCell ref="X6:X9"/>
    <mergeCell ref="Y6:Y9"/>
    <mergeCell ref="Z6:Z9"/>
    <mergeCell ref="AB6:AB9"/>
    <mergeCell ref="AD6:AD7"/>
    <mergeCell ref="AE6:AE7"/>
    <mergeCell ref="AD8:AD9"/>
    <mergeCell ref="AE8:AE9"/>
    <mergeCell ref="A6:A9"/>
    <mergeCell ref="M6:M9"/>
    <mergeCell ref="N6:N9"/>
    <mergeCell ref="O6:O9"/>
    <mergeCell ref="P6:P9"/>
    <mergeCell ref="W6:W9"/>
    <mergeCell ref="X10:X13"/>
    <mergeCell ref="Y10:Y13"/>
    <mergeCell ref="Z10:Z13"/>
    <mergeCell ref="AB10:AB13"/>
    <mergeCell ref="AD10:AD11"/>
    <mergeCell ref="AE10:AE11"/>
    <mergeCell ref="AD12:AD13"/>
    <mergeCell ref="AE12:AE13"/>
    <mergeCell ref="A10:A13"/>
    <mergeCell ref="M10:M13"/>
    <mergeCell ref="N10:N13"/>
    <mergeCell ref="O10:O13"/>
    <mergeCell ref="P10:P13"/>
    <mergeCell ref="W10:W13"/>
    <mergeCell ref="X14:X17"/>
    <mergeCell ref="Y14:Y17"/>
    <mergeCell ref="Z14:Z17"/>
    <mergeCell ref="AB14:AB17"/>
    <mergeCell ref="AD14:AD15"/>
    <mergeCell ref="AE14:AE15"/>
    <mergeCell ref="AD16:AD17"/>
    <mergeCell ref="AE16:AE17"/>
    <mergeCell ref="A14:A17"/>
    <mergeCell ref="M14:M17"/>
    <mergeCell ref="N14:N17"/>
    <mergeCell ref="O14:O17"/>
    <mergeCell ref="P14:P17"/>
    <mergeCell ref="W14:W17"/>
    <mergeCell ref="X18:X21"/>
    <mergeCell ref="Y18:Y21"/>
    <mergeCell ref="Z18:Z21"/>
    <mergeCell ref="AB18:AB21"/>
    <mergeCell ref="AD18:AD19"/>
    <mergeCell ref="AE18:AE19"/>
    <mergeCell ref="AD20:AD21"/>
    <mergeCell ref="AE20:AE21"/>
    <mergeCell ref="A18:A21"/>
    <mergeCell ref="M18:M21"/>
    <mergeCell ref="N18:N21"/>
    <mergeCell ref="O18:O21"/>
    <mergeCell ref="P18:P21"/>
    <mergeCell ref="W18:W21"/>
    <mergeCell ref="X22:X25"/>
    <mergeCell ref="Y22:Y25"/>
    <mergeCell ref="Z22:Z25"/>
    <mergeCell ref="AB22:AB25"/>
    <mergeCell ref="AD22:AD23"/>
    <mergeCell ref="AE22:AE23"/>
    <mergeCell ref="AD24:AD25"/>
    <mergeCell ref="AE24:AE25"/>
    <mergeCell ref="A22:A25"/>
    <mergeCell ref="M22:M25"/>
    <mergeCell ref="N22:N25"/>
    <mergeCell ref="O22:O25"/>
    <mergeCell ref="P22:P25"/>
    <mergeCell ref="W22:W25"/>
    <mergeCell ref="X26:X29"/>
    <mergeCell ref="Y26:Y29"/>
    <mergeCell ref="Z26:Z29"/>
    <mergeCell ref="AB26:AB29"/>
    <mergeCell ref="AD26:AD27"/>
    <mergeCell ref="AE26:AE27"/>
    <mergeCell ref="AD28:AD29"/>
    <mergeCell ref="AE28:AE29"/>
    <mergeCell ref="A26:A29"/>
    <mergeCell ref="M26:M29"/>
    <mergeCell ref="N26:N29"/>
    <mergeCell ref="O26:O29"/>
    <mergeCell ref="P26:P29"/>
    <mergeCell ref="W26:W29"/>
    <mergeCell ref="X30:X33"/>
    <mergeCell ref="Y30:Y33"/>
    <mergeCell ref="Z30:Z33"/>
    <mergeCell ref="AB30:AB33"/>
    <mergeCell ref="A34:A37"/>
    <mergeCell ref="M34:M37"/>
    <mergeCell ref="N34:N37"/>
    <mergeCell ref="O34:O37"/>
    <mergeCell ref="P34:P37"/>
    <mergeCell ref="W34:W37"/>
    <mergeCell ref="A30:A33"/>
    <mergeCell ref="M30:M33"/>
    <mergeCell ref="N30:N33"/>
    <mergeCell ref="O30:O33"/>
    <mergeCell ref="P30:P33"/>
    <mergeCell ref="W30:W33"/>
    <mergeCell ref="X34:X37"/>
    <mergeCell ref="Y34:Y37"/>
    <mergeCell ref="Z34:Z37"/>
    <mergeCell ref="AB34:AB37"/>
    <mergeCell ref="AB38:AB41"/>
    <mergeCell ref="A42:A45"/>
    <mergeCell ref="M42:M45"/>
    <mergeCell ref="N42:N45"/>
    <mergeCell ref="O42:O45"/>
    <mergeCell ref="P42:P45"/>
    <mergeCell ref="W42:W45"/>
    <mergeCell ref="X42:X45"/>
    <mergeCell ref="Y42:Y45"/>
    <mergeCell ref="Z42:Z45"/>
    <mergeCell ref="AB42:AB45"/>
    <mergeCell ref="A38:A41"/>
    <mergeCell ref="M38:M41"/>
    <mergeCell ref="N38:N41"/>
    <mergeCell ref="O38:O41"/>
    <mergeCell ref="P38:P41"/>
    <mergeCell ref="W38:W41"/>
    <mergeCell ref="X38:X41"/>
    <mergeCell ref="Y38:Y41"/>
    <mergeCell ref="Z38:Z41"/>
    <mergeCell ref="AB46:AB49"/>
    <mergeCell ref="A50:A53"/>
    <mergeCell ref="M50:M53"/>
    <mergeCell ref="N50:N53"/>
    <mergeCell ref="O50:O53"/>
    <mergeCell ref="P50:P53"/>
    <mergeCell ref="W50:W53"/>
    <mergeCell ref="X50:X53"/>
    <mergeCell ref="Y50:Y53"/>
    <mergeCell ref="Z50:Z53"/>
    <mergeCell ref="AB50:AB53"/>
    <mergeCell ref="A46:A49"/>
    <mergeCell ref="M46:M49"/>
    <mergeCell ref="N46:N49"/>
    <mergeCell ref="O46:O49"/>
    <mergeCell ref="P46:P49"/>
    <mergeCell ref="W46:W49"/>
    <mergeCell ref="X46:X49"/>
    <mergeCell ref="Y46:Y49"/>
    <mergeCell ref="Z46:Z49"/>
    <mergeCell ref="AB54:AB57"/>
    <mergeCell ref="A58:A61"/>
    <mergeCell ref="M58:M61"/>
    <mergeCell ref="N58:N61"/>
    <mergeCell ref="O58:O61"/>
    <mergeCell ref="P58:P61"/>
    <mergeCell ref="W58:W61"/>
    <mergeCell ref="X58:X61"/>
    <mergeCell ref="Y58:Y61"/>
    <mergeCell ref="Z58:Z61"/>
    <mergeCell ref="AB58:AB61"/>
    <mergeCell ref="A54:A57"/>
    <mergeCell ref="M54:M57"/>
    <mergeCell ref="N54:N57"/>
    <mergeCell ref="O54:O57"/>
    <mergeCell ref="P54:P57"/>
    <mergeCell ref="W54:W57"/>
    <mergeCell ref="X54:X57"/>
    <mergeCell ref="Y54:Y57"/>
    <mergeCell ref="Z54:Z57"/>
    <mergeCell ref="AB62:AB65"/>
    <mergeCell ref="A66:A69"/>
    <mergeCell ref="M66:M69"/>
    <mergeCell ref="N66:N69"/>
    <mergeCell ref="O66:O69"/>
    <mergeCell ref="P66:P69"/>
    <mergeCell ref="W66:W69"/>
    <mergeCell ref="X66:X69"/>
    <mergeCell ref="Y66:Y69"/>
    <mergeCell ref="Z66:Z69"/>
    <mergeCell ref="AB66:AB69"/>
    <mergeCell ref="A62:A65"/>
    <mergeCell ref="M62:M65"/>
    <mergeCell ref="N62:N65"/>
    <mergeCell ref="O62:O65"/>
    <mergeCell ref="P62:P65"/>
    <mergeCell ref="W62:W65"/>
    <mergeCell ref="X62:X65"/>
    <mergeCell ref="Y62:Y65"/>
    <mergeCell ref="Z62:Z65"/>
    <mergeCell ref="A70:A73"/>
    <mergeCell ref="M70:M73"/>
    <mergeCell ref="N70:N73"/>
    <mergeCell ref="O70:O73"/>
    <mergeCell ref="P70:P73"/>
    <mergeCell ref="W70:W73"/>
    <mergeCell ref="X70:X73"/>
    <mergeCell ref="Y70:Y73"/>
    <mergeCell ref="Z70:Z73"/>
    <mergeCell ref="AB70:AB73"/>
    <mergeCell ref="A74:A77"/>
    <mergeCell ref="H74:H77"/>
    <mergeCell ref="I74:I77"/>
    <mergeCell ref="M74:M77"/>
    <mergeCell ref="N74:N77"/>
    <mergeCell ref="O74:O77"/>
    <mergeCell ref="AB74:AB77"/>
    <mergeCell ref="A78:A81"/>
    <mergeCell ref="H78:H81"/>
    <mergeCell ref="I78:I81"/>
    <mergeCell ref="M78:M81"/>
    <mergeCell ref="N78:N81"/>
    <mergeCell ref="O78:O81"/>
    <mergeCell ref="P78:P81"/>
    <mergeCell ref="W78:W81"/>
    <mergeCell ref="X78:X81"/>
    <mergeCell ref="P74:P77"/>
    <mergeCell ref="W74:W77"/>
    <mergeCell ref="X74:X77"/>
    <mergeCell ref="Y74:Y77"/>
    <mergeCell ref="Z74:Z77"/>
    <mergeCell ref="AA74:AA77"/>
    <mergeCell ref="Y78:Y81"/>
    <mergeCell ref="Z78:Z81"/>
    <mergeCell ref="AA78:AA81"/>
    <mergeCell ref="AB78:AB81"/>
    <mergeCell ref="A82:A85"/>
    <mergeCell ref="H82:H85"/>
    <mergeCell ref="I82:I85"/>
    <mergeCell ref="M82:M85"/>
    <mergeCell ref="N82:N85"/>
    <mergeCell ref="O82:O85"/>
    <mergeCell ref="AB82:AB85"/>
    <mergeCell ref="P82:P85"/>
    <mergeCell ref="W82:W85"/>
    <mergeCell ref="X82:X85"/>
    <mergeCell ref="Y82:Y85"/>
    <mergeCell ref="Z82:Z85"/>
    <mergeCell ref="AA82:AA85"/>
    <mergeCell ref="Y86:Y89"/>
    <mergeCell ref="Z86:Z89"/>
    <mergeCell ref="AA86:AA89"/>
    <mergeCell ref="AB86:AB89"/>
    <mergeCell ref="A90:A93"/>
    <mergeCell ref="H90:H93"/>
    <mergeCell ref="I90:I93"/>
    <mergeCell ref="M90:M93"/>
    <mergeCell ref="N90:N93"/>
    <mergeCell ref="O90:O93"/>
    <mergeCell ref="A86:A89"/>
    <mergeCell ref="H86:H89"/>
    <mergeCell ref="I86:I89"/>
    <mergeCell ref="M86:M89"/>
    <mergeCell ref="N86:N89"/>
    <mergeCell ref="O86:O89"/>
    <mergeCell ref="P86:P89"/>
    <mergeCell ref="W86:W89"/>
    <mergeCell ref="X86:X89"/>
    <mergeCell ref="Y94:Y97"/>
    <mergeCell ref="Z94:Z97"/>
    <mergeCell ref="AA94:AA97"/>
    <mergeCell ref="AB94:AB97"/>
    <mergeCell ref="C98:D98"/>
    <mergeCell ref="C99:D99"/>
    <mergeCell ref="AB90:AB93"/>
    <mergeCell ref="A94:A97"/>
    <mergeCell ref="H94:H97"/>
    <mergeCell ref="I94:I97"/>
    <mergeCell ref="M94:M97"/>
    <mergeCell ref="N94:N97"/>
    <mergeCell ref="O94:O97"/>
    <mergeCell ref="P94:P97"/>
    <mergeCell ref="W94:W97"/>
    <mergeCell ref="X94:X97"/>
    <mergeCell ref="P90:P93"/>
    <mergeCell ref="W90:W93"/>
    <mergeCell ref="X90:X93"/>
    <mergeCell ref="Y90:Y93"/>
    <mergeCell ref="Z90:Z93"/>
    <mergeCell ref="AA90:AA93"/>
    <mergeCell ref="C112:D112"/>
    <mergeCell ref="C113:D113"/>
    <mergeCell ref="C106:D106"/>
    <mergeCell ref="C107:D107"/>
    <mergeCell ref="C108:D108"/>
    <mergeCell ref="C109:D109"/>
    <mergeCell ref="C110:D110"/>
    <mergeCell ref="C111:D111"/>
    <mergeCell ref="C100:D100"/>
    <mergeCell ref="C101:D101"/>
    <mergeCell ref="C102:D102"/>
    <mergeCell ref="C103:D103"/>
    <mergeCell ref="C104:D104"/>
    <mergeCell ref="C105:D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ACTA1 </vt:lpstr>
      <vt:lpstr>MAP2 </vt:lpstr>
      <vt:lpstr>SB100</vt:lpstr>
      <vt:lpstr>PAX6</vt:lpstr>
      <vt:lpstr>COL1A</vt:lpstr>
      <vt:lpstr>SCN1A</vt:lpstr>
      <vt:lpstr>TUBB3</vt:lpstr>
      <vt:lpstr>GAD65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Aviles Dominguez, L. (Laia)</dc:creator>
  <cp:keywords/>
  <dc:description/>
  <cp:lastModifiedBy>Laia Aviles</cp:lastModifiedBy>
  <cp:revision/>
  <dcterms:created xsi:type="dcterms:W3CDTF">2026-04-09T14:06:09Z</dcterms:created>
  <dcterms:modified xsi:type="dcterms:W3CDTF">2026-10-23T12:08:54Z</dcterms:modified>
  <cp:category/>
  <cp:contentStatus/>
</cp:coreProperties>
</file>